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gasacompe.sharepoint.com/sites/GerenciaComercial/Gerencia Comercial estructura propuesta/16 Proyecto/Carpeta fuente de dasboard/"/>
    </mc:Choice>
  </mc:AlternateContent>
  <xr:revisionPtr revIDLastSave="0" documentId="8_{212256C6-5D16-4B0D-A69B-6A57298816CD}" xr6:coauthVersionLast="47" xr6:coauthVersionMax="47" xr10:uidLastSave="{00000000-0000-0000-0000-000000000000}"/>
  <bookViews>
    <workbookView xWindow="-120" yWindow="-120" windowWidth="29040" windowHeight="15720" xr2:uid="{C6E73575-BBDD-4406-A810-37BDAB44F83F}"/>
  </bookViews>
  <sheets>
    <sheet name="AB" sheetId="19028" r:id="rId1"/>
    <sheet name="EF" sheetId="19032" r:id="rId2"/>
    <sheet name="EP" sheetId="19027" r:id="rId3"/>
    <sheet name="PI" sheetId="19033" r:id="rId4"/>
    <sheet name="CH" sheetId="19034" r:id="rId5"/>
    <sheet name="BA" sheetId="19035" r:id="rId6"/>
    <sheet name="TOTAL" sheetId="19026" r:id="rId7"/>
    <sheet name="CAUDAL" sheetId="10" r:id="rId8"/>
    <sheet name="RESUMEN" sheetId="19036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Print_Area" localSheetId="0">AB!$B$1:$N$63</definedName>
    <definedName name="_xlnm.Print_Area" localSheetId="5">BA!$B$1:$N$63</definedName>
    <definedName name="_xlnm.Print_Area" localSheetId="7">CAUDAL!$B$1:$O$67</definedName>
    <definedName name="_xlnm.Print_Area" localSheetId="4">CH!$B$1:$N$63</definedName>
    <definedName name="_xlnm.Print_Area" localSheetId="1">EF!$B$1:$N$63</definedName>
    <definedName name="_xlnm.Print_Area" localSheetId="2">EP!$B$1:$N$63</definedName>
    <definedName name="_xlnm.Print_Area" localSheetId="3">PI!$B$1:$N$63</definedName>
    <definedName name="_xlnm.Print_Area" localSheetId="6">TOTAL!$B$1:$N$63</definedName>
    <definedName name="balance">#REF!</definedName>
    <definedName name="balance1">#REF!</definedName>
    <definedName name="bbamp">#REF!</definedName>
    <definedName name="bpill">[8]PILLONES!$A$3:$D$36</definedName>
    <definedName name="bpill2">#REF!</definedName>
    <definedName name="cmarginales">#REF!</definedName>
    <definedName name="d">'[7]PROD 98'!$B$1:$O$23</definedName>
    <definedName name="DS">'[6]pag 12 '!$A$1:$E$18</definedName>
    <definedName name="energia">#REF!</definedName>
    <definedName name="Evolución_de_demanda_de_Energía_del_COES_SUR.">#REF!</definedName>
    <definedName name="Evolución_de_demanda_de_Potencia_del_COES_SUR.">#REF!</definedName>
    <definedName name="_PAG1">'[1]PRODUCCION 96'!$B$1:$O$24</definedName>
    <definedName name="_PAG11">#REF!</definedName>
    <definedName name="_PAG12">#REF!</definedName>
    <definedName name="_PAG13">#REF!</definedName>
    <definedName name="_PAG14">#REF!</definedName>
    <definedName name="_PAG15">#REF!</definedName>
    <definedName name="_PAG16">#REF!</definedName>
    <definedName name="_PAG19">#REF!</definedName>
    <definedName name="pag19x">#REF!</definedName>
    <definedName name="_PAG2">#REF!</definedName>
    <definedName name="_pag20">#REF!</definedName>
    <definedName name="pag20a">'[3]pag-08'!$A$1:$H$25</definedName>
    <definedName name="_pag21">#REF!</definedName>
    <definedName name="_PAG22">#REF!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G9">#REF!</definedName>
    <definedName name="Potencia">#REF!</definedName>
    <definedName name="_SIS98">#REF!</definedName>
    <definedName name="termicos">#REF!</definedName>
    <definedName name="WD">'[5]1996'!$B$1:$O$23</definedName>
    <definedName name="x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0" l="1"/>
  <c r="H66" i="10"/>
  <c r="O62" i="10"/>
  <c r="N63" i="19026"/>
  <c r="M63" i="19026"/>
  <c r="L63" i="19026"/>
  <c r="K63" i="19026"/>
  <c r="J63" i="19026"/>
  <c r="I63" i="19026"/>
  <c r="H63" i="19026"/>
  <c r="G63" i="19026"/>
  <c r="F63" i="19026"/>
  <c r="E63" i="19026"/>
  <c r="D63" i="19026"/>
  <c r="C63" i="19026"/>
  <c r="N62" i="19026"/>
  <c r="M62" i="19026"/>
  <c r="L62" i="19026"/>
  <c r="K62" i="19026"/>
  <c r="J62" i="19026"/>
  <c r="I62" i="19026"/>
  <c r="H62" i="19026"/>
  <c r="G62" i="19026"/>
  <c r="F62" i="19026"/>
  <c r="E62" i="19026"/>
  <c r="D62" i="19026"/>
  <c r="C62" i="19026"/>
  <c r="O61" i="10"/>
  <c r="O63" i="10"/>
  <c r="N61" i="19026"/>
  <c r="M61" i="19026"/>
  <c r="L61" i="19026"/>
  <c r="K61" i="19026"/>
  <c r="J61" i="19026"/>
  <c r="I61" i="19026"/>
  <c r="H61" i="19026"/>
  <c r="G61" i="19026"/>
  <c r="F61" i="19026"/>
  <c r="E61" i="19026"/>
  <c r="D61" i="19026"/>
  <c r="C61" i="19026"/>
  <c r="O60" i="10"/>
  <c r="N60" i="19026"/>
  <c r="M60" i="19026"/>
  <c r="L60" i="19026"/>
  <c r="K60" i="19026"/>
  <c r="J60" i="19026"/>
  <c r="I60" i="19026"/>
  <c r="H60" i="19026"/>
  <c r="G60" i="19026"/>
  <c r="F60" i="19026"/>
  <c r="E60" i="19026"/>
  <c r="D60" i="19026"/>
  <c r="C60" i="19026"/>
  <c r="O59" i="10"/>
  <c r="N59" i="19026"/>
  <c r="M59" i="19026"/>
  <c r="L59" i="19026"/>
  <c r="K59" i="19026"/>
  <c r="J59" i="19026"/>
  <c r="I59" i="19026"/>
  <c r="H59" i="19026"/>
  <c r="G59" i="19026"/>
  <c r="F59" i="19026"/>
  <c r="E59" i="19026"/>
  <c r="D59" i="19026"/>
  <c r="C59" i="19026"/>
  <c r="C58" i="19026"/>
  <c r="D58" i="19026"/>
  <c r="E58" i="19026"/>
  <c r="F58" i="19026"/>
  <c r="G58" i="19026"/>
  <c r="H58" i="19026"/>
  <c r="I58" i="19026"/>
  <c r="J58" i="19026"/>
  <c r="K58" i="19026"/>
  <c r="L58" i="19026"/>
  <c r="M58" i="19026"/>
  <c r="N58" i="19026"/>
  <c r="O58" i="10"/>
  <c r="O57" i="10"/>
  <c r="N57" i="19026"/>
  <c r="M57" i="19026"/>
  <c r="L57" i="19026"/>
  <c r="K57" i="19026"/>
  <c r="J57" i="19026"/>
  <c r="I57" i="19026"/>
  <c r="H57" i="19026"/>
  <c r="G57" i="19026"/>
  <c r="F57" i="19026"/>
  <c r="E57" i="19026"/>
  <c r="D57" i="19026"/>
  <c r="C57" i="19026"/>
  <c r="O56" i="10"/>
  <c r="O55" i="10"/>
  <c r="N56" i="19026"/>
  <c r="M56" i="19026"/>
  <c r="L56" i="19026"/>
  <c r="K56" i="19026"/>
  <c r="J56" i="19026"/>
  <c r="I56" i="19026"/>
  <c r="H56" i="19026"/>
  <c r="G56" i="19026"/>
  <c r="F56" i="19026"/>
  <c r="E56" i="19026"/>
  <c r="D56" i="19026"/>
  <c r="C56" i="19026"/>
  <c r="N55" i="19026"/>
  <c r="M55" i="19026"/>
  <c r="L55" i="19026"/>
  <c r="K55" i="19026"/>
  <c r="J55" i="19026"/>
  <c r="I55" i="19026"/>
  <c r="H55" i="19026"/>
  <c r="G55" i="19026"/>
  <c r="F55" i="19026"/>
  <c r="E55" i="19026"/>
  <c r="D55" i="19026"/>
  <c r="C55" i="19026"/>
  <c r="O54" i="10"/>
  <c r="N54" i="19026"/>
  <c r="M54" i="19026"/>
  <c r="L54" i="19026"/>
  <c r="K54" i="19026"/>
  <c r="J54" i="19026"/>
  <c r="I54" i="19026"/>
  <c r="H54" i="19026"/>
  <c r="G54" i="19026"/>
  <c r="F54" i="19026"/>
  <c r="E54" i="19026"/>
  <c r="D54" i="19026"/>
  <c r="C54" i="19026"/>
  <c r="O53" i="10"/>
  <c r="N53" i="19026"/>
  <c r="M53" i="19026"/>
  <c r="L53" i="19026"/>
  <c r="K53" i="19026"/>
  <c r="J53" i="19026"/>
  <c r="I53" i="19026"/>
  <c r="H53" i="19026"/>
  <c r="G53" i="19026"/>
  <c r="F53" i="19026"/>
  <c r="E53" i="19026"/>
  <c r="D53" i="19026"/>
  <c r="C53" i="19026"/>
  <c r="O52" i="10"/>
  <c r="N52" i="19026"/>
  <c r="M52" i="19026"/>
  <c r="L52" i="19026"/>
  <c r="K52" i="19026"/>
  <c r="J52" i="19026"/>
  <c r="I52" i="19026"/>
  <c r="H52" i="19026"/>
  <c r="G52" i="19026"/>
  <c r="F52" i="19026"/>
  <c r="E52" i="19026"/>
  <c r="D52" i="19026"/>
  <c r="C52" i="19026"/>
  <c r="O51" i="10"/>
  <c r="C51" i="19026"/>
  <c r="D51" i="19026"/>
  <c r="E51" i="19026"/>
  <c r="F51" i="19026"/>
  <c r="G51" i="19026"/>
  <c r="H51" i="19026"/>
  <c r="I51" i="19026"/>
  <c r="J51" i="19026"/>
  <c r="K51" i="19026"/>
  <c r="L51" i="19026"/>
  <c r="M51" i="19026"/>
  <c r="N51" i="19026"/>
  <c r="O50" i="10"/>
  <c r="N50" i="19026"/>
  <c r="M50" i="19026"/>
  <c r="L50" i="19026"/>
  <c r="K50" i="19026"/>
  <c r="J50" i="19026"/>
  <c r="I50" i="19026"/>
  <c r="H50" i="19026"/>
  <c r="G50" i="19026"/>
  <c r="F50" i="19026"/>
  <c r="E50" i="19026"/>
  <c r="D50" i="19026"/>
  <c r="C50" i="19026"/>
  <c r="O49" i="10"/>
  <c r="N49" i="19026"/>
  <c r="M49" i="19026"/>
  <c r="L49" i="19026"/>
  <c r="K49" i="19026"/>
  <c r="J49" i="19026"/>
  <c r="I49" i="19026"/>
  <c r="H49" i="19026"/>
  <c r="G49" i="19026"/>
  <c r="F49" i="19026"/>
  <c r="E49" i="19026"/>
  <c r="D49" i="19026"/>
  <c r="C49" i="19026"/>
  <c r="N48" i="19026"/>
  <c r="M48" i="19026"/>
  <c r="L48" i="19026"/>
  <c r="K48" i="19026"/>
  <c r="J48" i="19026"/>
  <c r="I48" i="19026"/>
  <c r="H48" i="19026"/>
  <c r="G48" i="19026"/>
  <c r="F48" i="19026"/>
  <c r="E48" i="19026"/>
  <c r="D48" i="19026"/>
  <c r="C48" i="19026"/>
  <c r="N47" i="19026"/>
  <c r="M47" i="19026"/>
  <c r="L47" i="19026"/>
  <c r="K47" i="19026"/>
  <c r="J47" i="19026"/>
  <c r="I47" i="19026"/>
  <c r="H47" i="19026"/>
  <c r="G47" i="19026"/>
  <c r="F47" i="19026"/>
  <c r="E47" i="19026"/>
  <c r="D47" i="19026"/>
  <c r="C47" i="19026"/>
  <c r="O47" i="10"/>
  <c r="O48" i="10"/>
  <c r="O46" i="10"/>
  <c r="N46" i="19026"/>
  <c r="M46" i="19026"/>
  <c r="L46" i="19026"/>
  <c r="K46" i="19026"/>
  <c r="J46" i="19026"/>
  <c r="I46" i="19026"/>
  <c r="H46" i="19026"/>
  <c r="G46" i="19026"/>
  <c r="F46" i="19026"/>
  <c r="E46" i="19026"/>
  <c r="D46" i="19026"/>
  <c r="C46" i="19026"/>
  <c r="O45" i="10"/>
  <c r="N45" i="19026"/>
  <c r="M45" i="19026"/>
  <c r="L45" i="19026"/>
  <c r="K45" i="19026"/>
  <c r="J45" i="19026"/>
  <c r="I45" i="19026"/>
  <c r="H45" i="19026"/>
  <c r="G45" i="19026"/>
  <c r="F45" i="19026"/>
  <c r="E45" i="19026"/>
  <c r="D45" i="19026"/>
  <c r="C45" i="19026"/>
  <c r="N44" i="19026"/>
  <c r="M44" i="19026"/>
  <c r="L44" i="19026"/>
  <c r="K44" i="19026"/>
  <c r="J44" i="19026"/>
  <c r="I44" i="19026"/>
  <c r="H44" i="19026"/>
  <c r="G44" i="19026"/>
  <c r="F44" i="19026"/>
  <c r="E44" i="19026"/>
  <c r="D44" i="19026"/>
  <c r="C44" i="19026"/>
  <c r="O44" i="10"/>
  <c r="O43" i="10"/>
  <c r="O42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H65" i="10"/>
  <c r="C64" i="10"/>
  <c r="N66" i="10"/>
  <c r="M66" i="10"/>
  <c r="L66" i="10"/>
  <c r="K66" i="10"/>
  <c r="J66" i="10"/>
  <c r="I66" i="10"/>
  <c r="G66" i="10"/>
  <c r="F66" i="10"/>
  <c r="E66" i="10"/>
  <c r="D66" i="10"/>
  <c r="C66" i="10"/>
  <c r="N65" i="10"/>
  <c r="M65" i="10"/>
  <c r="L65" i="10"/>
  <c r="K65" i="10"/>
  <c r="J65" i="10"/>
  <c r="I65" i="10"/>
  <c r="G65" i="10"/>
  <c r="F65" i="10"/>
  <c r="E65" i="10"/>
  <c r="D65" i="10"/>
  <c r="C65" i="10"/>
  <c r="N64" i="10"/>
  <c r="M64" i="10"/>
  <c r="L64" i="10"/>
  <c r="K64" i="10"/>
  <c r="J64" i="10"/>
  <c r="I64" i="10"/>
  <c r="H64" i="10"/>
  <c r="G64" i="10"/>
  <c r="F64" i="10"/>
  <c r="E64" i="10"/>
  <c r="D64" i="10"/>
  <c r="N43" i="19026"/>
  <c r="M43" i="19026"/>
  <c r="L43" i="19026"/>
  <c r="K43" i="19026"/>
  <c r="J43" i="19026"/>
  <c r="I43" i="19026"/>
  <c r="H43" i="19026"/>
  <c r="G43" i="19026"/>
  <c r="F43" i="19026"/>
  <c r="E43" i="19026"/>
  <c r="D43" i="19026"/>
  <c r="C43" i="19026"/>
  <c r="N42" i="19026"/>
  <c r="M42" i="19026"/>
  <c r="L42" i="19026"/>
  <c r="K42" i="19026"/>
  <c r="J42" i="19026"/>
  <c r="I42" i="19026"/>
  <c r="H42" i="19026"/>
  <c r="G42" i="19026"/>
  <c r="F42" i="19026"/>
  <c r="E42" i="19026"/>
  <c r="D42" i="19026"/>
  <c r="C42" i="19026"/>
  <c r="N41" i="19026"/>
  <c r="M41" i="19026"/>
  <c r="L41" i="19026"/>
  <c r="K41" i="19026"/>
  <c r="J41" i="19026"/>
  <c r="I41" i="19026"/>
  <c r="H41" i="19026"/>
  <c r="G41" i="19026"/>
  <c r="F41" i="19026"/>
  <c r="E41" i="19026"/>
  <c r="D41" i="19026"/>
  <c r="C41" i="19026"/>
  <c r="N40" i="19026"/>
  <c r="M40" i="19026"/>
  <c r="L40" i="19026"/>
  <c r="K40" i="19026"/>
  <c r="J40" i="19026"/>
  <c r="I40" i="19026"/>
  <c r="H40" i="19026"/>
  <c r="G40" i="19026"/>
  <c r="F40" i="19026"/>
  <c r="E40" i="19026"/>
  <c r="D40" i="19026"/>
  <c r="C40" i="19026"/>
  <c r="N39" i="19026"/>
  <c r="M39" i="19026"/>
  <c r="L39" i="19026"/>
  <c r="K39" i="19026"/>
  <c r="J39" i="19026"/>
  <c r="I39" i="19026"/>
  <c r="H39" i="19026"/>
  <c r="G39" i="19026"/>
  <c r="F39" i="19026"/>
  <c r="E39" i="19026"/>
  <c r="D39" i="19026"/>
  <c r="C39" i="19026"/>
  <c r="N38" i="19026"/>
  <c r="M38" i="19026"/>
  <c r="L38" i="19026"/>
  <c r="K38" i="19026"/>
  <c r="J38" i="19026"/>
  <c r="I38" i="19026"/>
  <c r="H38" i="19026"/>
  <c r="G38" i="19026"/>
  <c r="F38" i="19026"/>
  <c r="E38" i="19026"/>
  <c r="D38" i="19026"/>
  <c r="C38" i="19026"/>
  <c r="N37" i="19026"/>
  <c r="M37" i="19026"/>
  <c r="L37" i="19026"/>
  <c r="K37" i="19026"/>
  <c r="J37" i="19026"/>
  <c r="I37" i="19026"/>
  <c r="H37" i="19026"/>
  <c r="G37" i="19026"/>
  <c r="F37" i="19026"/>
  <c r="E37" i="19026"/>
  <c r="D37" i="19026"/>
  <c r="C37" i="19026"/>
  <c r="N36" i="19026"/>
  <c r="M36" i="19026"/>
  <c r="N35" i="19026"/>
  <c r="M35" i="19026"/>
  <c r="N34" i="19026"/>
  <c r="M34" i="19026"/>
  <c r="D35" i="19026"/>
  <c r="E35" i="19026"/>
  <c r="F35" i="19026"/>
  <c r="G35" i="19026"/>
  <c r="H35" i="19026"/>
  <c r="I35" i="19026"/>
  <c r="J35" i="19026"/>
  <c r="K35" i="19026"/>
  <c r="L35" i="19026"/>
  <c r="D36" i="19026"/>
  <c r="E36" i="19026"/>
  <c r="F36" i="19026"/>
  <c r="G36" i="19026"/>
  <c r="H36" i="19026"/>
  <c r="I36" i="19026"/>
  <c r="J36" i="19026"/>
  <c r="K36" i="19026"/>
  <c r="L36" i="19026"/>
  <c r="C36" i="19026"/>
  <c r="C35" i="19026"/>
  <c r="L34" i="19026"/>
  <c r="K34" i="19026"/>
  <c r="J34" i="19026"/>
  <c r="I34" i="19026"/>
  <c r="H34" i="19026"/>
  <c r="G34" i="19026"/>
  <c r="F34" i="19026"/>
  <c r="E34" i="19026"/>
  <c r="D34" i="19026"/>
  <c r="C34" i="19026"/>
  <c r="N33" i="19026"/>
  <c r="M33" i="19026"/>
  <c r="L33" i="19026"/>
  <c r="K33" i="19026"/>
  <c r="J33" i="19026"/>
  <c r="I33" i="19026"/>
  <c r="H33" i="19026"/>
  <c r="G33" i="19026"/>
  <c r="F33" i="19026"/>
  <c r="E33" i="19026"/>
  <c r="D33" i="19026"/>
  <c r="C33" i="19026"/>
  <c r="N32" i="19026"/>
  <c r="M32" i="19026"/>
  <c r="L32" i="19026"/>
  <c r="K32" i="19026"/>
  <c r="J32" i="19026"/>
  <c r="I32" i="19026"/>
  <c r="H32" i="19026"/>
  <c r="G32" i="19026"/>
  <c r="F32" i="19026"/>
  <c r="E32" i="19026"/>
  <c r="D32" i="19026"/>
  <c r="C32" i="19026"/>
  <c r="N31" i="19026"/>
  <c r="M31" i="19026"/>
  <c r="L31" i="19026"/>
  <c r="K31" i="19026"/>
  <c r="J31" i="19026"/>
  <c r="I31" i="19026"/>
  <c r="H31" i="19026"/>
  <c r="G31" i="19026"/>
  <c r="F31" i="19026"/>
  <c r="E31" i="19026"/>
  <c r="D31" i="19026"/>
  <c r="C31" i="19026"/>
  <c r="N30" i="19026"/>
  <c r="M30" i="19026"/>
  <c r="L30" i="19026"/>
  <c r="K30" i="19026"/>
  <c r="J30" i="19026"/>
  <c r="I30" i="19026"/>
  <c r="H30" i="19026"/>
  <c r="G30" i="19026"/>
  <c r="F30" i="19026"/>
  <c r="E30" i="19026"/>
  <c r="D30" i="19026"/>
  <c r="C30" i="19026"/>
  <c r="N29" i="19026"/>
  <c r="M29" i="19026"/>
  <c r="L29" i="19026"/>
  <c r="K29" i="19026"/>
  <c r="J29" i="19026"/>
  <c r="I29" i="19026"/>
  <c r="H29" i="19026"/>
  <c r="G29" i="19026"/>
  <c r="F29" i="19026"/>
  <c r="E29" i="19026"/>
  <c r="D29" i="19026"/>
  <c r="C29" i="19026"/>
  <c r="N28" i="19026"/>
  <c r="M28" i="19026"/>
  <c r="L28" i="19026"/>
  <c r="K28" i="19026"/>
  <c r="J28" i="19026"/>
  <c r="I28" i="19026"/>
  <c r="H28" i="19026"/>
  <c r="G28" i="19026"/>
  <c r="F28" i="19026"/>
  <c r="E28" i="19026"/>
  <c r="D28" i="19026"/>
  <c r="C28" i="19026"/>
  <c r="N27" i="19026"/>
  <c r="M27" i="19026"/>
  <c r="L27" i="19026"/>
  <c r="K27" i="19026"/>
  <c r="J27" i="19026"/>
  <c r="I27" i="19026"/>
  <c r="H27" i="19026"/>
  <c r="G27" i="19026"/>
  <c r="F27" i="19026"/>
  <c r="E27" i="19026"/>
  <c r="D27" i="19026"/>
  <c r="C27" i="19026"/>
  <c r="N26" i="19026"/>
  <c r="M26" i="19026"/>
  <c r="L26" i="19026"/>
  <c r="K26" i="19026"/>
  <c r="J26" i="19026"/>
  <c r="I26" i="19026"/>
  <c r="H26" i="19026"/>
  <c r="G26" i="19026"/>
  <c r="F26" i="19026"/>
  <c r="E26" i="19026"/>
  <c r="D26" i="19026"/>
  <c r="C26" i="19026"/>
  <c r="N25" i="19026"/>
  <c r="M25" i="19026"/>
  <c r="L25" i="19026"/>
  <c r="K25" i="19026"/>
  <c r="J25" i="19026"/>
  <c r="I25" i="19026"/>
  <c r="H25" i="19026"/>
  <c r="G25" i="19026"/>
  <c r="F25" i="19026"/>
  <c r="E25" i="19026"/>
  <c r="D25" i="19026"/>
  <c r="C25" i="19026"/>
  <c r="N24" i="19026"/>
  <c r="M24" i="19026"/>
  <c r="L24" i="19026"/>
  <c r="K24" i="19026"/>
  <c r="J24" i="19026"/>
  <c r="I24" i="19026"/>
  <c r="H24" i="19026"/>
  <c r="G24" i="19026"/>
  <c r="F24" i="19026"/>
  <c r="E24" i="19026"/>
  <c r="D24" i="19026"/>
  <c r="C24" i="19026"/>
  <c r="N23" i="19026"/>
  <c r="M23" i="19026"/>
  <c r="L23" i="19026"/>
  <c r="K23" i="19026"/>
  <c r="J23" i="19026"/>
  <c r="I23" i="19026"/>
  <c r="H23" i="19026"/>
  <c r="G23" i="19026"/>
  <c r="F23" i="19026"/>
  <c r="E23" i="19026"/>
  <c r="D23" i="19026"/>
  <c r="C23" i="19026"/>
  <c r="N22" i="19026"/>
  <c r="M22" i="19026"/>
  <c r="L22" i="19026"/>
  <c r="K22" i="19026"/>
  <c r="J22" i="19026"/>
  <c r="I22" i="19026"/>
  <c r="H22" i="19026"/>
  <c r="G22" i="19026"/>
  <c r="F22" i="19026"/>
  <c r="E22" i="19026"/>
  <c r="D22" i="19026"/>
  <c r="C22" i="19026"/>
  <c r="N21" i="19026"/>
  <c r="M21" i="19026"/>
  <c r="L21" i="19026"/>
  <c r="K21" i="19026"/>
  <c r="J21" i="19026"/>
  <c r="I21" i="19026"/>
  <c r="H21" i="19026"/>
  <c r="G21" i="19026"/>
  <c r="F21" i="19026"/>
  <c r="E21" i="19026"/>
  <c r="D21" i="19026"/>
  <c r="C21" i="19026"/>
  <c r="N20" i="19026"/>
  <c r="M20" i="19026"/>
  <c r="L20" i="19026"/>
  <c r="K20" i="19026"/>
  <c r="J20" i="19026"/>
  <c r="I20" i="19026"/>
  <c r="H20" i="19026"/>
  <c r="G20" i="19026"/>
  <c r="F20" i="19026"/>
  <c r="E20" i="19026"/>
  <c r="D20" i="19026"/>
  <c r="C20" i="19026"/>
  <c r="N19" i="19026"/>
  <c r="M19" i="19026"/>
  <c r="L19" i="19026"/>
  <c r="K19" i="19026"/>
  <c r="J19" i="19026"/>
  <c r="I19" i="19026"/>
  <c r="H19" i="19026"/>
  <c r="G19" i="19026"/>
  <c r="F19" i="19026"/>
  <c r="E19" i="19026"/>
  <c r="D19" i="19026"/>
  <c r="C19" i="19026"/>
  <c r="N18" i="19026"/>
  <c r="M18" i="19026"/>
  <c r="L18" i="19026"/>
  <c r="K18" i="19026"/>
  <c r="J18" i="19026"/>
  <c r="I18" i="19026"/>
  <c r="H18" i="19026"/>
  <c r="G18" i="19026"/>
  <c r="F18" i="19026"/>
  <c r="E18" i="19026"/>
  <c r="D18" i="19026"/>
  <c r="C18" i="19026"/>
  <c r="N17" i="19026"/>
  <c r="M17" i="19026"/>
  <c r="L17" i="19026"/>
  <c r="K17" i="19026"/>
  <c r="J17" i="19026"/>
  <c r="I17" i="19026"/>
  <c r="H17" i="19026"/>
  <c r="G17" i="19026"/>
  <c r="F17" i="19026"/>
  <c r="E17" i="19026"/>
  <c r="D17" i="19026"/>
  <c r="C17" i="19026"/>
  <c r="N16" i="19026"/>
  <c r="M16" i="19026"/>
  <c r="L16" i="19026"/>
  <c r="K16" i="19026"/>
  <c r="J16" i="19026"/>
  <c r="I16" i="19026"/>
  <c r="H16" i="19026"/>
  <c r="G16" i="19026"/>
  <c r="F16" i="19026"/>
  <c r="E16" i="19026"/>
  <c r="D16" i="19026"/>
  <c r="C16" i="19026"/>
  <c r="N15" i="19026"/>
  <c r="M15" i="19026"/>
  <c r="L15" i="19026"/>
  <c r="K15" i="19026"/>
  <c r="J15" i="19026"/>
  <c r="I15" i="19026"/>
  <c r="H15" i="19026"/>
  <c r="G15" i="19026"/>
  <c r="F15" i="19026"/>
  <c r="E15" i="19026"/>
  <c r="D15" i="19026"/>
  <c r="C15" i="19026"/>
  <c r="N14" i="19026"/>
  <c r="M14" i="19026"/>
  <c r="L14" i="19026"/>
  <c r="K14" i="19026"/>
  <c r="J14" i="19026"/>
  <c r="I14" i="19026"/>
  <c r="H14" i="19026"/>
  <c r="G14" i="19026"/>
  <c r="F14" i="19026"/>
  <c r="E14" i="19026"/>
  <c r="D14" i="19026"/>
  <c r="C14" i="19026"/>
  <c r="N13" i="19026"/>
  <c r="M13" i="19026"/>
  <c r="L13" i="19026"/>
  <c r="K13" i="19026"/>
  <c r="J13" i="19026"/>
  <c r="I13" i="19026"/>
  <c r="H13" i="19026"/>
  <c r="G13" i="19026"/>
  <c r="F13" i="19026"/>
  <c r="E13" i="19026"/>
  <c r="D13" i="19026"/>
  <c r="C13" i="19026"/>
  <c r="N12" i="19026"/>
  <c r="M12" i="19026"/>
  <c r="L12" i="19026"/>
  <c r="K12" i="19026"/>
  <c r="J12" i="19026"/>
  <c r="I12" i="19026"/>
  <c r="H12" i="19026"/>
  <c r="G12" i="19026"/>
  <c r="F12" i="19026"/>
  <c r="E12" i="19026"/>
  <c r="D12" i="19026"/>
  <c r="C12" i="19026"/>
  <c r="N11" i="19026"/>
  <c r="M11" i="19026"/>
  <c r="L11" i="19026"/>
  <c r="K11" i="19026"/>
  <c r="J11" i="19026"/>
  <c r="I11" i="19026"/>
  <c r="H11" i="19026"/>
  <c r="G11" i="19026"/>
  <c r="F11" i="19026"/>
  <c r="E11" i="19026"/>
  <c r="D11" i="19026"/>
  <c r="C11" i="19026"/>
  <c r="N10" i="19026"/>
  <c r="M10" i="19026"/>
  <c r="L10" i="19026"/>
  <c r="K10" i="19026"/>
  <c r="J10" i="19026"/>
  <c r="I10" i="19026"/>
  <c r="H10" i="19026"/>
  <c r="G10" i="19026"/>
  <c r="F10" i="19026"/>
  <c r="E10" i="19026"/>
  <c r="D10" i="19026"/>
  <c r="C10" i="19026"/>
  <c r="N9" i="19026"/>
  <c r="M9" i="19026"/>
  <c r="L9" i="19026"/>
  <c r="K9" i="19026"/>
  <c r="J9" i="19026"/>
  <c r="I9" i="19026"/>
  <c r="H9" i="19026"/>
  <c r="G9" i="19026"/>
  <c r="F9" i="19026"/>
  <c r="E9" i="19026"/>
  <c r="D9" i="19026"/>
  <c r="C9" i="19026"/>
  <c r="N8" i="19026"/>
  <c r="M8" i="19026"/>
  <c r="L8" i="19026"/>
  <c r="K8" i="19026"/>
  <c r="J8" i="19026"/>
  <c r="I8" i="19026"/>
  <c r="H8" i="19026"/>
  <c r="G8" i="19026"/>
  <c r="F8" i="19026"/>
  <c r="E8" i="19026"/>
  <c r="D8" i="19026"/>
  <c r="C8" i="19026"/>
  <c r="N7" i="19026"/>
  <c r="M7" i="19026"/>
  <c r="L7" i="19026"/>
  <c r="K7" i="19026"/>
  <c r="J7" i="19026"/>
  <c r="I7" i="19026"/>
  <c r="H7" i="19026"/>
  <c r="G7" i="19026"/>
  <c r="F7" i="19026"/>
  <c r="E7" i="19026"/>
  <c r="D7" i="19026"/>
  <c r="C7" i="190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Néstor Cuba Bacaro</author>
  </authors>
  <commentList>
    <comment ref="C44" authorId="0" shapeId="0" xr:uid="{F2837F59-BAD7-409A-BA3D-5BE339839A3B}">
      <text>
        <r>
          <rPr>
            <b/>
            <sz val="8"/>
            <color indexed="81"/>
            <rFont val="Tahoma"/>
            <family val="2"/>
          </rPr>
          <t>Néstor Cuba Bacaro:</t>
        </r>
        <r>
          <rPr>
            <sz val="8"/>
            <color indexed="81"/>
            <rFont val="Tahoma"/>
            <family val="2"/>
          </rPr>
          <t xml:space="preserve">
Ingreso PILLONES a partir de enero 2006</t>
        </r>
      </text>
    </comment>
  </commentList>
</comments>
</file>

<file path=xl/sharedStrings.xml><?xml version="1.0" encoding="utf-8"?>
<sst xmlns="http://schemas.openxmlformats.org/spreadsheetml/2006/main" count="140" uniqueCount="39">
  <si>
    <t xml:space="preserve">CONTROL HIDROLOGICO </t>
  </si>
  <si>
    <t>REPRESA DE AGUADA BLANCA</t>
  </si>
  <si>
    <t>VOLUMENES ALMACENADOS ( , 000 m3 )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</si>
  <si>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</si>
  <si>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</si>
  <si>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</si>
  <si>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</si>
  <si>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</si>
  <si>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</si>
  <si>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</si>
  <si>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</si>
  <si>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</si>
  <si>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</si>
  <si>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</si>
  <si>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</si>
  <si>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</si>
  <si>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REPRESA DE EL FRAYLE</t>
  </si>
  <si>
    <t>VOLUMENES ALMACENADOS ( ,000 m3 )</t>
  </si>
  <si>
    <t>REPRESA DE EL PAÑE</t>
  </si>
  <si>
    <t xml:space="preserve">CONTROL HIDROLÓGICO </t>
  </si>
  <si>
    <t>VOLÚMENES ALMACENADOS ( ,000 m3 )</t>
  </si>
  <si>
    <t>CUENCA DEL RIO CHILI - AREQUIPA</t>
  </si>
  <si>
    <t>Máximo</t>
  </si>
  <si>
    <t>Promedio</t>
  </si>
  <si>
    <t>Mínimo</t>
  </si>
  <si>
    <t>CAUDAL REGULADO ( m3 / s )</t>
  </si>
  <si>
    <t>REPRESA PILLONES</t>
  </si>
  <si>
    <t>REPRESA CHALHUANCA</t>
  </si>
  <si>
    <t>TOTAL DEL SISTEMA DE REPRESAS (AGUADA BLANCA + EL FRAYLE + EL PAÑE + PILLONES + CHALHUANCA + BAMPUTAÑE)</t>
  </si>
  <si>
    <t>* CHALHUANCA DESDE ENERO 2009</t>
  </si>
  <si>
    <t>* BAMPUTAÑE DESDE DICIEMBRE 2010</t>
  </si>
  <si>
    <t>Ingresa Pillones</t>
  </si>
  <si>
    <t>Ingresa Bamputañe</t>
  </si>
  <si>
    <t>Ingresa Chalhuanca</t>
  </si>
  <si>
    <t>REPRESA BAMPUTAÑE</t>
  </si>
  <si>
    <t>PROMEDIOS</t>
  </si>
  <si>
    <t>&lt;&lt;&lt;insertar</t>
  </si>
  <si>
    <t>RESUMEN  VOLUMENES Y CAUDAL</t>
  </si>
  <si>
    <t>ACA MOSTRAR GRAFICOS DE CONTROL EVOLUCION ETC}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</si>
</sst>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"/>
    <numFmt numFmtId="201" formatCode="#,##0.0000_);\(#,##0.0000\)"/>
    <numFmt numFmtId="202" formatCode="#,##0.00000_);\(#,##0.00000\)"/>
    <numFmt numFmtId="203" formatCode="#,##0.000000_);\(#,##0.000000\)"/>
    <numFmt numFmtId="204" formatCode="#,##0.0000000_);\(#,##0.0000000\)"/>
    <numFmt numFmtId="205" formatCode="#,##0.00000000_);\(#,##0.00000000\)"/>
    <numFmt numFmtId="206" formatCode="#,##0\ &quot;$&quot;;\-#,##0\ &quot;$&quot;"/>
  </numFmts>
  <fonts count="14" x14ac:knownFonts="1">
    <font>
      <sz val="10"/>
      <name val="Arial"/>
    </font>
    <font>
      <sz val="10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1"/>
      <name val="Arial"/>
      <family val="2"/>
    </font>
    <font>
      <sz val="11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201" fontId="1" fillId="0" borderId="0">
      <protection locked="0"/>
    </xf>
    <xf numFmtId="202" fontId="1" fillId="0" borderId="0">
      <protection locked="0"/>
    </xf>
    <xf numFmtId="203" fontId="1" fillId="0" borderId="0">
      <protection locked="0"/>
    </xf>
    <xf numFmtId="0" fontId="2" fillId="0" borderId="0">
      <protection locked="0"/>
    </xf>
    <xf numFmtId="0" fontId="3" fillId="0" borderId="0">
      <protection locked="0"/>
    </xf>
    <xf numFmtId="0" fontId="2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" fillId="0" borderId="0">
      <protection locked="0"/>
    </xf>
    <xf numFmtId="204" fontId="1" fillId="0" borderId="0">
      <protection locked="0"/>
    </xf>
    <xf numFmtId="205" fontId="1" fillId="0" borderId="0">
      <protection locked="0"/>
    </xf>
    <xf numFmtId="205" fontId="1" fillId="0" borderId="0">
      <protection locked="0"/>
    </xf>
    <xf numFmtId="0" fontId="6" fillId="0" borderId="0"/>
    <xf numFmtId="0" fontId="1" fillId="0" borderId="0"/>
    <xf numFmtId="206" fontId="1" fillId="0" borderId="0">
      <protection locked="0"/>
    </xf>
    <xf numFmtId="205" fontId="1" fillId="0" borderId="1">
      <protection locked="0"/>
    </xf>
  </cellStyleXfs>
  <cellXfs count="73">
    <xf numFmtId="0" fontId="0" fillId="0" borderId="0" xfId="0"/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0" borderId="0" xfId="0" applyFont="1" applyFill="1" applyAlignment="1">
      <alignment horizontal="centerContinuous"/>
    </xf>
    <xf numFmtId="0" fontId="6" fillId="0" borderId="0" xfId="0" applyFont="1"/>
    <xf numFmtId="0" fontId="6" fillId="0" borderId="0" xfId="0" applyFont="1" applyAlignment="1"/>
    <xf numFmtId="0" fontId="6" fillId="0" borderId="0" xfId="0" applyFont="1" applyFill="1" applyAlignment="1"/>
    <xf numFmtId="0" fontId="5" fillId="0" borderId="2" xfId="0" applyFont="1" applyBorder="1" applyAlignment="1">
      <alignment horizontal="centerContinuous"/>
    </xf>
    <xf numFmtId="0" fontId="5" fillId="0" borderId="3" xfId="0" applyFont="1" applyBorder="1" applyAlignment="1">
      <alignment horizontal="centerContinuous"/>
    </xf>
    <xf numFmtId="0" fontId="5" fillId="0" borderId="3" xfId="0" quotePrefix="1" applyFont="1" applyFill="1" applyBorder="1" applyAlignment="1">
      <alignment horizontal="centerContinuous"/>
    </xf>
    <xf numFmtId="0" fontId="5" fillId="0" borderId="4" xfId="0" applyFont="1" applyBorder="1" applyAlignment="1">
      <alignment horizontal="centerContinuous"/>
    </xf>
    <xf numFmtId="0" fontId="5" fillId="0" borderId="0" xfId="0" applyFont="1"/>
    <xf numFmtId="0" fontId="6" fillId="0" borderId="2" xfId="0" applyFont="1" applyBorder="1" applyAlignment="1">
      <alignment horizontal="centerContinuous"/>
    </xf>
    <xf numFmtId="4" fontId="6" fillId="0" borderId="3" xfId="0" applyNumberFormat="1" applyFont="1" applyBorder="1" applyAlignment="1"/>
    <xf numFmtId="4" fontId="6" fillId="0" borderId="3" xfId="0" applyNumberFormat="1" applyFont="1" applyFill="1" applyBorder="1" applyAlignment="1"/>
    <xf numFmtId="4" fontId="6" fillId="0" borderId="4" xfId="0" applyNumberFormat="1" applyFont="1" applyBorder="1" applyAlignment="1"/>
    <xf numFmtId="4" fontId="6" fillId="0" borderId="0" xfId="0" applyNumberFormat="1" applyFont="1"/>
    <xf numFmtId="0" fontId="6" fillId="0" borderId="5" xfId="0" applyFont="1" applyBorder="1" applyAlignment="1">
      <alignment horizontal="centerContinuous"/>
    </xf>
    <xf numFmtId="4" fontId="6" fillId="0" borderId="6" xfId="0" applyNumberFormat="1" applyFont="1" applyBorder="1" applyAlignment="1"/>
    <xf numFmtId="4" fontId="6" fillId="0" borderId="6" xfId="0" applyNumberFormat="1" applyFont="1" applyFill="1" applyBorder="1" applyAlignment="1"/>
    <xf numFmtId="4" fontId="6" fillId="0" borderId="7" xfId="0" applyNumberFormat="1" applyFont="1" applyBorder="1" applyAlignment="1"/>
    <xf numFmtId="4" fontId="5" fillId="0" borderId="6" xfId="0" applyNumberFormat="1" applyFont="1" applyBorder="1" applyAlignment="1"/>
    <xf numFmtId="0" fontId="6" fillId="0" borderId="5" xfId="0" applyFont="1" applyFill="1" applyBorder="1" applyAlignment="1">
      <alignment horizontal="centerContinuous"/>
    </xf>
    <xf numFmtId="4" fontId="6" fillId="0" borderId="7" xfId="0" applyNumberFormat="1" applyFont="1" applyFill="1" applyBorder="1" applyAlignment="1"/>
    <xf numFmtId="4" fontId="6" fillId="0" borderId="0" xfId="0" applyNumberFormat="1" applyFont="1" applyFill="1"/>
    <xf numFmtId="0" fontId="6" fillId="0" borderId="0" xfId="0" applyFont="1" applyFill="1"/>
    <xf numFmtId="0" fontId="6" fillId="0" borderId="8" xfId="0" applyFont="1" applyBorder="1" applyAlignment="1">
      <alignment horizontal="centerContinuous"/>
    </xf>
    <xf numFmtId="4" fontId="6" fillId="0" borderId="9" xfId="0" applyNumberFormat="1" applyFont="1" applyBorder="1" applyAlignment="1"/>
    <xf numFmtId="4" fontId="6" fillId="0" borderId="9" xfId="0" applyNumberFormat="1" applyFont="1" applyFill="1" applyBorder="1" applyAlignment="1"/>
    <xf numFmtId="4" fontId="6" fillId="0" borderId="10" xfId="0" applyNumberFormat="1" applyFont="1" applyBorder="1" applyAlignment="1"/>
    <xf numFmtId="0" fontId="5" fillId="0" borderId="11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2" xfId="0" quotePrefix="1" applyFont="1" applyFill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4" fontId="6" fillId="0" borderId="6" xfId="0" applyNumberFormat="1" applyFont="1" applyBorder="1"/>
    <xf numFmtId="4" fontId="6" fillId="0" borderId="6" xfId="0" applyNumberFormat="1" applyFont="1" applyFill="1" applyBorder="1"/>
    <xf numFmtId="4" fontId="6" fillId="0" borderId="7" xfId="0" applyNumberFormat="1" applyFont="1" applyBorder="1"/>
    <xf numFmtId="4" fontId="6" fillId="0" borderId="9" xfId="0" applyNumberFormat="1" applyFont="1" applyBorder="1"/>
    <xf numFmtId="4" fontId="6" fillId="0" borderId="9" xfId="0" applyNumberFormat="1" applyFont="1" applyFill="1" applyBorder="1"/>
    <xf numFmtId="4" fontId="6" fillId="0" borderId="10" xfId="0" applyNumberFormat="1" applyFont="1" applyBorder="1"/>
    <xf numFmtId="0" fontId="5" fillId="0" borderId="3" xfId="0" quotePrefix="1" applyFont="1" applyBorder="1" applyAlignment="1">
      <alignment horizontal="centerContinuous"/>
    </xf>
    <xf numFmtId="4" fontId="6" fillId="0" borderId="3" xfId="0" applyNumberFormat="1" applyFont="1" applyBorder="1"/>
    <xf numFmtId="4" fontId="6" fillId="0" borderId="4" xfId="0" applyNumberFormat="1" applyFont="1" applyBorder="1"/>
    <xf numFmtId="4" fontId="6" fillId="0" borderId="7" xfId="0" applyNumberFormat="1" applyFont="1" applyFill="1" applyBorder="1"/>
    <xf numFmtId="0" fontId="6" fillId="0" borderId="14" xfId="0" applyFont="1" applyBorder="1" applyAlignment="1">
      <alignment horizontal="centerContinuous"/>
    </xf>
    <xf numFmtId="0" fontId="6" fillId="0" borderId="15" xfId="0" applyFont="1" applyBorder="1"/>
    <xf numFmtId="4" fontId="6" fillId="0" borderId="16" xfId="0" applyNumberFormat="1" applyFont="1" applyBorder="1"/>
    <xf numFmtId="0" fontId="6" fillId="0" borderId="14" xfId="0" applyFont="1" applyBorder="1"/>
    <xf numFmtId="4" fontId="6" fillId="0" borderId="17" xfId="0" applyNumberFormat="1" applyFont="1" applyBorder="1"/>
    <xf numFmtId="0" fontId="6" fillId="0" borderId="18" xfId="0" applyFont="1" applyBorder="1"/>
    <xf numFmtId="4" fontId="6" fillId="0" borderId="19" xfId="0" applyNumberFormat="1" applyFont="1" applyBorder="1"/>
    <xf numFmtId="0" fontId="10" fillId="0" borderId="0" xfId="0" applyFont="1"/>
    <xf numFmtId="3" fontId="0" fillId="0" borderId="0" xfId="0" applyNumberFormat="1" applyAlignment="1">
      <alignment horizontal="center"/>
    </xf>
    <xf numFmtId="200" fontId="6" fillId="0" borderId="0" xfId="0" applyNumberFormat="1" applyFont="1"/>
    <xf numFmtId="3" fontId="6" fillId="0" borderId="0" xfId="14" applyNumberFormat="1" applyAlignment="1">
      <alignment horizontal="center" vertical="center"/>
    </xf>
    <xf numFmtId="3" fontId="6" fillId="0" borderId="0" xfId="15" applyNumberFormat="1" applyFont="1" applyAlignment="1">
      <alignment horizontal="center" vertical="center"/>
    </xf>
    <xf numFmtId="3" fontId="11" fillId="0" borderId="0" xfId="15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4" fontId="6" fillId="0" borderId="20" xfId="0" applyNumberFormat="1" applyFont="1" applyBorder="1"/>
    <xf numFmtId="0" fontId="0" fillId="2" borderId="0" xfId="0" applyFill="1"/>
    <xf numFmtId="0" fontId="12" fillId="3" borderId="21" xfId="0" applyFont="1" applyFill="1" applyBorder="1"/>
    <xf numFmtId="0" fontId="12" fillId="3" borderId="22" xfId="0" applyFont="1" applyFill="1" applyBorder="1"/>
    <xf numFmtId="0" fontId="12" fillId="3" borderId="23" xfId="0" applyFont="1" applyFill="1" applyBorder="1"/>
    <xf numFmtId="0" fontId="12" fillId="3" borderId="24" xfId="0" applyFont="1" applyFill="1" applyBorder="1"/>
    <xf numFmtId="0" fontId="13" fillId="3" borderId="0" xfId="0" applyFont="1" applyFill="1" applyBorder="1" applyAlignment="1">
      <alignment horizontal="centerContinuous" vertical="center"/>
    </xf>
    <xf numFmtId="0" fontId="12" fillId="3" borderId="0" xfId="0" applyFont="1" applyFill="1" applyBorder="1" applyAlignment="1">
      <alignment horizontal="centerContinuous" vertical="center"/>
    </xf>
    <xf numFmtId="0" fontId="12" fillId="3" borderId="25" xfId="0" applyFont="1" applyFill="1" applyBorder="1"/>
    <xf numFmtId="0" fontId="12" fillId="3" borderId="26" xfId="0" applyFont="1" applyFill="1" applyBorder="1"/>
    <xf numFmtId="0" fontId="12" fillId="3" borderId="27" xfId="0" applyFont="1" applyFill="1" applyBorder="1"/>
    <xf numFmtId="0" fontId="12" fillId="3" borderId="28" xfId="0" applyFont="1" applyFill="1" applyBorder="1"/>
    <xf numFmtId="0" fontId="9" fillId="2" borderId="0" xfId="0" applyFont="1" applyFill="1"/>
    <xf numFmtId="0" fontId="1" fillId="2" borderId="0" xfId="0" applyFont="1" applyFill="1"/>
  </cellXfs>
  <cellStyles count="18">
    <cellStyle name="Comma" xfId="1" xr:uid="{E1C84A0C-EFDB-413E-9C32-C76E3492CEAB}"/>
    <cellStyle name="Currency" xfId="2" xr:uid="{8F928520-E21C-4A92-8289-74D2EE6539C1}"/>
    <cellStyle name="Date" xfId="3" xr:uid="{BE97EEF3-D5D7-432C-9286-4A99B501C97B}"/>
    <cellStyle name="F2" xfId="4" xr:uid="{22BA5B47-BC0C-44E7-A337-CDA4A98C65B0}"/>
    <cellStyle name="F3" xfId="5" xr:uid="{2BDBEACE-2937-4338-AA46-8A5486C1C21C}"/>
    <cellStyle name="F4" xfId="6" xr:uid="{BAFB67BB-CEDD-4BAC-BCE5-A717C911AB5E}"/>
    <cellStyle name="F5" xfId="7" xr:uid="{239D437F-5FCA-4664-9AA7-47813EE13079}"/>
    <cellStyle name="F6" xfId="8" xr:uid="{AE000420-0CEF-4C54-BE82-E9D2107FF4C3}"/>
    <cellStyle name="F7" xfId="9" xr:uid="{832258EC-B1E7-48BC-ADF2-039A03D23B2B}"/>
    <cellStyle name="F8" xfId="10" xr:uid="{6BF61337-BAC8-4CB3-B324-0C641A9D50E0}"/>
    <cellStyle name="Fixed" xfId="11" xr:uid="{6B7F6CDD-0B6E-486B-A0F3-4F71CD7D10C0}"/>
    <cellStyle name="Heading1" xfId="12" xr:uid="{663AEC6D-DB5F-4C0D-B796-BBCA29290257}"/>
    <cellStyle name="Heading2" xfId="13" xr:uid="{F645D3F0-F552-44F9-B258-2A829E5D600B}"/>
    <cellStyle name="Normal" xfId="0" builtinId="0"/>
    <cellStyle name="Normal 4" xfId="14" xr:uid="{1B4F7E98-A253-475C-9B52-FC6121804006}"/>
    <cellStyle name="Normal_REPRESAS2004H 2" xfId="15" xr:uid="{AE5DBEF4-6732-45FF-ABE3-2D6336BDB86F}"/>
    <cellStyle name="Percent" xfId="16" xr:uid="{BAC50FC6-9C42-46E4-A885-101E43660B5C}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aredes\mis%20document\DATOS%20HISTORIC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amirez\Reformulaci&#243;n%20julio-set98\Mis%20documentos\PROY.-%20PRODUCCION\TRANF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amirez\machupicchu\Mis%20documentos\INFORME-DIRECTORIO\Nueva\INFSET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amirez\machupicchu\Mis%20documentos\PROY.-%20PRODUCCION\TRANF9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ad_01\g\Mis%20Documentos\Informes%20al%20Directorio\Produccion%20EGASA%20MWh%2096-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ontesinos\grg\A&#241;o_96\agosto96\Inf_dir\Inf_d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ad_01\acceso%20total\Producci&#243;n%20de%20energ&#237;a%20de%20EGASA%201995-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ccontrol\BASE%20DE%20DATOS%20CENTRO%20DE%20CONTROL\REPRESAS\BDREPRESAS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GerenciaComercial/Gerencia%20Comercial%20estructura%20propuesta/02%20GC-DE%20Despacho%20Economico/DE.04_ControlHidrol&#243;gico/BDREPRESA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98"/>
      <sheetName val="COMB99"/>
      <sheetName val="tipo de cambio"/>
      <sheetName val="PRODUCCION 95"/>
      <sheetName val="PRODUCCION 96"/>
      <sheetName val="PRODUCCION 97"/>
      <sheetName val="PRODUCCION 98"/>
      <sheetName val="PRODUCCION 99"/>
      <sheetName val="PRODUCCION 2000"/>
      <sheetName val="SIS97"/>
      <sheetName val="SIS98"/>
      <sheetName val="SIS99"/>
      <sheetName val="SIS2000"/>
      <sheetName val="HP-HFP 94"/>
      <sheetName val="HP-HFP 95"/>
      <sheetName val="HP-HFP 96"/>
      <sheetName val="HP-HFP 97"/>
      <sheetName val="HP-HFP 98"/>
      <sheetName val="HP-HFP 99"/>
      <sheetName val="HP-HFP 2000"/>
      <sheetName val="CENTRALES ANUAL"/>
      <sheetName val="RESUMEN"/>
      <sheetName val="A. BLANCA"/>
      <sheetName val="FRAYLE"/>
      <sheetName val="PAÑE"/>
      <sheetName val="VOL. REPRESAS"/>
      <sheetName val="CAUDAL RIO CHILI"/>
      <sheetName val="RESUMEN REPRESAS"/>
      <sheetName val="PRECIPITACIONES  REPRESAS"/>
      <sheetName val="FACTURACION 94"/>
      <sheetName val="FACTURACION 95"/>
      <sheetName val="FACTURACION 96"/>
      <sheetName val="FACTURACION 97"/>
      <sheetName val="Graficos"/>
    </sheetNames>
    <sheetDataSet>
      <sheetData sheetId="0"/>
      <sheetData sheetId="1"/>
      <sheetData sheetId="2"/>
      <sheetData sheetId="3"/>
      <sheetData sheetId="4">
        <row r="1">
          <cell r="B1" t="str">
            <v>PRODUCCIÓN MENSUAL DE ENERGÍA ELÉCTRICA EN EGASA</v>
          </cell>
        </row>
        <row r="2">
          <cell r="B2" t="str">
            <v>AÑO 1996 (MWh)</v>
          </cell>
        </row>
        <row r="4">
          <cell r="B4" t="str">
            <v>CENTRALES</v>
          </cell>
          <cell r="C4" t="str">
            <v>Enero</v>
          </cell>
          <cell r="D4" t="str">
            <v>Febrero</v>
          </cell>
          <cell r="E4" t="str">
            <v>Marzo</v>
          </cell>
          <cell r="F4" t="str">
            <v>Abril</v>
          </cell>
          <cell r="G4" t="str">
            <v>Mayo</v>
          </cell>
          <cell r="H4" t="str">
            <v>Junio</v>
          </cell>
          <cell r="I4" t="str">
            <v>Julio</v>
          </cell>
          <cell r="J4" t="str">
            <v>Agosto</v>
          </cell>
          <cell r="K4" t="str">
            <v>Setiembre</v>
          </cell>
          <cell r="L4" t="str">
            <v>Octubre</v>
          </cell>
          <cell r="M4" t="str">
            <v>Noviembre</v>
          </cell>
          <cell r="N4" t="str">
            <v>Diciembre</v>
          </cell>
          <cell r="O4" t="str">
            <v>Acumulado</v>
          </cell>
        </row>
        <row r="6">
          <cell r="B6" t="str">
            <v>Hidraúlica</v>
          </cell>
        </row>
        <row r="7">
          <cell r="B7" t="str">
            <v>Charcani I</v>
          </cell>
          <cell r="C7">
            <v>638.16</v>
          </cell>
          <cell r="D7">
            <v>518.66999999999996</v>
          </cell>
          <cell r="E7">
            <v>540.04</v>
          </cell>
          <cell r="F7">
            <v>821.15</v>
          </cell>
          <cell r="G7">
            <v>820.87</v>
          </cell>
          <cell r="H7">
            <v>790.8</v>
          </cell>
          <cell r="I7">
            <v>854</v>
          </cell>
          <cell r="J7">
            <v>758.01</v>
          </cell>
          <cell r="K7">
            <v>859.58285999999998</v>
          </cell>
          <cell r="L7">
            <v>896.05399999999997</v>
          </cell>
          <cell r="M7">
            <v>872.72739999999999</v>
          </cell>
          <cell r="N7">
            <v>661.01892079000004</v>
          </cell>
          <cell r="O7">
            <v>9031.0831807899995</v>
          </cell>
        </row>
        <row r="8">
          <cell r="B8" t="str">
            <v>Charcani II</v>
          </cell>
          <cell r="C8">
            <v>427.19</v>
          </cell>
          <cell r="D8">
            <v>342.36</v>
          </cell>
          <cell r="E8">
            <v>429.11</v>
          </cell>
          <cell r="F8">
            <v>395.1</v>
          </cell>
          <cell r="G8">
            <v>431.44</v>
          </cell>
          <cell r="H8">
            <v>415.72</v>
          </cell>
          <cell r="I8">
            <v>421.63</v>
          </cell>
          <cell r="J8">
            <v>414.39</v>
          </cell>
          <cell r="K8">
            <v>399.61968999999999</v>
          </cell>
          <cell r="L8">
            <v>414.55200000000002</v>
          </cell>
          <cell r="M8">
            <v>328.47930000000002</v>
          </cell>
          <cell r="N8">
            <v>313.11628000000002</v>
          </cell>
          <cell r="O8">
            <v>4732.7072700000008</v>
          </cell>
        </row>
        <row r="9">
          <cell r="B9" t="str">
            <v>Charcani III</v>
          </cell>
          <cell r="C9">
            <v>1895.86</v>
          </cell>
          <cell r="D9">
            <v>1663.81</v>
          </cell>
          <cell r="E9">
            <v>2248.7199999999998</v>
          </cell>
          <cell r="F9">
            <v>840.18</v>
          </cell>
          <cell r="G9">
            <v>2123.75</v>
          </cell>
          <cell r="H9">
            <v>2231.85</v>
          </cell>
          <cell r="I9">
            <v>2377.1999999999998</v>
          </cell>
          <cell r="J9">
            <v>2732.95</v>
          </cell>
          <cell r="K9">
            <v>2705.5682000000002</v>
          </cell>
          <cell r="L9">
            <v>2870.7620000000002</v>
          </cell>
          <cell r="M9">
            <v>2768.4789000000001</v>
          </cell>
          <cell r="N9">
            <v>2854.7001</v>
          </cell>
          <cell r="O9">
            <v>27313.8292</v>
          </cell>
        </row>
        <row r="10">
          <cell r="B10" t="str">
            <v>Charcani IV</v>
          </cell>
          <cell r="C10">
            <v>3840.11</v>
          </cell>
          <cell r="D10">
            <v>3628.83</v>
          </cell>
          <cell r="E10">
            <v>6110.31</v>
          </cell>
          <cell r="F10">
            <v>6309.08</v>
          </cell>
          <cell r="G10">
            <v>5083.22</v>
          </cell>
          <cell r="H10">
            <v>4925.2</v>
          </cell>
          <cell r="I10">
            <v>5445.05</v>
          </cell>
          <cell r="J10">
            <v>6075.03</v>
          </cell>
          <cell r="K10">
            <v>6227.3405300000004</v>
          </cell>
          <cell r="L10">
            <v>6775.9179999999997</v>
          </cell>
          <cell r="M10">
            <v>6869.1180000000004</v>
          </cell>
          <cell r="N10">
            <v>7304.7661312499995</v>
          </cell>
          <cell r="O10">
            <v>68593.972661250009</v>
          </cell>
        </row>
        <row r="11">
          <cell r="B11" t="str">
            <v>Charcani V</v>
          </cell>
          <cell r="C11">
            <v>22850.65</v>
          </cell>
          <cell r="D11">
            <v>29495.66</v>
          </cell>
          <cell r="E11">
            <v>42885.97</v>
          </cell>
          <cell r="F11">
            <v>38510.51</v>
          </cell>
          <cell r="G11">
            <v>27343.439999999999</v>
          </cell>
          <cell r="H11">
            <v>26398.07</v>
          </cell>
          <cell r="I11">
            <v>29655.83</v>
          </cell>
          <cell r="J11">
            <v>33662.230000000003</v>
          </cell>
          <cell r="K11">
            <v>34135.0245</v>
          </cell>
          <cell r="L11">
            <v>37300.489000000001</v>
          </cell>
          <cell r="M11">
            <v>37867.834799999997</v>
          </cell>
          <cell r="N11">
            <v>40148.788500000002</v>
          </cell>
          <cell r="O11">
            <v>400254.49680000008</v>
          </cell>
        </row>
        <row r="12">
          <cell r="B12" t="str">
            <v>Charcani VI</v>
          </cell>
          <cell r="C12">
            <v>2249.89</v>
          </cell>
          <cell r="D12">
            <v>1941.15</v>
          </cell>
          <cell r="E12">
            <v>0</v>
          </cell>
          <cell r="F12">
            <v>4088.76</v>
          </cell>
          <cell r="G12">
            <v>2938.88</v>
          </cell>
          <cell r="H12">
            <v>2843.94</v>
          </cell>
          <cell r="I12">
            <v>3203.86</v>
          </cell>
          <cell r="J12">
            <v>3664.06</v>
          </cell>
          <cell r="K12">
            <v>3730.0606899999998</v>
          </cell>
          <cell r="L12">
            <v>4070.4769999999999</v>
          </cell>
          <cell r="M12">
            <v>4182.8837000000003</v>
          </cell>
          <cell r="N12">
            <v>4412.8776562500007</v>
          </cell>
          <cell r="O12">
            <v>37326.839046249996</v>
          </cell>
        </row>
        <row r="13">
          <cell r="B13" t="str">
            <v>Total Hidraúlica</v>
          </cell>
          <cell r="C13">
            <v>31901.86</v>
          </cell>
          <cell r="D13">
            <v>37590.480000000003</v>
          </cell>
          <cell r="E13">
            <v>52214.15</v>
          </cell>
          <cell r="F13">
            <v>50964.780000000006</v>
          </cell>
          <cell r="G13">
            <v>38741.599999999999</v>
          </cell>
          <cell r="H13">
            <v>37605.58</v>
          </cell>
          <cell r="I13">
            <v>41957.570000000007</v>
          </cell>
          <cell r="J13">
            <v>47306.67</v>
          </cell>
          <cell r="K13">
            <v>48057.196469999995</v>
          </cell>
          <cell r="L13">
            <v>52328.252</v>
          </cell>
          <cell r="M13">
            <v>52889.522099999995</v>
          </cell>
          <cell r="N13">
            <v>55695.26758829</v>
          </cell>
          <cell r="O13">
            <v>547252.9281582901</v>
          </cell>
        </row>
        <row r="15">
          <cell r="B15" t="str">
            <v>Térmica</v>
          </cell>
        </row>
        <row r="16">
          <cell r="B16" t="str">
            <v>T.Vapor</v>
          </cell>
          <cell r="C16">
            <v>6940.6</v>
          </cell>
          <cell r="D16">
            <v>5069</v>
          </cell>
          <cell r="E16">
            <v>2120</v>
          </cell>
          <cell r="F16">
            <v>552.70000000000005</v>
          </cell>
          <cell r="G16">
            <v>8856.7000000000007</v>
          </cell>
          <cell r="H16">
            <v>7504.1</v>
          </cell>
          <cell r="I16">
            <v>7433.9</v>
          </cell>
          <cell r="J16">
            <v>8470.9</v>
          </cell>
          <cell r="K16">
            <v>7659.3</v>
          </cell>
          <cell r="L16">
            <v>8107.2</v>
          </cell>
          <cell r="M16">
            <v>6390.1</v>
          </cell>
          <cell r="N16">
            <v>6526.2</v>
          </cell>
          <cell r="O16">
            <v>75630.7</v>
          </cell>
        </row>
        <row r="17">
          <cell r="B17" t="str">
            <v>T.G.-Ciclo Combinado</v>
          </cell>
          <cell r="C17">
            <v>3298.24</v>
          </cell>
          <cell r="D17">
            <v>1337.78</v>
          </cell>
          <cell r="E17">
            <v>127.73</v>
          </cell>
          <cell r="F17">
            <v>10.971</v>
          </cell>
          <cell r="G17">
            <v>2818.7730000000001</v>
          </cell>
          <cell r="H17">
            <v>12609.84</v>
          </cell>
          <cell r="I17">
            <v>11432.26</v>
          </cell>
          <cell r="J17">
            <v>6429.62</v>
          </cell>
          <cell r="K17">
            <v>5579.0330000000004</v>
          </cell>
          <cell r="L17">
            <v>2548.0230000000001</v>
          </cell>
          <cell r="M17">
            <v>1091.0999999999999</v>
          </cell>
          <cell r="N17">
            <v>3668.4049999999997</v>
          </cell>
          <cell r="O17">
            <v>50951.775000000001</v>
          </cell>
        </row>
        <row r="18">
          <cell r="B18" t="str">
            <v>Sulzers</v>
          </cell>
          <cell r="C18">
            <v>6169.6</v>
          </cell>
          <cell r="D18">
            <v>4370.1000000000004</v>
          </cell>
          <cell r="E18">
            <v>3731.2</v>
          </cell>
          <cell r="F18">
            <v>3168.6</v>
          </cell>
          <cell r="G18">
            <v>6988.8</v>
          </cell>
          <cell r="H18">
            <v>7008.8</v>
          </cell>
          <cell r="I18">
            <v>7018.7</v>
          </cell>
          <cell r="J18">
            <v>7151.7</v>
          </cell>
          <cell r="K18">
            <v>4810.1000000000004</v>
          </cell>
          <cell r="L18">
            <v>7265.5</v>
          </cell>
          <cell r="M18">
            <v>6739.2000000000007</v>
          </cell>
          <cell r="N18">
            <v>7347.9</v>
          </cell>
          <cell r="O18">
            <v>71770.199999999983</v>
          </cell>
        </row>
        <row r="20">
          <cell r="B20" t="str">
            <v>T.G. Cerro Verde  (*)</v>
          </cell>
          <cell r="H20">
            <v>319</v>
          </cell>
          <cell r="L20">
            <v>107.87690000000001</v>
          </cell>
          <cell r="O20">
            <v>426.87689999999998</v>
          </cell>
        </row>
        <row r="21">
          <cell r="B21" t="str">
            <v>Total Térmica</v>
          </cell>
          <cell r="C21">
            <v>16408.440000000002</v>
          </cell>
          <cell r="D21">
            <v>10776.880000000001</v>
          </cell>
          <cell r="E21">
            <v>5978.93</v>
          </cell>
          <cell r="F21">
            <v>3732.2709999999997</v>
          </cell>
          <cell r="G21">
            <v>18664.273000000001</v>
          </cell>
          <cell r="H21">
            <v>27441.74</v>
          </cell>
          <cell r="I21">
            <v>25884.86</v>
          </cell>
          <cell r="J21">
            <v>22052.22</v>
          </cell>
          <cell r="K21">
            <v>18048.433000000001</v>
          </cell>
          <cell r="L21">
            <v>18028.599899999997</v>
          </cell>
          <cell r="M21">
            <v>14220.400000000001</v>
          </cell>
          <cell r="N21">
            <v>17542.504999999997</v>
          </cell>
          <cell r="O21">
            <v>198779.55189999999</v>
          </cell>
        </row>
        <row r="23">
          <cell r="B23" t="str">
            <v>TOTAL EGASA</v>
          </cell>
          <cell r="C23">
            <v>48310.3</v>
          </cell>
          <cell r="D23">
            <v>48367.360000000001</v>
          </cell>
          <cell r="E23">
            <v>58193.08</v>
          </cell>
          <cell r="F23">
            <v>54697.051000000007</v>
          </cell>
          <cell r="G23">
            <v>57405.873</v>
          </cell>
          <cell r="H23">
            <v>65047.320000000007</v>
          </cell>
          <cell r="I23">
            <v>67842.430000000008</v>
          </cell>
          <cell r="J23">
            <v>69358.89</v>
          </cell>
          <cell r="K23">
            <v>66105.62947</v>
          </cell>
          <cell r="L23">
            <v>70356.851899999994</v>
          </cell>
          <cell r="M23">
            <v>67109.922099999996</v>
          </cell>
          <cell r="N23">
            <v>73237.772588289998</v>
          </cell>
          <cell r="O23">
            <v>746032.48005829006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=7 - ago"/>
      <sheetName val="sin ENERSUR"/>
      <sheetName val="conENERSUR (2)"/>
      <sheetName val="conENERSUR C3 fuer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-01"/>
      <sheetName val="pag-02"/>
      <sheetName val="pags-03,04"/>
      <sheetName val="pag-05"/>
      <sheetName val="pag-07"/>
      <sheetName val="pag-08"/>
      <sheetName val="pag-09"/>
      <sheetName val="pag-10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A1" t="str">
            <v>CURVA DE CONSUMO EN EL DIA DE MÁXIMA DEMANDA CLIENTES EGASA - SETIEMBRE 1996</v>
          </cell>
        </row>
        <row r="2">
          <cell r="A2" t="str">
            <v>DISTRIBUIDORAS Y CLIENTES LIBRES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=7 - ago"/>
      <sheetName val="sin ENERSUR"/>
      <sheetName val="conENERSUR (2)"/>
      <sheetName val="conENERSUR C3 fuer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6"/>
      <sheetName val="1997"/>
      <sheetName val="1998"/>
      <sheetName val="1999"/>
    </sheetNames>
    <sheetDataSet>
      <sheetData sheetId="0">
        <row r="1">
          <cell r="B1" t="str">
            <v>PRODUCCIÓN MENSUAL DE ENERGÍA ELÉCTRICA EN EGASA</v>
          </cell>
        </row>
        <row r="2">
          <cell r="B2" t="str">
            <v>AÑO 1996 (MWh)</v>
          </cell>
        </row>
        <row r="4">
          <cell r="B4" t="str">
            <v>CENTRALES</v>
          </cell>
          <cell r="C4" t="str">
            <v>Enero</v>
          </cell>
          <cell r="D4" t="str">
            <v>Febrero</v>
          </cell>
          <cell r="E4" t="str">
            <v>Marzo</v>
          </cell>
          <cell r="F4" t="str">
            <v>Abril</v>
          </cell>
          <cell r="G4" t="str">
            <v>Mayo</v>
          </cell>
          <cell r="H4" t="str">
            <v>Junio</v>
          </cell>
          <cell r="I4" t="str">
            <v>Julio</v>
          </cell>
          <cell r="J4" t="str">
            <v>Agosto</v>
          </cell>
          <cell r="K4" t="str">
            <v>Setiembre</v>
          </cell>
          <cell r="L4" t="str">
            <v>Octubre</v>
          </cell>
          <cell r="M4" t="str">
            <v>Noviembre</v>
          </cell>
          <cell r="N4" t="str">
            <v>Diciembre</v>
          </cell>
          <cell r="O4" t="str">
            <v>Acumulado</v>
          </cell>
        </row>
        <row r="6">
          <cell r="B6" t="str">
            <v>Hidraúlica</v>
          </cell>
        </row>
        <row r="7">
          <cell r="B7" t="str">
            <v>Charcani I</v>
          </cell>
          <cell r="C7">
            <v>638.16</v>
          </cell>
          <cell r="D7">
            <v>518.66999999999996</v>
          </cell>
          <cell r="E7">
            <v>540.04</v>
          </cell>
          <cell r="F7">
            <v>821.15</v>
          </cell>
          <cell r="G7">
            <v>820.87</v>
          </cell>
          <cell r="H7">
            <v>790.8</v>
          </cell>
          <cell r="I7">
            <v>854</v>
          </cell>
          <cell r="J7">
            <v>758.01</v>
          </cell>
          <cell r="K7">
            <v>859.58285999999998</v>
          </cell>
          <cell r="L7">
            <v>896.05399999999997</v>
          </cell>
          <cell r="M7">
            <v>872.72739999999999</v>
          </cell>
          <cell r="N7">
            <v>661.01892079000004</v>
          </cell>
          <cell r="O7">
            <v>9031.0831807899995</v>
          </cell>
        </row>
        <row r="8">
          <cell r="B8" t="str">
            <v>Charcani II</v>
          </cell>
          <cell r="C8">
            <v>427.19</v>
          </cell>
          <cell r="D8">
            <v>342.36</v>
          </cell>
          <cell r="E8">
            <v>429.11</v>
          </cell>
          <cell r="F8">
            <v>395.1</v>
          </cell>
          <cell r="G8">
            <v>431.44</v>
          </cell>
          <cell r="H8">
            <v>415.72</v>
          </cell>
          <cell r="I8">
            <v>421.63</v>
          </cell>
          <cell r="J8">
            <v>414.39</v>
          </cell>
          <cell r="K8">
            <v>399.61968999999999</v>
          </cell>
          <cell r="L8">
            <v>414.55200000000002</v>
          </cell>
          <cell r="M8">
            <v>328.47930000000002</v>
          </cell>
          <cell r="N8">
            <v>313.11628000000002</v>
          </cell>
          <cell r="O8">
            <v>4732.7072700000008</v>
          </cell>
        </row>
        <row r="9">
          <cell r="B9" t="str">
            <v>Charcani III</v>
          </cell>
          <cell r="C9">
            <v>1895.86</v>
          </cell>
          <cell r="D9">
            <v>1663.81</v>
          </cell>
          <cell r="E9">
            <v>2248.7199999999998</v>
          </cell>
          <cell r="F9">
            <v>840.18</v>
          </cell>
          <cell r="G9">
            <v>2123.75</v>
          </cell>
          <cell r="H9">
            <v>2231.85</v>
          </cell>
          <cell r="I9">
            <v>2377.1999999999998</v>
          </cell>
          <cell r="J9">
            <v>2732.95</v>
          </cell>
          <cell r="K9">
            <v>2705.5682000000002</v>
          </cell>
          <cell r="L9">
            <v>2870.7620000000002</v>
          </cell>
          <cell r="M9">
            <v>2768.4789000000001</v>
          </cell>
          <cell r="N9">
            <v>2854.7001</v>
          </cell>
          <cell r="O9">
            <v>27313.8292</v>
          </cell>
        </row>
        <row r="10">
          <cell r="B10" t="str">
            <v>Charcani IV</v>
          </cell>
          <cell r="C10">
            <v>3840.11</v>
          </cell>
          <cell r="D10">
            <v>3628.83</v>
          </cell>
          <cell r="E10">
            <v>6110.31</v>
          </cell>
          <cell r="F10">
            <v>6309.08</v>
          </cell>
          <cell r="G10">
            <v>5083.22</v>
          </cell>
          <cell r="H10">
            <v>4925.2</v>
          </cell>
          <cell r="I10">
            <v>5445.05</v>
          </cell>
          <cell r="J10">
            <v>6075.03</v>
          </cell>
          <cell r="K10">
            <v>6227.3405300000004</v>
          </cell>
          <cell r="L10">
            <v>6775.9179999999997</v>
          </cell>
          <cell r="M10">
            <v>6869.1180000000004</v>
          </cell>
          <cell r="N10">
            <v>7304.7661312499995</v>
          </cell>
          <cell r="O10">
            <v>68593.972661250009</v>
          </cell>
        </row>
        <row r="11">
          <cell r="B11" t="str">
            <v>Charcani V</v>
          </cell>
          <cell r="C11">
            <v>22850.65</v>
          </cell>
          <cell r="D11">
            <v>29495.66</v>
          </cell>
          <cell r="E11">
            <v>42885.97</v>
          </cell>
          <cell r="F11">
            <v>38510.51</v>
          </cell>
          <cell r="G11">
            <v>27343.439999999999</v>
          </cell>
          <cell r="H11">
            <v>26398.07</v>
          </cell>
          <cell r="I11">
            <v>29655.83</v>
          </cell>
          <cell r="J11">
            <v>33662.230000000003</v>
          </cell>
          <cell r="K11">
            <v>34135.0245</v>
          </cell>
          <cell r="L11">
            <v>37300.489000000001</v>
          </cell>
          <cell r="M11">
            <v>37867.834799999997</v>
          </cell>
          <cell r="N11">
            <v>40148.788500000002</v>
          </cell>
          <cell r="O11">
            <v>400254.49680000008</v>
          </cell>
        </row>
        <row r="12">
          <cell r="B12" t="str">
            <v>Charcani VI</v>
          </cell>
          <cell r="C12">
            <v>2249.89</v>
          </cell>
          <cell r="D12">
            <v>1941.15</v>
          </cell>
          <cell r="E12">
            <v>0</v>
          </cell>
          <cell r="F12">
            <v>4088.76</v>
          </cell>
          <cell r="G12">
            <v>2938.88</v>
          </cell>
          <cell r="H12">
            <v>2843.94</v>
          </cell>
          <cell r="I12">
            <v>3203.86</v>
          </cell>
          <cell r="J12">
            <v>3664.06</v>
          </cell>
          <cell r="K12">
            <v>3730.0606899999998</v>
          </cell>
          <cell r="L12">
            <v>4070.4769999999999</v>
          </cell>
          <cell r="M12">
            <v>4182.8837000000003</v>
          </cell>
          <cell r="N12">
            <v>4412.8776562500007</v>
          </cell>
          <cell r="O12">
            <v>37326.839046249996</v>
          </cell>
        </row>
        <row r="13">
          <cell r="B13" t="str">
            <v>Total Hidraúlica</v>
          </cell>
          <cell r="C13">
            <v>31901.86</v>
          </cell>
          <cell r="D13">
            <v>37590.480000000003</v>
          </cell>
          <cell r="E13">
            <v>52214.15</v>
          </cell>
          <cell r="F13">
            <v>50964.780000000006</v>
          </cell>
          <cell r="G13">
            <v>38741.599999999999</v>
          </cell>
          <cell r="H13">
            <v>37605.58</v>
          </cell>
          <cell r="I13">
            <v>41957.570000000007</v>
          </cell>
          <cell r="J13">
            <v>47306.67</v>
          </cell>
          <cell r="K13">
            <v>48057.196469999995</v>
          </cell>
          <cell r="L13">
            <v>52328.252</v>
          </cell>
          <cell r="M13">
            <v>52889.522099999995</v>
          </cell>
          <cell r="N13">
            <v>55695.26758829</v>
          </cell>
          <cell r="O13">
            <v>547252.9281582901</v>
          </cell>
        </row>
        <row r="15">
          <cell r="B15" t="str">
            <v>Térmica</v>
          </cell>
        </row>
        <row r="16">
          <cell r="B16" t="str">
            <v>T.Vapor</v>
          </cell>
          <cell r="C16">
            <v>6940.6</v>
          </cell>
          <cell r="D16">
            <v>5069</v>
          </cell>
          <cell r="E16">
            <v>2120</v>
          </cell>
          <cell r="F16">
            <v>552.70000000000005</v>
          </cell>
          <cell r="G16">
            <v>8856.7000000000007</v>
          </cell>
          <cell r="H16">
            <v>7504.1</v>
          </cell>
          <cell r="I16">
            <v>7433.9</v>
          </cell>
          <cell r="J16">
            <v>8470.9</v>
          </cell>
          <cell r="K16">
            <v>7659.3</v>
          </cell>
          <cell r="L16">
            <v>8107.2</v>
          </cell>
          <cell r="M16">
            <v>6390.1</v>
          </cell>
          <cell r="N16">
            <v>6526.2</v>
          </cell>
          <cell r="O16">
            <v>75630.7</v>
          </cell>
        </row>
        <row r="17">
          <cell r="B17" t="str">
            <v>T.G.-Ciclo Combinado</v>
          </cell>
          <cell r="C17">
            <v>3298.24</v>
          </cell>
          <cell r="D17">
            <v>1337.78</v>
          </cell>
          <cell r="E17">
            <v>127.73</v>
          </cell>
          <cell r="F17">
            <v>10.971</v>
          </cell>
          <cell r="G17">
            <v>2818.7730000000001</v>
          </cell>
          <cell r="H17">
            <v>12609.84</v>
          </cell>
          <cell r="I17">
            <v>11432.26</v>
          </cell>
          <cell r="J17">
            <v>6429.62</v>
          </cell>
          <cell r="K17">
            <v>5579.0330000000004</v>
          </cell>
          <cell r="L17">
            <v>2548.0230000000001</v>
          </cell>
          <cell r="M17">
            <v>1091.0999999999999</v>
          </cell>
          <cell r="N17">
            <v>3668.4049999999997</v>
          </cell>
          <cell r="O17">
            <v>50951.775000000001</v>
          </cell>
        </row>
        <row r="18">
          <cell r="B18" t="str">
            <v>Sulzers</v>
          </cell>
          <cell r="C18">
            <v>6169.6</v>
          </cell>
          <cell r="D18">
            <v>4370.1000000000004</v>
          </cell>
          <cell r="E18">
            <v>3731.2</v>
          </cell>
          <cell r="F18">
            <v>3168.6</v>
          </cell>
          <cell r="G18">
            <v>6988.8</v>
          </cell>
          <cell r="H18">
            <v>7008.8</v>
          </cell>
          <cell r="I18">
            <v>7018.7</v>
          </cell>
          <cell r="J18">
            <v>7151.7</v>
          </cell>
          <cell r="K18">
            <v>4810.1000000000004</v>
          </cell>
          <cell r="L18">
            <v>7265.5</v>
          </cell>
          <cell r="M18">
            <v>6739.2000000000007</v>
          </cell>
          <cell r="N18">
            <v>7347.9</v>
          </cell>
          <cell r="O18">
            <v>71770.199999999983</v>
          </cell>
        </row>
        <row r="20">
          <cell r="B20" t="str">
            <v>Total Térmica</v>
          </cell>
          <cell r="C20">
            <v>16408.440000000002</v>
          </cell>
          <cell r="D20">
            <v>10776.880000000001</v>
          </cell>
          <cell r="E20">
            <v>5978.93</v>
          </cell>
          <cell r="F20">
            <v>3732.2709999999997</v>
          </cell>
          <cell r="G20">
            <v>18664.273000000001</v>
          </cell>
          <cell r="H20">
            <v>27122.74</v>
          </cell>
          <cell r="I20">
            <v>25884.86</v>
          </cell>
          <cell r="J20">
            <v>22052.22</v>
          </cell>
          <cell r="K20">
            <v>18048.433000000001</v>
          </cell>
          <cell r="L20">
            <v>17920.722999999998</v>
          </cell>
          <cell r="M20">
            <v>14220.400000000001</v>
          </cell>
          <cell r="N20">
            <v>17542.504999999997</v>
          </cell>
          <cell r="O20">
            <v>198352.67499999999</v>
          </cell>
        </row>
        <row r="22">
          <cell r="B22" t="str">
            <v>TOTAL EGASA</v>
          </cell>
          <cell r="C22">
            <v>48310.3</v>
          </cell>
          <cell r="D22">
            <v>48367.360000000001</v>
          </cell>
          <cell r="E22">
            <v>58193.08</v>
          </cell>
          <cell r="F22">
            <v>54697.051000000007</v>
          </cell>
          <cell r="G22">
            <v>57405.873</v>
          </cell>
          <cell r="H22">
            <v>64728.320000000007</v>
          </cell>
          <cell r="I22">
            <v>67842.430000000008</v>
          </cell>
          <cell r="J22">
            <v>69358.89</v>
          </cell>
          <cell r="K22">
            <v>66105.62947</v>
          </cell>
          <cell r="L22">
            <v>70248.975000000006</v>
          </cell>
          <cell r="M22">
            <v>67109.922099999996</v>
          </cell>
          <cell r="N22">
            <v>73237.772588289998</v>
          </cell>
          <cell r="O22">
            <v>745605.60315829003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1"/>
      <sheetName val="pag2"/>
      <sheetName val="pag2x "/>
      <sheetName val="pag4"/>
      <sheetName val="pag6"/>
      <sheetName val="pag6x"/>
      <sheetName val="pag7"/>
      <sheetName val="pag8"/>
      <sheetName val="pag9"/>
      <sheetName val="pag10"/>
      <sheetName val="pag 11"/>
      <sheetName val="pag 12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RESUMEN DE TRANSFERENCIA DE ENERGÍA NETA ENTRE GENERADORES DEL SIS</v>
          </cell>
        </row>
        <row r="2">
          <cell r="A2" t="str">
            <v>MES DE AGOSTO</v>
          </cell>
        </row>
        <row r="4">
          <cell r="B4" t="str">
            <v>CONCEPTOS</v>
          </cell>
          <cell r="C4" t="str">
            <v>EGASA</v>
          </cell>
          <cell r="D4" t="str">
            <v>EGESUR</v>
          </cell>
        </row>
        <row r="6">
          <cell r="B6" t="str">
            <v>UNIDADES FÍSICAS</v>
          </cell>
          <cell r="C6" t="str">
            <v>MWh</v>
          </cell>
          <cell r="D6" t="str">
            <v>MWh</v>
          </cell>
        </row>
        <row r="8">
          <cell r="B8" t="str">
            <v>Total</v>
          </cell>
          <cell r="C8">
            <v>1458.2193529318586</v>
          </cell>
          <cell r="D8">
            <v>-1458.2193529318586</v>
          </cell>
        </row>
        <row r="9">
          <cell r="B9" t="str">
            <v>HP</v>
          </cell>
          <cell r="C9">
            <v>1328.7110908199447</v>
          </cell>
          <cell r="D9">
            <v>-1328.7110908199447</v>
          </cell>
        </row>
        <row r="10">
          <cell r="B10" t="str">
            <v>HFP</v>
          </cell>
          <cell r="C10">
            <v>129.50826211191387</v>
          </cell>
          <cell r="D10">
            <v>-129.50826211191387</v>
          </cell>
        </row>
        <row r="12">
          <cell r="B12" t="str">
            <v>UNIDADES MONETARIAS</v>
          </cell>
          <cell r="C12" t="str">
            <v>Miles S/.</v>
          </cell>
          <cell r="D12" t="str">
            <v>Miles S/.</v>
          </cell>
        </row>
        <row r="14">
          <cell r="B14" t="str">
            <v>Total</v>
          </cell>
          <cell r="C14">
            <v>216.28489609090533</v>
          </cell>
          <cell r="D14">
            <v>-216.28489609090533</v>
          </cell>
        </row>
        <row r="15">
          <cell r="B15" t="str">
            <v>HP</v>
          </cell>
          <cell r="C15">
            <v>195.92920786878875</v>
          </cell>
          <cell r="D15">
            <v>-195.92920786878875</v>
          </cell>
        </row>
        <row r="16">
          <cell r="B16" t="str">
            <v>HFP</v>
          </cell>
          <cell r="C16">
            <v>20.355688222116587</v>
          </cell>
          <cell r="D16">
            <v>-20.355688222116587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 95"/>
      <sheetName val="PROD 96"/>
      <sheetName val="PROD 97"/>
      <sheetName val="PROD 98"/>
      <sheetName val="PROD 99"/>
      <sheetName val="PROD 2000"/>
      <sheetName val="PROD 2001"/>
      <sheetName val="PROD 2002"/>
      <sheetName val="PROD 2003"/>
      <sheetName val="PROD 2004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PRODUCCIÓN MENSUAL DE ENERGÍA ELÉCTRICA EN EGASA</v>
          </cell>
        </row>
        <row r="2">
          <cell r="B2" t="str">
            <v>AÑO 1998 (MWh)</v>
          </cell>
        </row>
        <row r="4">
          <cell r="B4" t="str">
            <v>CENTRALES</v>
          </cell>
          <cell r="C4" t="str">
            <v>Enero</v>
          </cell>
          <cell r="D4" t="str">
            <v>Febrero</v>
          </cell>
          <cell r="E4" t="str">
            <v>Marzo</v>
          </cell>
          <cell r="F4" t="str">
            <v>Abril</v>
          </cell>
          <cell r="G4" t="str">
            <v>Mayo</v>
          </cell>
          <cell r="H4" t="str">
            <v>Junio</v>
          </cell>
          <cell r="I4" t="str">
            <v>Julio</v>
          </cell>
          <cell r="J4" t="str">
            <v>Agosto</v>
          </cell>
          <cell r="K4" t="str">
            <v>Septiembre</v>
          </cell>
          <cell r="L4" t="str">
            <v>Octubre</v>
          </cell>
          <cell r="M4" t="str">
            <v>Noviembre</v>
          </cell>
          <cell r="N4" t="str">
            <v>Diciembre</v>
          </cell>
          <cell r="O4" t="str">
            <v>Acumulado</v>
          </cell>
        </row>
        <row r="6">
          <cell r="B6" t="str">
            <v>Hidráulica</v>
          </cell>
        </row>
        <row r="7">
          <cell r="B7" t="str">
            <v>Charcani I</v>
          </cell>
          <cell r="C7">
            <v>536.23</v>
          </cell>
          <cell r="D7">
            <v>406.42</v>
          </cell>
          <cell r="E7">
            <v>799.85</v>
          </cell>
          <cell r="F7">
            <v>812.73</v>
          </cell>
          <cell r="G7">
            <v>757.02</v>
          </cell>
          <cell r="H7">
            <v>698.37</v>
          </cell>
          <cell r="I7">
            <v>993.19</v>
          </cell>
          <cell r="J7">
            <v>1073.8800000000001</v>
          </cell>
          <cell r="K7">
            <v>1088.51</v>
          </cell>
          <cell r="L7">
            <v>1185.49</v>
          </cell>
          <cell r="M7">
            <v>1189.27</v>
          </cell>
          <cell r="N7">
            <v>1264.27</v>
          </cell>
          <cell r="O7">
            <v>10805.230000000001</v>
          </cell>
        </row>
        <row r="8">
          <cell r="B8" t="str">
            <v>Charcani II</v>
          </cell>
          <cell r="C8">
            <v>205.42</v>
          </cell>
          <cell r="D8">
            <v>160.91999999999999</v>
          </cell>
          <cell r="E8">
            <v>282.58</v>
          </cell>
          <cell r="F8">
            <v>399.14</v>
          </cell>
          <cell r="G8">
            <v>421.23</v>
          </cell>
          <cell r="H8">
            <v>413.57</v>
          </cell>
          <cell r="I8">
            <v>432.48</v>
          </cell>
          <cell r="J8">
            <v>425.21</v>
          </cell>
          <cell r="K8">
            <v>395.29</v>
          </cell>
          <cell r="L8">
            <v>427.42</v>
          </cell>
          <cell r="M8">
            <v>411.22</v>
          </cell>
          <cell r="N8">
            <v>424.76</v>
          </cell>
          <cell r="O8">
            <v>4399.2400000000007</v>
          </cell>
        </row>
        <row r="9">
          <cell r="B9" t="str">
            <v>Charcani III</v>
          </cell>
          <cell r="C9">
            <v>2385.35</v>
          </cell>
          <cell r="D9">
            <v>1939.8</v>
          </cell>
          <cell r="E9">
            <v>2756.65</v>
          </cell>
          <cell r="F9">
            <v>2702.44</v>
          </cell>
          <cell r="G9">
            <v>2842.47</v>
          </cell>
          <cell r="H9">
            <v>2727.81</v>
          </cell>
          <cell r="I9">
            <v>2761.37</v>
          </cell>
          <cell r="J9">
            <v>2779.66</v>
          </cell>
          <cell r="K9">
            <v>2684.33</v>
          </cell>
          <cell r="L9">
            <v>2823.72</v>
          </cell>
          <cell r="M9">
            <v>1525.65</v>
          </cell>
          <cell r="N9">
            <v>2772.32</v>
          </cell>
          <cell r="O9">
            <v>30701.57</v>
          </cell>
        </row>
        <row r="10">
          <cell r="B10" t="str">
            <v>Charcani IV</v>
          </cell>
          <cell r="C10">
            <v>7378.81</v>
          </cell>
          <cell r="D10">
            <v>4718.51</v>
          </cell>
          <cell r="E10">
            <v>10039.219999999999</v>
          </cell>
          <cell r="F10">
            <v>8834.2900000000009</v>
          </cell>
          <cell r="G10">
            <v>8155.63</v>
          </cell>
          <cell r="H10">
            <v>6487.06</v>
          </cell>
          <cell r="I10">
            <v>6597.99</v>
          </cell>
          <cell r="J10">
            <v>6604.7</v>
          </cell>
          <cell r="K10">
            <v>7456.81</v>
          </cell>
          <cell r="L10">
            <v>8057.21</v>
          </cell>
          <cell r="M10">
            <v>8121.14</v>
          </cell>
          <cell r="N10">
            <v>8258.7999999999993</v>
          </cell>
          <cell r="O10">
            <v>90710.17</v>
          </cell>
        </row>
        <row r="11">
          <cell r="B11" t="str">
            <v>Charcani V</v>
          </cell>
          <cell r="C11">
            <v>43881.58</v>
          </cell>
          <cell r="D11">
            <v>64417.22</v>
          </cell>
          <cell r="E11">
            <v>56832.84</v>
          </cell>
          <cell r="F11">
            <v>49037.02</v>
          </cell>
          <cell r="G11">
            <v>45599.02</v>
          </cell>
          <cell r="H11">
            <v>35344.959999999999</v>
          </cell>
          <cell r="I11">
            <v>36308.69</v>
          </cell>
          <cell r="J11">
            <v>36191.18</v>
          </cell>
          <cell r="K11">
            <v>41673.699999999997</v>
          </cell>
          <cell r="L11">
            <v>45245.65</v>
          </cell>
          <cell r="M11">
            <v>45606.7</v>
          </cell>
          <cell r="N11">
            <v>47278.34</v>
          </cell>
          <cell r="O11">
            <v>547416.9</v>
          </cell>
        </row>
        <row r="12">
          <cell r="B12" t="str">
            <v>Charcani VI</v>
          </cell>
          <cell r="C12">
            <v>4355.32</v>
          </cell>
          <cell r="D12">
            <v>3996.02</v>
          </cell>
          <cell r="E12">
            <v>5843.01</v>
          </cell>
          <cell r="F12">
            <v>5324.03</v>
          </cell>
          <cell r="G12">
            <v>5011</v>
          </cell>
          <cell r="H12">
            <v>3947.21</v>
          </cell>
          <cell r="I12">
            <v>3971.12</v>
          </cell>
          <cell r="J12">
            <v>3989.49</v>
          </cell>
          <cell r="K12">
            <v>4613.08</v>
          </cell>
          <cell r="L12">
            <v>4999.54</v>
          </cell>
          <cell r="M12">
            <v>5133.72</v>
          </cell>
          <cell r="N12">
            <v>5187.95</v>
          </cell>
          <cell r="O12">
            <v>56371.49</v>
          </cell>
        </row>
        <row r="13">
          <cell r="B13" t="str">
            <v>Total Hidraúlica</v>
          </cell>
          <cell r="C13">
            <v>58742.71</v>
          </cell>
          <cell r="D13">
            <v>75638.89</v>
          </cell>
          <cell r="E13">
            <v>76554.149999999994</v>
          </cell>
          <cell r="F13">
            <v>67109.649999999994</v>
          </cell>
          <cell r="G13">
            <v>62786.369999999995</v>
          </cell>
          <cell r="H13">
            <v>49618.98</v>
          </cell>
          <cell r="I13">
            <v>51064.840000000004</v>
          </cell>
          <cell r="J13">
            <v>51064.12</v>
          </cell>
          <cell r="K13">
            <v>57911.72</v>
          </cell>
          <cell r="L13">
            <v>62739.030000000006</v>
          </cell>
          <cell r="M13">
            <v>61987.7</v>
          </cell>
          <cell r="N13">
            <v>65186.439999999995</v>
          </cell>
          <cell r="O13">
            <v>740404.6</v>
          </cell>
        </row>
        <row r="15">
          <cell r="B15" t="str">
            <v>Térmica</v>
          </cell>
        </row>
        <row r="16">
          <cell r="B16" t="str">
            <v>T.Vapor</v>
          </cell>
          <cell r="C16">
            <v>1247.95</v>
          </cell>
          <cell r="D16">
            <v>314.04000000000002</v>
          </cell>
          <cell r="E16">
            <v>9614.9</v>
          </cell>
          <cell r="F16">
            <v>8309.68</v>
          </cell>
          <cell r="G16">
            <v>11480.29</v>
          </cell>
          <cell r="H16">
            <v>9157.2199999999993</v>
          </cell>
          <cell r="I16">
            <v>9148.11</v>
          </cell>
          <cell r="J16">
            <v>9362</v>
          </cell>
          <cell r="K16">
            <v>2182.2600000000002</v>
          </cell>
          <cell r="L16">
            <v>6008.63</v>
          </cell>
          <cell r="M16">
            <v>8520.66</v>
          </cell>
          <cell r="N16">
            <v>8224.65</v>
          </cell>
          <cell r="O16">
            <v>83570.39</v>
          </cell>
        </row>
        <row r="17">
          <cell r="B17" t="str">
            <v>T.G.-Ciclo Combinado</v>
          </cell>
          <cell r="C17">
            <v>105.95</v>
          </cell>
          <cell r="D17">
            <v>866.14</v>
          </cell>
          <cell r="E17">
            <v>7598.37</v>
          </cell>
          <cell r="F17">
            <v>1503.45</v>
          </cell>
          <cell r="G17">
            <v>6533.68</v>
          </cell>
          <cell r="H17">
            <v>8090.88</v>
          </cell>
          <cell r="I17">
            <v>2145.5500000000002</v>
          </cell>
          <cell r="J17">
            <v>2344.14</v>
          </cell>
          <cell r="K17">
            <v>1067.3800000000001</v>
          </cell>
          <cell r="L17">
            <v>0</v>
          </cell>
          <cell r="M17">
            <v>1553.47</v>
          </cell>
          <cell r="N17">
            <v>584.14</v>
          </cell>
          <cell r="O17">
            <v>32393.15</v>
          </cell>
        </row>
        <row r="18">
          <cell r="B18" t="str">
            <v>Sulzers</v>
          </cell>
          <cell r="C18">
            <v>3239.2</v>
          </cell>
          <cell r="D18">
            <v>1224.4000000000001</v>
          </cell>
          <cell r="E18">
            <v>6915.1</v>
          </cell>
          <cell r="F18">
            <v>6285.4</v>
          </cell>
          <cell r="G18">
            <v>7072.9</v>
          </cell>
          <cell r="H18">
            <v>6773.2</v>
          </cell>
          <cell r="I18">
            <v>7124.5</v>
          </cell>
          <cell r="J18">
            <v>7025.8</v>
          </cell>
          <cell r="K18">
            <v>3685.6</v>
          </cell>
          <cell r="L18">
            <v>7217.3</v>
          </cell>
          <cell r="M18">
            <v>6934.7</v>
          </cell>
          <cell r="N18">
            <v>7056.7</v>
          </cell>
          <cell r="O18">
            <v>70554.8</v>
          </cell>
        </row>
        <row r="19">
          <cell r="B19" t="str">
            <v>C.T. Mollendo</v>
          </cell>
          <cell r="C19">
            <v>2629.8</v>
          </cell>
          <cell r="D19">
            <v>1000.33</v>
          </cell>
          <cell r="E19">
            <v>18153.650000000001</v>
          </cell>
          <cell r="F19">
            <v>21343.54</v>
          </cell>
          <cell r="G19">
            <v>21808.53</v>
          </cell>
          <cell r="H19">
            <v>21392.42</v>
          </cell>
          <cell r="I19">
            <v>20155.25</v>
          </cell>
          <cell r="J19">
            <v>19589.12</v>
          </cell>
          <cell r="K19">
            <v>21834.89</v>
          </cell>
          <cell r="L19">
            <v>22697.23</v>
          </cell>
          <cell r="M19">
            <v>21429.88</v>
          </cell>
          <cell r="N19">
            <v>18038.36</v>
          </cell>
          <cell r="O19">
            <v>210073</v>
          </cell>
        </row>
        <row r="20">
          <cell r="B20" t="str">
            <v>Total Térmica</v>
          </cell>
          <cell r="C20">
            <v>7222.9000000000005</v>
          </cell>
          <cell r="D20">
            <v>3404.91</v>
          </cell>
          <cell r="E20">
            <v>42282.020000000004</v>
          </cell>
          <cell r="F20">
            <v>37442.07</v>
          </cell>
          <cell r="G20">
            <v>46895.4</v>
          </cell>
          <cell r="H20">
            <v>45413.72</v>
          </cell>
          <cell r="I20">
            <v>38573.410000000003</v>
          </cell>
          <cell r="J20">
            <v>38321.06</v>
          </cell>
          <cell r="K20">
            <v>28770.129999999997</v>
          </cell>
          <cell r="L20">
            <v>35923.160000000003</v>
          </cell>
          <cell r="M20">
            <v>38438.71</v>
          </cell>
          <cell r="N20">
            <v>33903.85</v>
          </cell>
          <cell r="O20">
            <v>396591.34</v>
          </cell>
        </row>
        <row r="22">
          <cell r="B22" t="str">
            <v>TOTAL EGASA</v>
          </cell>
          <cell r="C22">
            <v>65965.61</v>
          </cell>
          <cell r="D22">
            <v>79043.8</v>
          </cell>
          <cell r="E22">
            <v>118836.17</v>
          </cell>
          <cell r="F22">
            <v>104551.72</v>
          </cell>
          <cell r="G22">
            <v>109681.76999999999</v>
          </cell>
          <cell r="H22">
            <v>95032.700000000012</v>
          </cell>
          <cell r="I22">
            <v>89638.25</v>
          </cell>
          <cell r="J22">
            <v>89385.18</v>
          </cell>
          <cell r="K22">
            <v>86681.85</v>
          </cell>
          <cell r="L22">
            <v>98662.19</v>
          </cell>
          <cell r="M22">
            <v>100426.41</v>
          </cell>
          <cell r="N22">
            <v>99090.29</v>
          </cell>
          <cell r="O22">
            <v>1136995.94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MANIOBRAS"/>
      <sheetName val="AYUDA"/>
      <sheetName val="NOTAS"/>
      <sheetName val="FECHA"/>
      <sheetName val="INFORMEMENSUAL (2)"/>
      <sheetName val="INFORMEMENSUAL (3)"/>
      <sheetName val="TABLA_BAMPUTAÑE"/>
      <sheetName val="INFORMEDIARIO (2)"/>
      <sheetName val="EXTMES"/>
      <sheetName val="Hoja2"/>
      <sheetName val="Gráfico2"/>
      <sheetName val="DATOSTEC"/>
      <sheetName val="Gráfico3"/>
      <sheetName val="INFORMEDIARIO"/>
      <sheetName val="Gráfico4"/>
      <sheetName val="Gráfico5"/>
      <sheetName val="Gráfico6"/>
      <sheetName val="INFORMEDIARIOsinDiqueEsp"/>
      <sheetName val="INFORMEDIARIOsinDiqueEsp (2)"/>
      <sheetName val="Gráfico7"/>
      <sheetName val="HojaGraficoVolBrutoSinDiqueEsp"/>
      <sheetName val="INFDIAsinDEspMaximosIndividual"/>
      <sheetName val="GrafMaximosIndividuales"/>
      <sheetName val="Cuadro para Gerencia"/>
      <sheetName val="EXTDIA"/>
      <sheetName val="MESAÑOPAS"/>
      <sheetName val="MANIOBRASMES"/>
      <sheetName val="PILLONES"/>
      <sheetName val="Gráfico8"/>
      <sheetName val="curva_CHALHUANCA"/>
      <sheetName val="CHALHUANCA"/>
      <sheetName val="Gráfico9"/>
      <sheetName val="BAMPUTAÑE"/>
      <sheetName val="Gráfico10"/>
      <sheetName val="EXTMES (2)"/>
      <sheetName val="FORMULARIO"/>
      <sheetName val="Hoja1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A3">
            <v>4349</v>
          </cell>
          <cell r="B3">
            <v>0</v>
          </cell>
          <cell r="D3">
            <v>1</v>
          </cell>
        </row>
        <row r="4">
          <cell r="A4">
            <v>4350</v>
          </cell>
          <cell r="B4">
            <v>56091.75</v>
          </cell>
          <cell r="D4">
            <v>1</v>
          </cell>
        </row>
        <row r="5">
          <cell r="A5">
            <v>4351</v>
          </cell>
          <cell r="B5">
            <v>238675.46</v>
          </cell>
          <cell r="D5">
            <v>1</v>
          </cell>
        </row>
        <row r="6">
          <cell r="A6">
            <v>4352</v>
          </cell>
          <cell r="B6">
            <v>556345.74</v>
          </cell>
          <cell r="D6">
            <v>1</v>
          </cell>
        </row>
        <row r="7">
          <cell r="A7">
            <v>4353</v>
          </cell>
          <cell r="B7">
            <v>1031729.86</v>
          </cell>
          <cell r="D7">
            <v>1</v>
          </cell>
        </row>
        <row r="8">
          <cell r="A8">
            <v>4354</v>
          </cell>
          <cell r="B8">
            <v>1696789.37</v>
          </cell>
          <cell r="D8">
            <v>1</v>
          </cell>
        </row>
        <row r="9">
          <cell r="A9">
            <v>4355</v>
          </cell>
          <cell r="B9">
            <v>2615039.3199999998</v>
          </cell>
          <cell r="D9">
            <v>0.8000000000001819</v>
          </cell>
        </row>
        <row r="10">
          <cell r="A10">
            <v>4355.8</v>
          </cell>
          <cell r="B10">
            <v>3643824.19</v>
          </cell>
          <cell r="D10">
            <v>0.1999999999998181</v>
          </cell>
        </row>
        <row r="11">
          <cell r="A11">
            <v>4356</v>
          </cell>
          <cell r="B11">
            <v>3957122.25</v>
          </cell>
          <cell r="D11">
            <v>1</v>
          </cell>
        </row>
        <row r="12">
          <cell r="A12">
            <v>4357</v>
          </cell>
          <cell r="B12">
            <v>5824420.5899999999</v>
          </cell>
          <cell r="D12">
            <v>1</v>
          </cell>
        </row>
        <row r="13">
          <cell r="A13">
            <v>4358</v>
          </cell>
          <cell r="B13">
            <v>8139607.4100000001</v>
          </cell>
          <cell r="D13">
            <v>1</v>
          </cell>
        </row>
        <row r="14">
          <cell r="A14">
            <v>4359</v>
          </cell>
          <cell r="B14">
            <v>10814641.390000001</v>
          </cell>
          <cell r="D14">
            <v>1</v>
          </cell>
        </row>
        <row r="15">
          <cell r="A15">
            <v>4360</v>
          </cell>
          <cell r="B15">
            <v>13737368.41</v>
          </cell>
          <cell r="D15">
            <v>1</v>
          </cell>
        </row>
        <row r="16">
          <cell r="A16">
            <v>4361</v>
          </cell>
          <cell r="B16">
            <v>16877034.100000001</v>
          </cell>
          <cell r="D16">
            <v>1</v>
          </cell>
        </row>
        <row r="17">
          <cell r="A17">
            <v>4362</v>
          </cell>
          <cell r="B17">
            <v>20231338.059999999</v>
          </cell>
          <cell r="D17">
            <v>1</v>
          </cell>
        </row>
        <row r="18">
          <cell r="A18">
            <v>4363</v>
          </cell>
          <cell r="B18">
            <v>23796992.73</v>
          </cell>
          <cell r="D18">
            <v>1</v>
          </cell>
        </row>
        <row r="19">
          <cell r="A19">
            <v>4364</v>
          </cell>
          <cell r="B19">
            <v>27563007.649999999</v>
          </cell>
          <cell r="D19">
            <v>1</v>
          </cell>
        </row>
        <row r="20">
          <cell r="A20">
            <v>4365</v>
          </cell>
          <cell r="B20">
            <v>31515248.82</v>
          </cell>
          <cell r="D20">
            <v>1</v>
          </cell>
        </row>
        <row r="21">
          <cell r="A21">
            <v>4366</v>
          </cell>
          <cell r="B21">
            <v>35673472.200000003</v>
          </cell>
          <cell r="D21">
            <v>1</v>
          </cell>
        </row>
        <row r="22">
          <cell r="A22">
            <v>4367</v>
          </cell>
          <cell r="B22">
            <v>40068003.350000001</v>
          </cell>
          <cell r="D22">
            <v>1</v>
          </cell>
        </row>
        <row r="23">
          <cell r="A23">
            <v>4368</v>
          </cell>
          <cell r="B23">
            <v>44715108.609999999</v>
          </cell>
          <cell r="D23">
            <v>1</v>
          </cell>
        </row>
        <row r="24">
          <cell r="A24">
            <v>4369</v>
          </cell>
          <cell r="B24">
            <v>49623562.009999998</v>
          </cell>
          <cell r="D24">
            <v>1</v>
          </cell>
        </row>
        <row r="25">
          <cell r="A25">
            <v>4370</v>
          </cell>
          <cell r="B25">
            <v>54809004.969999999</v>
          </cell>
          <cell r="D25">
            <v>0.8999999999996362</v>
          </cell>
        </row>
        <row r="26">
          <cell r="A26">
            <v>4370.8999999999996</v>
          </cell>
          <cell r="B26">
            <v>59719738.530000001</v>
          </cell>
          <cell r="D26">
            <v>0.1000000000003638</v>
          </cell>
        </row>
        <row r="27">
          <cell r="A27">
            <v>4371</v>
          </cell>
          <cell r="B27">
            <v>60279684.030000001</v>
          </cell>
          <cell r="D27">
            <v>1</v>
          </cell>
        </row>
        <row r="28">
          <cell r="A28">
            <v>4372</v>
          </cell>
          <cell r="B28">
            <v>66124654.700000003</v>
          </cell>
          <cell r="D28">
            <v>1</v>
          </cell>
        </row>
        <row r="29">
          <cell r="A29">
            <v>4373</v>
          </cell>
          <cell r="B29">
            <v>72250438.060000002</v>
          </cell>
          <cell r="D29">
            <v>1</v>
          </cell>
        </row>
        <row r="30">
          <cell r="A30">
            <v>4374</v>
          </cell>
          <cell r="B30">
            <v>78584528.069999993</v>
          </cell>
          <cell r="D30">
            <v>1</v>
          </cell>
        </row>
        <row r="31">
          <cell r="A31">
            <v>4375</v>
          </cell>
          <cell r="B31">
            <v>85240568.879999995</v>
          </cell>
          <cell r="D31">
            <v>1</v>
          </cell>
        </row>
        <row r="32">
          <cell r="A32">
            <v>4376</v>
          </cell>
          <cell r="B32">
            <v>92240205.920000002</v>
          </cell>
          <cell r="D32">
            <v>1</v>
          </cell>
        </row>
        <row r="33">
          <cell r="A33">
            <v>4377</v>
          </cell>
          <cell r="B33">
            <v>99582836.739999995</v>
          </cell>
          <cell r="D33">
            <v>1</v>
          </cell>
        </row>
        <row r="34">
          <cell r="A34">
            <v>4378</v>
          </cell>
          <cell r="B34">
            <v>107255337.28</v>
          </cell>
          <cell r="D34">
            <v>1</v>
          </cell>
        </row>
        <row r="35">
          <cell r="A35">
            <v>4379</v>
          </cell>
          <cell r="B35">
            <v>115246171.41</v>
          </cell>
          <cell r="D35">
            <v>1</v>
          </cell>
        </row>
        <row r="36">
          <cell r="A36">
            <v>4380</v>
          </cell>
          <cell r="B36">
            <v>123522315.56</v>
          </cell>
          <cell r="D36">
            <v>0</v>
          </cell>
        </row>
      </sheetData>
      <sheetData sheetId="29" refreshError="1"/>
      <sheetData sheetId="30"/>
      <sheetData sheetId="31"/>
      <sheetData sheetId="32" refreshError="1"/>
      <sheetData sheetId="33"/>
      <sheetData sheetId="34" refreshError="1"/>
      <sheetData sheetId="35"/>
      <sheetData sheetId="36"/>
      <sheetData sheetId="37"/>
      <sheetData sheetId="38"/>
      <sheetData sheetId="3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MANIOBRAS"/>
      <sheetName val="AYUDA"/>
      <sheetName val="NOTAS"/>
      <sheetName val="FECHA"/>
      <sheetName val="INFORMEMENSUAL (2)"/>
      <sheetName val="INFORMEMENSUAL (3)"/>
      <sheetName val="Gráfico32"/>
      <sheetName val="Gráfico9"/>
      <sheetName val="DATOSTEC"/>
      <sheetName val="Gráfico10"/>
      <sheetName val="Gráfico41"/>
      <sheetName val="Gráfico42"/>
      <sheetName val="INFORMEDIARIO"/>
      <sheetName val="INFORMEDIARIO (2)"/>
      <sheetName val="INFORMEDIARIOsinDiqueEsp"/>
      <sheetName val="INFORMEDIARIOsinDiqueEsp (2)"/>
      <sheetName val="INFDIAsinDEspMaximosIndividual"/>
      <sheetName val="EXTDIA"/>
      <sheetName val="EXTMES"/>
      <sheetName val="MESAÑOPAS"/>
      <sheetName val="MANIOBRASMES"/>
      <sheetName val="PILLONES"/>
      <sheetName val="Gráfico43"/>
      <sheetName val="curva_CHALHUANCA"/>
      <sheetName val="Hoja1"/>
      <sheetName val="CHALHUANCA"/>
      <sheetName val="Gráfico44"/>
      <sheetName val="BAMPUTAÑE"/>
      <sheetName val="Gráfico45"/>
      <sheetName val="TABLA_BAMPUTAÑE"/>
      <sheetName val="ESTACIONALES -EJECUTADO SEMA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79C8-5059-4D7D-92BC-43A1B6C39D80}">
  <sheetPr codeName="Hoja14">
    <pageSetUpPr fitToPage="1"/>
  </sheetPr>
  <dimension ref="B1:V67"/>
  <sheetViews>
    <sheetView tabSelected="1" zoomScale="86" zoomScaleNormal="86" workbookViewId="0">
      <pane xSplit="2" ySplit="9" topLeftCell="C38" activePane="bottomRight" state="frozen"/>
      <selection activeCell="C62" sqref="C62"/>
      <selection pane="topRight" activeCell="C62" sqref="C62"/>
      <selection pane="bottomLeft" activeCell="C62" sqref="C62"/>
      <selection pane="bottomRight" activeCell="B4" sqref="B4"/>
    </sheetView>
  </sheetViews>
  <sheetFormatPr baseColWidth="10" defaultColWidth="15.7109375" defaultRowHeight="17.45" customHeight="1" x14ac:dyDescent="0.2"/>
  <cols>
    <col min="1" max="1" width="15.7109375" style="4" customWidth="1"/>
    <col min="2" max="2" width="15.7109375" style="2" customWidth="1"/>
    <col min="3" max="12" width="15.7109375" style="4" customWidth="1"/>
    <col min="13" max="13" width="15.7109375" style="25" customWidth="1"/>
    <col min="14" max="16384" width="15.7109375" style="4"/>
  </cols>
  <sheetData>
    <row r="1" spans="2:22" ht="17.45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</row>
    <row r="2" spans="2:22" ht="17.45" customHeight="1" x14ac:dyDescent="0.25"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</row>
    <row r="3" spans="2:22" ht="17.45" customHeight="1" x14ac:dyDescent="0.25">
      <c r="B3" s="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</row>
    <row r="4" spans="2:22" ht="17.45" customHeight="1" thickBot="1" x14ac:dyDescent="0.25"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5"/>
    </row>
    <row r="5" spans="2:22" s="11" customFormat="1" ht="17.45" customHeight="1" thickTop="1" thickBot="1" x14ac:dyDescent="0.3">
      <c r="B5" s="7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9" t="s">
        <v>14</v>
      </c>
      <c r="N5" s="10" t="s">
        <v>15</v>
      </c>
    </row>
    <row r="6" spans="2:22" ht="17.45" customHeight="1" thickTop="1" x14ac:dyDescent="0.2">
      <c r="B6" s="12">
        <v>1968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4"/>
      <c r="N6" s="15"/>
      <c r="O6" s="16"/>
      <c r="P6" s="16"/>
      <c r="Q6" s="16"/>
      <c r="R6" s="16"/>
      <c r="S6" s="16"/>
      <c r="T6" s="16"/>
      <c r="U6" s="16"/>
      <c r="V6" s="16"/>
    </row>
    <row r="7" spans="2:22" ht="17.45" customHeight="1" x14ac:dyDescent="0.2">
      <c r="B7" s="17">
        <v>1969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9"/>
      <c r="N7" s="20"/>
      <c r="O7" s="16"/>
      <c r="P7" s="16"/>
      <c r="Q7" s="16"/>
      <c r="R7" s="16"/>
      <c r="S7" s="16"/>
      <c r="T7" s="16"/>
      <c r="U7" s="16"/>
      <c r="V7" s="16"/>
    </row>
    <row r="8" spans="2:22" ht="17.45" customHeight="1" x14ac:dyDescent="0.2">
      <c r="B8" s="17">
        <v>1970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9"/>
      <c r="N8" s="20"/>
      <c r="O8" s="16"/>
      <c r="P8" s="16"/>
      <c r="Q8" s="16"/>
      <c r="R8" s="16"/>
      <c r="S8" s="16"/>
      <c r="T8" s="16"/>
      <c r="U8" s="16"/>
      <c r="V8" s="16"/>
    </row>
    <row r="9" spans="2:22" ht="17.45" customHeight="1" x14ac:dyDescent="0.25">
      <c r="B9" s="17">
        <v>1971</v>
      </c>
      <c r="C9" s="21"/>
      <c r="D9" s="21"/>
      <c r="E9" s="18"/>
      <c r="F9" s="18"/>
      <c r="G9" s="18"/>
      <c r="H9" s="18"/>
      <c r="I9" s="18"/>
      <c r="J9" s="18"/>
      <c r="K9" s="18"/>
      <c r="L9" s="18"/>
      <c r="M9" s="19"/>
      <c r="N9" s="20"/>
      <c r="O9" s="16"/>
      <c r="P9" s="16"/>
      <c r="Q9" s="16"/>
      <c r="R9" s="16"/>
      <c r="S9" s="16"/>
      <c r="T9" s="16"/>
      <c r="U9" s="16"/>
      <c r="V9" s="16"/>
    </row>
    <row r="10" spans="2:22" ht="17.45" customHeight="1" x14ac:dyDescent="0.2">
      <c r="B10" s="17">
        <v>1972</v>
      </c>
      <c r="C10" s="18">
        <v>27060</v>
      </c>
      <c r="D10" s="18">
        <v>44235</v>
      </c>
      <c r="E10" s="18">
        <v>42425</v>
      </c>
      <c r="F10" s="18">
        <v>44400</v>
      </c>
      <c r="G10" s="18">
        <v>33560</v>
      </c>
      <c r="H10" s="18">
        <v>18122</v>
      </c>
      <c r="I10" s="18">
        <v>5550</v>
      </c>
      <c r="J10" s="18">
        <v>1940</v>
      </c>
      <c r="K10" s="18">
        <v>0</v>
      </c>
      <c r="L10" s="18">
        <v>0</v>
      </c>
      <c r="M10" s="19">
        <v>1779</v>
      </c>
      <c r="N10" s="20">
        <v>0</v>
      </c>
      <c r="O10" s="16"/>
      <c r="P10" s="16"/>
      <c r="Q10" s="16"/>
      <c r="R10" s="16"/>
      <c r="S10" s="16"/>
      <c r="T10" s="16"/>
      <c r="U10" s="16"/>
      <c r="V10" s="16"/>
    </row>
    <row r="11" spans="2:22" ht="17.45" customHeight="1" x14ac:dyDescent="0.2">
      <c r="B11" s="17">
        <v>1973</v>
      </c>
      <c r="C11" s="18">
        <v>29380</v>
      </c>
      <c r="D11" s="18">
        <v>46920</v>
      </c>
      <c r="E11" s="18">
        <v>45775</v>
      </c>
      <c r="F11" s="18">
        <v>43090</v>
      </c>
      <c r="G11" s="18">
        <v>41575</v>
      </c>
      <c r="H11" s="18">
        <v>18148</v>
      </c>
      <c r="I11" s="18">
        <v>20610</v>
      </c>
      <c r="J11" s="18">
        <v>25280</v>
      </c>
      <c r="K11" s="18">
        <v>22680</v>
      </c>
      <c r="L11" s="18">
        <v>7962</v>
      </c>
      <c r="M11" s="19">
        <v>4266</v>
      </c>
      <c r="N11" s="20">
        <v>5857</v>
      </c>
      <c r="O11" s="16"/>
      <c r="P11" s="16"/>
      <c r="Q11" s="16"/>
      <c r="R11" s="16"/>
      <c r="S11" s="16"/>
      <c r="T11" s="16"/>
      <c r="U11" s="16"/>
      <c r="V11" s="16"/>
    </row>
    <row r="12" spans="2:22" ht="17.45" customHeight="1" x14ac:dyDescent="0.2">
      <c r="B12" s="17">
        <v>1974</v>
      </c>
      <c r="C12" s="18">
        <v>18886</v>
      </c>
      <c r="D12" s="18">
        <v>36575</v>
      </c>
      <c r="E12" s="18">
        <v>42225</v>
      </c>
      <c r="F12" s="18">
        <v>36625</v>
      </c>
      <c r="G12" s="18">
        <v>29740</v>
      </c>
      <c r="H12" s="18">
        <v>13120</v>
      </c>
      <c r="I12" s="18">
        <v>4287</v>
      </c>
      <c r="J12" s="18">
        <v>5310</v>
      </c>
      <c r="K12" s="18">
        <v>6632</v>
      </c>
      <c r="L12" s="18">
        <v>7582</v>
      </c>
      <c r="M12" s="19">
        <v>6277</v>
      </c>
      <c r="N12" s="20">
        <v>4635</v>
      </c>
      <c r="O12" s="16"/>
      <c r="P12" s="16"/>
      <c r="Q12" s="16"/>
      <c r="R12" s="16"/>
      <c r="S12" s="16"/>
      <c r="T12" s="16"/>
      <c r="U12" s="16"/>
      <c r="V12" s="16"/>
    </row>
    <row r="13" spans="2:22" ht="17.45" customHeight="1" x14ac:dyDescent="0.2">
      <c r="B13" s="17">
        <v>1975</v>
      </c>
      <c r="C13" s="18">
        <v>13156</v>
      </c>
      <c r="D13" s="18">
        <v>44350</v>
      </c>
      <c r="E13" s="18">
        <v>42160</v>
      </c>
      <c r="F13" s="18">
        <v>21420</v>
      </c>
      <c r="G13" s="18">
        <v>11972</v>
      </c>
      <c r="H13" s="18">
        <v>12728</v>
      </c>
      <c r="I13" s="18">
        <v>18176</v>
      </c>
      <c r="J13" s="18">
        <v>41160</v>
      </c>
      <c r="K13" s="18">
        <v>38460</v>
      </c>
      <c r="L13" s="18">
        <v>20940</v>
      </c>
      <c r="M13" s="19">
        <v>7829</v>
      </c>
      <c r="N13" s="20">
        <v>11588</v>
      </c>
      <c r="O13" s="16"/>
      <c r="P13" s="16"/>
      <c r="Q13" s="16"/>
      <c r="R13" s="16"/>
      <c r="S13" s="16"/>
      <c r="T13" s="16"/>
      <c r="U13" s="16"/>
      <c r="V13" s="16"/>
    </row>
    <row r="14" spans="2:22" ht="17.45" customHeight="1" x14ac:dyDescent="0.2">
      <c r="B14" s="17">
        <v>1976</v>
      </c>
      <c r="C14" s="18">
        <v>42890</v>
      </c>
      <c r="D14" s="18">
        <v>40350</v>
      </c>
      <c r="E14" s="18">
        <v>43600</v>
      </c>
      <c r="F14" s="18">
        <v>34800</v>
      </c>
      <c r="G14" s="18">
        <v>16820</v>
      </c>
      <c r="H14" s="18">
        <v>11864</v>
      </c>
      <c r="I14" s="18">
        <v>20166</v>
      </c>
      <c r="J14" s="18">
        <v>28080</v>
      </c>
      <c r="K14" s="18">
        <v>37100</v>
      </c>
      <c r="L14" s="18">
        <v>28960</v>
      </c>
      <c r="M14" s="19">
        <v>12968</v>
      </c>
      <c r="N14" s="20">
        <v>6247</v>
      </c>
      <c r="O14" s="16"/>
      <c r="P14" s="16"/>
      <c r="Q14" s="16"/>
      <c r="R14" s="16"/>
      <c r="S14" s="16"/>
      <c r="T14" s="16"/>
      <c r="U14" s="16"/>
      <c r="V14" s="16"/>
    </row>
    <row r="15" spans="2:22" ht="17.45" customHeight="1" x14ac:dyDescent="0.2">
      <c r="B15" s="17">
        <v>1977</v>
      </c>
      <c r="C15" s="18">
        <v>7402</v>
      </c>
      <c r="D15" s="18">
        <v>39160</v>
      </c>
      <c r="E15" s="18">
        <v>43725</v>
      </c>
      <c r="F15" s="18">
        <v>32820</v>
      </c>
      <c r="G15" s="18">
        <v>25960</v>
      </c>
      <c r="H15" s="18">
        <v>24940</v>
      </c>
      <c r="I15" s="18">
        <v>23280</v>
      </c>
      <c r="J15" s="18">
        <v>27160</v>
      </c>
      <c r="K15" s="18">
        <v>27420</v>
      </c>
      <c r="L15" s="18">
        <v>23700</v>
      </c>
      <c r="M15" s="19">
        <v>15280</v>
      </c>
      <c r="N15" s="20">
        <v>10364</v>
      </c>
      <c r="O15" s="16"/>
      <c r="P15" s="16"/>
      <c r="Q15" s="16"/>
      <c r="R15" s="16"/>
      <c r="S15" s="16"/>
      <c r="T15" s="16"/>
      <c r="U15" s="16"/>
      <c r="V15" s="16"/>
    </row>
    <row r="16" spans="2:22" ht="17.45" customHeight="1" x14ac:dyDescent="0.2">
      <c r="B16" s="17">
        <v>1978</v>
      </c>
      <c r="C16" s="18">
        <v>32100</v>
      </c>
      <c r="D16" s="18">
        <v>32460</v>
      </c>
      <c r="E16" s="18">
        <v>23100</v>
      </c>
      <c r="F16" s="18">
        <v>20920</v>
      </c>
      <c r="G16" s="18">
        <v>11792</v>
      </c>
      <c r="H16" s="18">
        <v>15406</v>
      </c>
      <c r="I16" s="18">
        <v>17552</v>
      </c>
      <c r="J16" s="18">
        <v>18208</v>
      </c>
      <c r="K16" s="18">
        <v>17792</v>
      </c>
      <c r="L16" s="18">
        <v>13288</v>
      </c>
      <c r="M16" s="19">
        <v>13670</v>
      </c>
      <c r="N16" s="20">
        <v>8105</v>
      </c>
      <c r="O16" s="16"/>
      <c r="P16" s="16"/>
      <c r="Q16" s="16"/>
      <c r="R16" s="16"/>
      <c r="S16" s="16"/>
      <c r="T16" s="16"/>
      <c r="U16" s="16"/>
      <c r="V16" s="16"/>
    </row>
    <row r="17" spans="2:22" ht="17.45" customHeight="1" x14ac:dyDescent="0.2">
      <c r="B17" s="17">
        <v>1979</v>
      </c>
      <c r="C17" s="18">
        <v>13144</v>
      </c>
      <c r="D17" s="18">
        <v>11880</v>
      </c>
      <c r="E17" s="18">
        <v>32740</v>
      </c>
      <c r="F17" s="18">
        <v>23780</v>
      </c>
      <c r="G17" s="18">
        <v>10580</v>
      </c>
      <c r="H17" s="18">
        <v>6889</v>
      </c>
      <c r="I17" s="18">
        <v>5812</v>
      </c>
      <c r="J17" s="18">
        <v>5432</v>
      </c>
      <c r="K17" s="18">
        <v>4635</v>
      </c>
      <c r="L17" s="18">
        <v>6217</v>
      </c>
      <c r="M17" s="19">
        <v>5602</v>
      </c>
      <c r="N17" s="20">
        <v>6165</v>
      </c>
      <c r="O17" s="16"/>
      <c r="P17" s="16"/>
      <c r="Q17" s="16"/>
      <c r="R17" s="16"/>
      <c r="S17" s="16"/>
      <c r="T17" s="16"/>
      <c r="U17" s="16"/>
      <c r="V17" s="16"/>
    </row>
    <row r="18" spans="2:22" ht="17.45" customHeight="1" x14ac:dyDescent="0.2">
      <c r="B18" s="17">
        <v>1980</v>
      </c>
      <c r="C18" s="18">
        <v>5062</v>
      </c>
      <c r="D18" s="18">
        <v>4761</v>
      </c>
      <c r="E18" s="18">
        <v>13228</v>
      </c>
      <c r="F18" s="18">
        <v>9170</v>
      </c>
      <c r="G18" s="18">
        <v>4316</v>
      </c>
      <c r="H18" s="18">
        <v>6319</v>
      </c>
      <c r="I18" s="18">
        <v>6433</v>
      </c>
      <c r="J18" s="18">
        <v>5512</v>
      </c>
      <c r="K18" s="18">
        <v>6642</v>
      </c>
      <c r="L18" s="18">
        <v>9120</v>
      </c>
      <c r="M18" s="19">
        <v>6037</v>
      </c>
      <c r="N18" s="20">
        <v>5430</v>
      </c>
      <c r="O18" s="16"/>
      <c r="P18" s="16"/>
      <c r="Q18" s="16"/>
      <c r="R18" s="16"/>
      <c r="S18" s="16"/>
      <c r="T18" s="16"/>
      <c r="U18" s="16"/>
      <c r="V18" s="16"/>
    </row>
    <row r="19" spans="2:22" ht="17.45" customHeight="1" x14ac:dyDescent="0.2">
      <c r="B19" s="17">
        <v>1981</v>
      </c>
      <c r="C19" s="18">
        <v>13504</v>
      </c>
      <c r="D19" s="18">
        <v>43750</v>
      </c>
      <c r="E19" s="18">
        <v>35160</v>
      </c>
      <c r="F19" s="18">
        <v>37320</v>
      </c>
      <c r="G19" s="18">
        <v>19572</v>
      </c>
      <c r="H19" s="18">
        <v>9080</v>
      </c>
      <c r="I19" s="18">
        <v>9536</v>
      </c>
      <c r="J19" s="18">
        <v>13936</v>
      </c>
      <c r="K19" s="18">
        <v>8600</v>
      </c>
      <c r="L19" s="18">
        <v>4734</v>
      </c>
      <c r="M19" s="19">
        <v>5662</v>
      </c>
      <c r="N19" s="20">
        <v>7126</v>
      </c>
      <c r="O19" s="16"/>
      <c r="P19" s="16"/>
      <c r="Q19" s="16"/>
      <c r="R19" s="16"/>
      <c r="S19" s="16"/>
      <c r="T19" s="16"/>
      <c r="U19" s="16"/>
      <c r="V19" s="16"/>
    </row>
    <row r="20" spans="2:22" ht="17.45" customHeight="1" x14ac:dyDescent="0.2">
      <c r="B20" s="17">
        <v>1982</v>
      </c>
      <c r="C20" s="18">
        <v>17600</v>
      </c>
      <c r="D20" s="18">
        <v>6827</v>
      </c>
      <c r="E20" s="18">
        <v>12504</v>
      </c>
      <c r="F20" s="18">
        <v>11084</v>
      </c>
      <c r="G20" s="18">
        <v>2246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9">
        <v>0</v>
      </c>
      <c r="N20" s="20">
        <v>4442</v>
      </c>
      <c r="O20" s="16"/>
      <c r="P20" s="16"/>
      <c r="Q20" s="16"/>
      <c r="R20" s="16"/>
      <c r="S20" s="16"/>
      <c r="T20" s="16"/>
      <c r="U20" s="16"/>
      <c r="V20" s="16"/>
    </row>
    <row r="21" spans="2:22" ht="17.45" customHeight="1" x14ac:dyDescent="0.2">
      <c r="B21" s="17">
        <v>1983</v>
      </c>
      <c r="C21" s="18">
        <v>5415</v>
      </c>
      <c r="D21" s="18">
        <v>6217</v>
      </c>
      <c r="E21" s="18">
        <v>4420</v>
      </c>
      <c r="F21" s="18">
        <v>7478</v>
      </c>
      <c r="G21" s="18">
        <v>10004</v>
      </c>
      <c r="H21" s="18">
        <v>11036</v>
      </c>
      <c r="I21" s="18">
        <v>11588</v>
      </c>
      <c r="J21" s="18">
        <v>11528</v>
      </c>
      <c r="K21" s="18">
        <v>11396</v>
      </c>
      <c r="L21" s="18">
        <v>8950</v>
      </c>
      <c r="M21" s="19">
        <v>5655</v>
      </c>
      <c r="N21" s="20">
        <v>4305</v>
      </c>
      <c r="O21" s="16"/>
      <c r="P21" s="16"/>
      <c r="Q21" s="16"/>
      <c r="R21" s="16"/>
      <c r="S21" s="16"/>
      <c r="T21" s="16"/>
      <c r="U21" s="16"/>
      <c r="V21" s="16"/>
    </row>
    <row r="22" spans="2:22" ht="17.45" customHeight="1" x14ac:dyDescent="0.2">
      <c r="B22" s="17">
        <v>1984</v>
      </c>
      <c r="C22" s="18">
        <v>26500</v>
      </c>
      <c r="D22" s="18">
        <v>43725</v>
      </c>
      <c r="E22" s="18">
        <v>45175</v>
      </c>
      <c r="F22" s="18">
        <v>37000</v>
      </c>
      <c r="G22" s="18">
        <v>29160</v>
      </c>
      <c r="H22" s="18">
        <v>22900</v>
      </c>
      <c r="I22" s="18">
        <v>16404</v>
      </c>
      <c r="J22" s="18">
        <v>9284</v>
      </c>
      <c r="K22" s="18">
        <v>12408</v>
      </c>
      <c r="L22" s="18">
        <v>13838</v>
      </c>
      <c r="M22" s="19">
        <v>17696</v>
      </c>
      <c r="N22" s="20">
        <v>11036</v>
      </c>
      <c r="O22" s="16"/>
      <c r="P22" s="16"/>
      <c r="Q22" s="16"/>
      <c r="R22" s="16"/>
      <c r="S22" s="16"/>
      <c r="T22" s="16"/>
      <c r="U22" s="16"/>
      <c r="V22" s="16"/>
    </row>
    <row r="23" spans="2:22" s="25" customFormat="1" ht="17.45" customHeight="1" x14ac:dyDescent="0.2">
      <c r="B23" s="22">
        <v>1985</v>
      </c>
      <c r="C23" s="19">
        <v>6613</v>
      </c>
      <c r="D23" s="19">
        <v>43420</v>
      </c>
      <c r="E23" s="19">
        <v>43860</v>
      </c>
      <c r="F23" s="19">
        <v>43210</v>
      </c>
      <c r="G23" s="19">
        <v>33560</v>
      </c>
      <c r="H23" s="19">
        <v>22560</v>
      </c>
      <c r="I23" s="19">
        <v>15238</v>
      </c>
      <c r="J23" s="19">
        <v>15700</v>
      </c>
      <c r="K23" s="19">
        <v>19878</v>
      </c>
      <c r="L23" s="19">
        <v>19080</v>
      </c>
      <c r="M23" s="19">
        <v>20720</v>
      </c>
      <c r="N23" s="23">
        <v>28080</v>
      </c>
      <c r="O23" s="24"/>
      <c r="P23" s="24"/>
      <c r="Q23" s="24"/>
      <c r="R23" s="24"/>
      <c r="S23" s="24"/>
      <c r="T23" s="24"/>
      <c r="U23" s="24"/>
      <c r="V23" s="24"/>
    </row>
    <row r="24" spans="2:22" ht="17.45" customHeight="1" x14ac:dyDescent="0.2">
      <c r="B24" s="17">
        <v>1986</v>
      </c>
      <c r="C24" s="18">
        <v>43210</v>
      </c>
      <c r="D24" s="18">
        <v>44640</v>
      </c>
      <c r="E24" s="18">
        <v>43875</v>
      </c>
      <c r="F24" s="18">
        <v>40900</v>
      </c>
      <c r="G24" s="18">
        <v>26260</v>
      </c>
      <c r="H24" s="18">
        <v>14846</v>
      </c>
      <c r="I24" s="18">
        <v>23020</v>
      </c>
      <c r="J24" s="18">
        <v>29080</v>
      </c>
      <c r="K24" s="18">
        <v>30250</v>
      </c>
      <c r="L24" s="18">
        <v>26720</v>
      </c>
      <c r="M24" s="19">
        <v>19626</v>
      </c>
      <c r="N24" s="20">
        <v>15658</v>
      </c>
      <c r="O24" s="16"/>
      <c r="P24" s="16"/>
      <c r="Q24" s="16"/>
      <c r="R24" s="16"/>
      <c r="S24" s="16"/>
      <c r="T24" s="16"/>
      <c r="U24" s="16"/>
      <c r="V24" s="16"/>
    </row>
    <row r="25" spans="2:22" ht="17.45" customHeight="1" x14ac:dyDescent="0.2">
      <c r="B25" s="17">
        <v>1987</v>
      </c>
      <c r="C25" s="18">
        <v>44575</v>
      </c>
      <c r="D25" s="18">
        <v>33620</v>
      </c>
      <c r="E25" s="18">
        <v>15504</v>
      </c>
      <c r="F25" s="18">
        <v>16400</v>
      </c>
      <c r="G25" s="18">
        <v>23500</v>
      </c>
      <c r="H25" s="18">
        <v>30300</v>
      </c>
      <c r="I25" s="18">
        <v>32120</v>
      </c>
      <c r="J25" s="18">
        <v>23970</v>
      </c>
      <c r="K25" s="18">
        <v>8280</v>
      </c>
      <c r="L25" s="18">
        <v>4437</v>
      </c>
      <c r="M25" s="19">
        <v>6927</v>
      </c>
      <c r="N25" s="20">
        <v>5827</v>
      </c>
      <c r="O25" s="16"/>
      <c r="P25" s="16"/>
      <c r="Q25" s="16"/>
      <c r="R25" s="16"/>
      <c r="S25" s="16"/>
      <c r="T25" s="16"/>
      <c r="U25" s="16"/>
      <c r="V25" s="16"/>
    </row>
    <row r="26" spans="2:22" ht="17.45" customHeight="1" x14ac:dyDescent="0.2">
      <c r="B26" s="17">
        <v>1988</v>
      </c>
      <c r="C26" s="18">
        <v>39800</v>
      </c>
      <c r="D26" s="18">
        <v>38920</v>
      </c>
      <c r="E26" s="18">
        <v>43180</v>
      </c>
      <c r="F26" s="18">
        <v>40860</v>
      </c>
      <c r="G26" s="18">
        <v>38120</v>
      </c>
      <c r="H26" s="18">
        <v>30840</v>
      </c>
      <c r="I26" s="18">
        <v>40100</v>
      </c>
      <c r="J26" s="18">
        <v>32760</v>
      </c>
      <c r="K26" s="18">
        <v>37440</v>
      </c>
      <c r="L26" s="18">
        <v>38220</v>
      </c>
      <c r="M26" s="19">
        <v>24380</v>
      </c>
      <c r="N26" s="20">
        <v>6423</v>
      </c>
      <c r="O26" s="16"/>
      <c r="P26" s="16"/>
      <c r="Q26" s="16"/>
      <c r="R26" s="16"/>
      <c r="S26" s="16"/>
      <c r="T26" s="16"/>
      <c r="U26" s="16"/>
      <c r="V26" s="16"/>
    </row>
    <row r="27" spans="2:22" ht="17.45" customHeight="1" x14ac:dyDescent="0.2">
      <c r="B27" s="17">
        <v>1989</v>
      </c>
      <c r="C27" s="18">
        <v>9596</v>
      </c>
      <c r="D27" s="18">
        <v>25380</v>
      </c>
      <c r="E27" s="18">
        <v>33580</v>
      </c>
      <c r="F27" s="18">
        <v>38060</v>
      </c>
      <c r="G27" s="18">
        <v>25520</v>
      </c>
      <c r="H27" s="18">
        <v>16906</v>
      </c>
      <c r="I27" s="18">
        <v>11924</v>
      </c>
      <c r="J27" s="18">
        <v>9524</v>
      </c>
      <c r="K27" s="18">
        <v>9992</v>
      </c>
      <c r="L27" s="18">
        <v>11980</v>
      </c>
      <c r="M27" s="19">
        <v>8210</v>
      </c>
      <c r="N27" s="20">
        <v>8620</v>
      </c>
      <c r="O27" s="16"/>
      <c r="P27" s="16"/>
      <c r="Q27" s="16"/>
      <c r="R27" s="16"/>
      <c r="S27" s="16"/>
      <c r="T27" s="16"/>
      <c r="U27" s="16"/>
      <c r="V27" s="16"/>
    </row>
    <row r="28" spans="2:22" ht="17.45" customHeight="1" x14ac:dyDescent="0.2">
      <c r="B28" s="17">
        <v>1990</v>
      </c>
      <c r="C28" s="18">
        <v>8980</v>
      </c>
      <c r="D28" s="18">
        <v>6360</v>
      </c>
      <c r="E28" s="18">
        <v>9780</v>
      </c>
      <c r="F28" s="18">
        <v>8860</v>
      </c>
      <c r="G28" s="18">
        <v>9090</v>
      </c>
      <c r="H28" s="18">
        <v>18000</v>
      </c>
      <c r="I28" s="18">
        <v>19262</v>
      </c>
      <c r="J28" s="18">
        <v>17904</v>
      </c>
      <c r="K28" s="18">
        <v>15972</v>
      </c>
      <c r="L28" s="18">
        <v>13432</v>
      </c>
      <c r="M28" s="19">
        <v>13480</v>
      </c>
      <c r="N28" s="20">
        <v>12424</v>
      </c>
      <c r="O28" s="16"/>
      <c r="P28" s="16"/>
      <c r="Q28" s="16"/>
      <c r="R28" s="16"/>
      <c r="S28" s="16"/>
      <c r="T28" s="16"/>
      <c r="U28" s="16"/>
      <c r="V28" s="16"/>
    </row>
    <row r="29" spans="2:22" ht="17.45" customHeight="1" x14ac:dyDescent="0.2">
      <c r="B29" s="17">
        <v>1991</v>
      </c>
      <c r="C29" s="18">
        <v>31340</v>
      </c>
      <c r="D29" s="18">
        <v>33180</v>
      </c>
      <c r="E29" s="18">
        <v>43030</v>
      </c>
      <c r="F29" s="18">
        <v>27680</v>
      </c>
      <c r="G29" s="18">
        <v>13516</v>
      </c>
      <c r="H29" s="18">
        <v>9020</v>
      </c>
      <c r="I29" s="18">
        <v>9776</v>
      </c>
      <c r="J29" s="18">
        <v>5768</v>
      </c>
      <c r="K29" s="18">
        <v>10220</v>
      </c>
      <c r="L29" s="18">
        <v>15350</v>
      </c>
      <c r="M29" s="19">
        <v>6699</v>
      </c>
      <c r="N29" s="20">
        <v>7083</v>
      </c>
      <c r="O29" s="16"/>
      <c r="P29" s="16"/>
      <c r="Q29" s="16"/>
      <c r="R29" s="16"/>
      <c r="S29" s="16"/>
      <c r="T29" s="16"/>
      <c r="U29" s="16"/>
      <c r="V29" s="16"/>
    </row>
    <row r="30" spans="2:22" ht="17.45" customHeight="1" x14ac:dyDescent="0.2">
      <c r="B30" s="17">
        <v>1992</v>
      </c>
      <c r="C30" s="18">
        <v>6233</v>
      </c>
      <c r="D30" s="18">
        <v>9150</v>
      </c>
      <c r="E30" s="18">
        <v>11756</v>
      </c>
      <c r="F30" s="18">
        <v>10350</v>
      </c>
      <c r="G30" s="18">
        <v>9572</v>
      </c>
      <c r="H30" s="18">
        <v>11600</v>
      </c>
      <c r="I30" s="18">
        <v>10856</v>
      </c>
      <c r="J30" s="18">
        <v>8960</v>
      </c>
      <c r="K30" s="18">
        <v>8880</v>
      </c>
      <c r="L30" s="18">
        <v>7107</v>
      </c>
      <c r="M30" s="19">
        <v>7069</v>
      </c>
      <c r="N30" s="20">
        <v>9872</v>
      </c>
      <c r="O30" s="16"/>
      <c r="P30" s="16"/>
      <c r="Q30" s="16"/>
      <c r="R30" s="16"/>
      <c r="S30" s="16"/>
      <c r="T30" s="16"/>
      <c r="U30" s="16"/>
      <c r="V30" s="16"/>
    </row>
    <row r="31" spans="2:22" ht="17.45" customHeight="1" x14ac:dyDescent="0.2">
      <c r="B31" s="17">
        <v>1993</v>
      </c>
      <c r="C31" s="18">
        <v>40440</v>
      </c>
      <c r="D31" s="18">
        <v>28180</v>
      </c>
      <c r="E31" s="18">
        <v>40050</v>
      </c>
      <c r="F31" s="18">
        <v>32760</v>
      </c>
      <c r="G31" s="18">
        <v>21420</v>
      </c>
      <c r="H31" s="18">
        <v>11432</v>
      </c>
      <c r="I31" s="18">
        <v>22305</v>
      </c>
      <c r="J31" s="18">
        <v>20310</v>
      </c>
      <c r="K31" s="18">
        <v>15056</v>
      </c>
      <c r="L31" s="18">
        <v>14160</v>
      </c>
      <c r="M31" s="19">
        <v>13600</v>
      </c>
      <c r="N31" s="20">
        <v>7421</v>
      </c>
      <c r="O31" s="16"/>
      <c r="P31" s="16"/>
      <c r="Q31" s="16"/>
      <c r="R31" s="16"/>
      <c r="S31" s="16"/>
      <c r="T31" s="16"/>
      <c r="U31" s="16"/>
      <c r="V31" s="16"/>
    </row>
    <row r="32" spans="2:22" ht="17.45" customHeight="1" x14ac:dyDescent="0.2">
      <c r="B32" s="17">
        <v>1994</v>
      </c>
      <c r="C32" s="18">
        <v>37850</v>
      </c>
      <c r="D32" s="18">
        <v>41160</v>
      </c>
      <c r="E32" s="18">
        <v>36080</v>
      </c>
      <c r="F32" s="18">
        <v>29860</v>
      </c>
      <c r="G32" s="18">
        <v>20720</v>
      </c>
      <c r="H32" s="18">
        <v>19038</v>
      </c>
      <c r="I32" s="18">
        <v>25660</v>
      </c>
      <c r="J32" s="18">
        <v>20400</v>
      </c>
      <c r="K32" s="18">
        <v>33360</v>
      </c>
      <c r="L32" s="18">
        <v>18416</v>
      </c>
      <c r="M32" s="19">
        <v>17488</v>
      </c>
      <c r="N32" s="20">
        <v>10376</v>
      </c>
      <c r="O32" s="16"/>
      <c r="P32" s="16"/>
      <c r="Q32" s="16"/>
      <c r="R32" s="16"/>
      <c r="S32" s="16"/>
      <c r="T32" s="16"/>
      <c r="U32" s="16"/>
      <c r="V32" s="16"/>
    </row>
    <row r="33" spans="2:22" ht="17.45" customHeight="1" x14ac:dyDescent="0.2">
      <c r="B33" s="17">
        <v>1995</v>
      </c>
      <c r="C33" s="18">
        <v>17728</v>
      </c>
      <c r="D33" s="18">
        <v>13876</v>
      </c>
      <c r="E33" s="18">
        <v>40500</v>
      </c>
      <c r="F33" s="18">
        <v>29160</v>
      </c>
      <c r="G33" s="18">
        <v>19276</v>
      </c>
      <c r="H33" s="18">
        <v>13120</v>
      </c>
      <c r="I33" s="18">
        <v>21115</v>
      </c>
      <c r="J33" s="18">
        <v>27320</v>
      </c>
      <c r="K33" s="18">
        <v>26500</v>
      </c>
      <c r="L33" s="18">
        <v>22180</v>
      </c>
      <c r="M33" s="19">
        <v>9236</v>
      </c>
      <c r="N33" s="20">
        <v>7630</v>
      </c>
      <c r="O33" s="16"/>
      <c r="P33" s="16"/>
      <c r="Q33" s="16"/>
      <c r="R33" s="16"/>
      <c r="S33" s="16"/>
      <c r="T33" s="16"/>
      <c r="U33" s="16"/>
      <c r="V33" s="16"/>
    </row>
    <row r="34" spans="2:22" ht="17.45" customHeight="1" x14ac:dyDescent="0.2">
      <c r="B34" s="17">
        <v>1996</v>
      </c>
      <c r="C34" s="18">
        <v>17200</v>
      </c>
      <c r="D34" s="18">
        <v>44075</v>
      </c>
      <c r="E34" s="18">
        <v>39450</v>
      </c>
      <c r="F34" s="18">
        <v>39250</v>
      </c>
      <c r="G34" s="18">
        <v>36760</v>
      </c>
      <c r="H34" s="18">
        <v>34520</v>
      </c>
      <c r="I34" s="18">
        <v>33460</v>
      </c>
      <c r="J34" s="18">
        <v>30450</v>
      </c>
      <c r="K34" s="18">
        <v>28680</v>
      </c>
      <c r="L34" s="18">
        <v>22440</v>
      </c>
      <c r="M34" s="19">
        <v>10760</v>
      </c>
      <c r="N34" s="20">
        <v>12376</v>
      </c>
      <c r="O34" s="16"/>
      <c r="P34" s="16"/>
      <c r="Q34" s="16"/>
      <c r="R34" s="16"/>
      <c r="S34" s="16"/>
      <c r="T34" s="16"/>
      <c r="U34" s="16"/>
      <c r="V34" s="16"/>
    </row>
    <row r="35" spans="2:22" ht="17.45" customHeight="1" x14ac:dyDescent="0.2">
      <c r="B35" s="17">
        <v>1997</v>
      </c>
      <c r="C35" s="18">
        <v>25940</v>
      </c>
      <c r="D35" s="18">
        <v>43975</v>
      </c>
      <c r="E35" s="18">
        <v>28440</v>
      </c>
      <c r="F35" s="18">
        <v>21880</v>
      </c>
      <c r="G35" s="18">
        <v>15700</v>
      </c>
      <c r="H35" s="18">
        <v>14930</v>
      </c>
      <c r="I35" s="18">
        <v>17004</v>
      </c>
      <c r="J35" s="18">
        <v>17116</v>
      </c>
      <c r="K35" s="18">
        <v>15876</v>
      </c>
      <c r="L35" s="18">
        <v>15732</v>
      </c>
      <c r="M35" s="19">
        <v>13504</v>
      </c>
      <c r="N35" s="20">
        <v>15532</v>
      </c>
      <c r="O35" s="16"/>
      <c r="P35" s="16"/>
      <c r="Q35" s="16"/>
      <c r="R35" s="16"/>
      <c r="S35" s="16"/>
      <c r="T35" s="16"/>
      <c r="U35" s="16"/>
      <c r="V35" s="16"/>
    </row>
    <row r="36" spans="2:22" ht="17.45" customHeight="1" x14ac:dyDescent="0.2">
      <c r="B36" s="17">
        <v>1998</v>
      </c>
      <c r="C36" s="18">
        <v>29240</v>
      </c>
      <c r="D36" s="18">
        <v>32700</v>
      </c>
      <c r="E36" s="18">
        <v>18954</v>
      </c>
      <c r="F36" s="18">
        <v>21340</v>
      </c>
      <c r="G36" s="18">
        <v>32980</v>
      </c>
      <c r="H36" s="18">
        <v>33620</v>
      </c>
      <c r="I36" s="18">
        <v>31760</v>
      </c>
      <c r="J36" s="18">
        <v>36900</v>
      </c>
      <c r="K36" s="18">
        <v>30820</v>
      </c>
      <c r="L36" s="18">
        <v>20382</v>
      </c>
      <c r="M36" s="19">
        <v>13576</v>
      </c>
      <c r="N36" s="20">
        <v>14762</v>
      </c>
      <c r="O36" s="16"/>
      <c r="P36" s="16"/>
      <c r="Q36" s="16"/>
      <c r="R36" s="16"/>
      <c r="S36" s="16"/>
      <c r="T36" s="16"/>
      <c r="U36" s="16"/>
      <c r="V36" s="16"/>
    </row>
    <row r="37" spans="2:22" ht="17.45" customHeight="1" x14ac:dyDescent="0.2">
      <c r="B37" s="17">
        <v>1999</v>
      </c>
      <c r="C37" s="18">
        <v>16400</v>
      </c>
      <c r="D37" s="18">
        <v>44100</v>
      </c>
      <c r="E37" s="18">
        <v>44200</v>
      </c>
      <c r="F37" s="18">
        <v>37220</v>
      </c>
      <c r="G37" s="18">
        <v>41425</v>
      </c>
      <c r="H37" s="18">
        <v>39725</v>
      </c>
      <c r="I37" s="18">
        <v>40840</v>
      </c>
      <c r="J37" s="18">
        <v>34075</v>
      </c>
      <c r="K37" s="18">
        <v>26940</v>
      </c>
      <c r="L37" s="18">
        <v>29180</v>
      </c>
      <c r="M37" s="19">
        <v>26440</v>
      </c>
      <c r="N37" s="20">
        <v>28540</v>
      </c>
      <c r="O37" s="16"/>
      <c r="P37" s="16"/>
      <c r="Q37" s="16"/>
      <c r="R37" s="16"/>
      <c r="S37" s="16"/>
      <c r="T37" s="16"/>
      <c r="U37" s="16"/>
      <c r="V37" s="16"/>
    </row>
    <row r="38" spans="2:22" ht="17.45" customHeight="1" x14ac:dyDescent="0.2">
      <c r="B38" s="17">
        <v>2000</v>
      </c>
      <c r="C38" s="18">
        <v>35240</v>
      </c>
      <c r="D38" s="18">
        <v>44100</v>
      </c>
      <c r="E38" s="18">
        <v>42865</v>
      </c>
      <c r="F38" s="18">
        <v>34220</v>
      </c>
      <c r="G38" s="18">
        <v>32940</v>
      </c>
      <c r="H38" s="18">
        <v>27440</v>
      </c>
      <c r="I38" s="18">
        <v>30520</v>
      </c>
      <c r="J38" s="18">
        <v>32480</v>
      </c>
      <c r="K38" s="18">
        <v>29400</v>
      </c>
      <c r="L38" s="18">
        <v>29020</v>
      </c>
      <c r="M38" s="19">
        <v>27160</v>
      </c>
      <c r="N38" s="20">
        <v>19788</v>
      </c>
      <c r="O38" s="16"/>
      <c r="P38" s="16"/>
      <c r="Q38" s="16"/>
      <c r="R38" s="16"/>
      <c r="S38" s="16"/>
      <c r="T38" s="16"/>
      <c r="U38" s="16"/>
      <c r="V38" s="16"/>
    </row>
    <row r="39" spans="2:22" ht="17.45" customHeight="1" x14ac:dyDescent="0.2">
      <c r="B39" s="17">
        <v>2001</v>
      </c>
      <c r="C39" s="18">
        <v>41550</v>
      </c>
      <c r="D39" s="18">
        <v>45125</v>
      </c>
      <c r="E39" s="18">
        <v>43750</v>
      </c>
      <c r="F39" s="18">
        <v>39475</v>
      </c>
      <c r="G39" s="18">
        <v>38280</v>
      </c>
      <c r="H39" s="18">
        <v>40770</v>
      </c>
      <c r="I39" s="18">
        <v>39275</v>
      </c>
      <c r="J39" s="18">
        <v>42340</v>
      </c>
      <c r="K39" s="18">
        <v>40820</v>
      </c>
      <c r="L39" s="18">
        <v>38220</v>
      </c>
      <c r="M39" s="19">
        <v>32620</v>
      </c>
      <c r="N39" s="20">
        <v>25720</v>
      </c>
      <c r="O39" s="16"/>
      <c r="P39" s="16"/>
      <c r="Q39" s="16"/>
      <c r="R39" s="16"/>
      <c r="S39" s="16"/>
      <c r="T39" s="16"/>
      <c r="U39" s="16"/>
      <c r="V39" s="16"/>
    </row>
    <row r="40" spans="2:22" ht="17.45" customHeight="1" x14ac:dyDescent="0.2">
      <c r="B40" s="17">
        <v>2002</v>
      </c>
      <c r="C40" s="18">
        <v>21130</v>
      </c>
      <c r="D40" s="18">
        <v>43330</v>
      </c>
      <c r="E40" s="18">
        <v>43300</v>
      </c>
      <c r="F40" s="18">
        <v>42640</v>
      </c>
      <c r="G40" s="18">
        <v>34800</v>
      </c>
      <c r="H40" s="18">
        <v>22640</v>
      </c>
      <c r="I40" s="18">
        <v>22485</v>
      </c>
      <c r="J40" s="18">
        <v>23500</v>
      </c>
      <c r="K40" s="18">
        <v>24560</v>
      </c>
      <c r="L40" s="18">
        <v>18736</v>
      </c>
      <c r="M40" s="19">
        <v>22780</v>
      </c>
      <c r="N40" s="20">
        <v>22180</v>
      </c>
      <c r="O40" s="16"/>
      <c r="P40" s="16"/>
      <c r="Q40" s="16"/>
      <c r="R40" s="16"/>
      <c r="S40" s="16"/>
      <c r="T40" s="16"/>
      <c r="U40" s="16"/>
      <c r="V40" s="16"/>
    </row>
    <row r="41" spans="2:22" ht="17.45" customHeight="1" x14ac:dyDescent="0.2">
      <c r="B41" s="17">
        <v>2003</v>
      </c>
      <c r="C41" s="18">
        <v>23740</v>
      </c>
      <c r="D41" s="18">
        <v>32180</v>
      </c>
      <c r="E41" s="18">
        <v>42340</v>
      </c>
      <c r="F41" s="18">
        <v>35960</v>
      </c>
      <c r="G41" s="18">
        <v>29660</v>
      </c>
      <c r="H41" s="18">
        <v>24440</v>
      </c>
      <c r="I41" s="18">
        <v>31140</v>
      </c>
      <c r="J41" s="18">
        <v>33080</v>
      </c>
      <c r="K41" s="18">
        <v>29220</v>
      </c>
      <c r="L41" s="18">
        <v>20184</v>
      </c>
      <c r="M41" s="19">
        <v>13144</v>
      </c>
      <c r="N41" s="20">
        <v>20535</v>
      </c>
      <c r="O41" s="16"/>
      <c r="P41" s="16"/>
      <c r="Q41" s="16"/>
      <c r="R41" s="16"/>
      <c r="S41" s="16"/>
      <c r="T41" s="16"/>
      <c r="U41" s="16"/>
      <c r="V41" s="16"/>
    </row>
    <row r="42" spans="2:22" ht="17.45" customHeight="1" x14ac:dyDescent="0.2">
      <c r="B42" s="17">
        <v>2004</v>
      </c>
      <c r="C42" s="18">
        <v>17671.561000000002</v>
      </c>
      <c r="D42" s="18">
        <v>19945.612000000001</v>
      </c>
      <c r="E42" s="18">
        <v>13833.197</v>
      </c>
      <c r="F42" s="18">
        <v>17671.561000000002</v>
      </c>
      <c r="G42" s="18">
        <v>18748.767</v>
      </c>
      <c r="H42" s="18">
        <v>16653.064999999999</v>
      </c>
      <c r="I42" s="18">
        <v>14261.691000000001</v>
      </c>
      <c r="J42" s="18">
        <v>10567.148999999999</v>
      </c>
      <c r="K42" s="18">
        <v>11053.365</v>
      </c>
      <c r="L42" s="18">
        <v>11731.457</v>
      </c>
      <c r="M42" s="19">
        <v>12576.293</v>
      </c>
      <c r="N42" s="20">
        <v>11011.062</v>
      </c>
      <c r="O42" s="16"/>
      <c r="P42" s="16"/>
      <c r="Q42" s="16"/>
      <c r="R42" s="16"/>
      <c r="S42" s="16"/>
      <c r="T42" s="16"/>
      <c r="U42" s="16"/>
      <c r="V42" s="16"/>
    </row>
    <row r="43" spans="2:22" ht="17.45" customHeight="1" x14ac:dyDescent="0.2">
      <c r="B43" s="17">
        <v>2005</v>
      </c>
      <c r="C43" s="18">
        <v>10136.550999999999</v>
      </c>
      <c r="D43" s="18">
        <v>29969.575000000001</v>
      </c>
      <c r="E43" s="18">
        <v>27676.388999999999</v>
      </c>
      <c r="F43" s="18">
        <v>24186.794999999998</v>
      </c>
      <c r="G43" s="18">
        <v>18106.920999999998</v>
      </c>
      <c r="H43" s="18">
        <v>18344.356</v>
      </c>
      <c r="I43" s="18">
        <v>19530.725999999999</v>
      </c>
      <c r="J43" s="18">
        <v>19455.683000000001</v>
      </c>
      <c r="K43" s="18">
        <v>19737.715</v>
      </c>
      <c r="L43" s="18">
        <v>18088.704000000002</v>
      </c>
      <c r="M43" s="19">
        <v>18491.032999999999</v>
      </c>
      <c r="N43" s="20">
        <v>19100.868999999999</v>
      </c>
      <c r="O43" s="16"/>
      <c r="P43" s="16"/>
      <c r="Q43" s="16"/>
      <c r="R43" s="16"/>
      <c r="S43" s="16"/>
      <c r="T43" s="16"/>
      <c r="U43" s="16"/>
      <c r="V43" s="16"/>
    </row>
    <row r="44" spans="2:22" ht="17.45" customHeight="1" x14ac:dyDescent="0.2">
      <c r="B44" s="17">
        <v>2006</v>
      </c>
      <c r="C44" s="18">
        <v>31710.912</v>
      </c>
      <c r="D44" s="18">
        <v>23898.001</v>
      </c>
      <c r="E44" s="18">
        <v>32479.085999999999</v>
      </c>
      <c r="F44" s="18">
        <v>28690.811000000002</v>
      </c>
      <c r="G44" s="18">
        <v>21447.137999999999</v>
      </c>
      <c r="H44" s="18">
        <v>18730.311000000002</v>
      </c>
      <c r="I44" s="18">
        <v>21115.523000000001</v>
      </c>
      <c r="J44" s="18">
        <v>22237.23</v>
      </c>
      <c r="K44" s="18">
        <v>22038.414000000001</v>
      </c>
      <c r="L44" s="18">
        <v>25950.010999999999</v>
      </c>
      <c r="M44" s="19">
        <v>17725.77</v>
      </c>
      <c r="N44" s="20">
        <v>19399.48</v>
      </c>
      <c r="O44" s="16"/>
      <c r="P44" s="16"/>
      <c r="Q44" s="16"/>
      <c r="R44" s="16"/>
      <c r="S44" s="16"/>
      <c r="T44" s="16"/>
      <c r="U44" s="16"/>
      <c r="V44" s="16"/>
    </row>
    <row r="45" spans="2:22" ht="17.45" customHeight="1" x14ac:dyDescent="0.2">
      <c r="B45" s="17">
        <v>2007</v>
      </c>
      <c r="C45" s="18">
        <v>17979.542000000001</v>
      </c>
      <c r="D45" s="18">
        <v>18970.831999999999</v>
      </c>
      <c r="E45" s="18">
        <v>24248.879000000001</v>
      </c>
      <c r="F45" s="18">
        <v>19718.86</v>
      </c>
      <c r="G45" s="18">
        <v>24560.346000000001</v>
      </c>
      <c r="H45" s="18">
        <v>26056.546999999999</v>
      </c>
      <c r="I45" s="18">
        <v>26980.132000000001</v>
      </c>
      <c r="J45" s="18">
        <v>26764.137999999999</v>
      </c>
      <c r="K45" s="18">
        <v>26420.095000000001</v>
      </c>
      <c r="L45" s="18">
        <v>25020.135999999999</v>
      </c>
      <c r="M45" s="19">
        <v>22915.115000000002</v>
      </c>
      <c r="N45" s="20">
        <v>21146.267</v>
      </c>
      <c r="O45" s="16"/>
      <c r="P45" s="16"/>
      <c r="Q45" s="16"/>
      <c r="R45" s="16"/>
      <c r="S45" s="16"/>
      <c r="T45" s="16"/>
      <c r="U45" s="16"/>
      <c r="V45" s="16"/>
    </row>
    <row r="46" spans="2:22" ht="17.45" customHeight="1" x14ac:dyDescent="0.2">
      <c r="B46" s="17">
        <v>2008</v>
      </c>
      <c r="C46" s="18">
        <v>16531.698</v>
      </c>
      <c r="D46" s="18">
        <v>23635.599999999999</v>
      </c>
      <c r="E46" s="18">
        <v>13656.865</v>
      </c>
      <c r="F46" s="18">
        <v>16764.481</v>
      </c>
      <c r="G46" s="18">
        <v>16854.592000000001</v>
      </c>
      <c r="H46" s="18">
        <v>21682.254000000001</v>
      </c>
      <c r="I46" s="18">
        <v>24596.613000000001</v>
      </c>
      <c r="J46" s="18">
        <v>26999.808000000001</v>
      </c>
      <c r="K46" s="18">
        <v>17433.998</v>
      </c>
      <c r="L46" s="18">
        <v>21028.011999999999</v>
      </c>
      <c r="M46" s="19">
        <v>16854.592000000001</v>
      </c>
      <c r="N46" s="20">
        <v>16710.814999999999</v>
      </c>
      <c r="O46" s="16"/>
      <c r="P46" s="16"/>
      <c r="Q46" s="16"/>
      <c r="R46" s="16"/>
      <c r="S46" s="16"/>
      <c r="T46" s="16"/>
      <c r="U46" s="16"/>
      <c r="V46" s="16"/>
    </row>
    <row r="47" spans="2:22" ht="17.45" customHeight="1" x14ac:dyDescent="0.2">
      <c r="B47" s="17">
        <v>2009</v>
      </c>
      <c r="C47" s="18">
        <v>14673.133</v>
      </c>
      <c r="D47" s="18">
        <v>20054.613000000001</v>
      </c>
      <c r="E47" s="18">
        <v>15646.037</v>
      </c>
      <c r="F47" s="18">
        <v>19996.895</v>
      </c>
      <c r="G47" s="18">
        <v>15000.978999999999</v>
      </c>
      <c r="H47" s="18">
        <v>20577.574000000001</v>
      </c>
      <c r="I47" s="18">
        <v>25295.305</v>
      </c>
      <c r="J47" s="18">
        <v>23864.010999999999</v>
      </c>
      <c r="K47" s="18">
        <v>18353.241999999998</v>
      </c>
      <c r="L47" s="18">
        <v>16033.731</v>
      </c>
      <c r="M47" s="19">
        <v>17052.988000000001</v>
      </c>
      <c r="N47" s="20">
        <v>11615.409</v>
      </c>
      <c r="O47" s="16"/>
      <c r="P47" s="16"/>
      <c r="Q47" s="16"/>
      <c r="R47" s="16"/>
      <c r="S47" s="16"/>
      <c r="T47" s="16"/>
      <c r="U47" s="16"/>
      <c r="V47" s="16"/>
    </row>
    <row r="48" spans="2:22" ht="17.45" customHeight="1" x14ac:dyDescent="0.2">
      <c r="B48" s="17">
        <v>2010</v>
      </c>
      <c r="C48" s="18">
        <v>11224.749</v>
      </c>
      <c r="D48" s="18">
        <v>23284.457999999999</v>
      </c>
      <c r="E48" s="18">
        <v>17125.332999999999</v>
      </c>
      <c r="F48" s="18">
        <v>10669.306</v>
      </c>
      <c r="G48" s="18">
        <v>13540.62</v>
      </c>
      <c r="H48" s="18">
        <v>18038.714</v>
      </c>
      <c r="I48" s="18">
        <v>15035.624</v>
      </c>
      <c r="J48" s="18">
        <v>14638.755999999999</v>
      </c>
      <c r="K48" s="18">
        <v>15418.397999999999</v>
      </c>
      <c r="L48" s="18">
        <v>15018.298000000001</v>
      </c>
      <c r="M48" s="19">
        <v>17726.278999999999</v>
      </c>
      <c r="N48" s="20">
        <v>12045.439</v>
      </c>
      <c r="O48" s="16"/>
      <c r="P48" s="16"/>
      <c r="Q48" s="16"/>
      <c r="R48" s="16"/>
      <c r="S48" s="16"/>
      <c r="T48" s="16"/>
      <c r="U48" s="16"/>
      <c r="V48" s="16"/>
    </row>
    <row r="49" spans="2:22" ht="17.45" customHeight="1" x14ac:dyDescent="0.2">
      <c r="B49" s="17">
        <v>2011</v>
      </c>
      <c r="C49" s="18">
        <v>15000.978999999999</v>
      </c>
      <c r="D49" s="18">
        <v>31288.239000000001</v>
      </c>
      <c r="E49" s="18">
        <v>30594.087</v>
      </c>
      <c r="F49" s="18">
        <v>28526.873</v>
      </c>
      <c r="G49" s="18">
        <v>21146.267</v>
      </c>
      <c r="H49" s="18">
        <v>21982.713</v>
      </c>
      <c r="I49" s="18">
        <v>22792.557000000001</v>
      </c>
      <c r="J49" s="18">
        <v>22284.945</v>
      </c>
      <c r="K49" s="18">
        <v>21562.602999999999</v>
      </c>
      <c r="L49" s="18">
        <v>25915.681</v>
      </c>
      <c r="M49" s="19">
        <v>26759.68</v>
      </c>
      <c r="N49" s="20">
        <v>25465.848000000002</v>
      </c>
      <c r="O49" s="16"/>
      <c r="P49" s="16"/>
      <c r="Q49" s="16"/>
      <c r="R49" s="16"/>
      <c r="S49" s="16"/>
      <c r="T49" s="16"/>
      <c r="U49" s="16"/>
      <c r="V49" s="16"/>
    </row>
    <row r="50" spans="2:22" ht="17.45" customHeight="1" x14ac:dyDescent="0.2">
      <c r="B50" s="17">
        <v>2012</v>
      </c>
      <c r="C50" s="18">
        <v>15716.297</v>
      </c>
      <c r="D50" s="18">
        <v>30111.732</v>
      </c>
      <c r="E50" s="18">
        <v>28908.507000000001</v>
      </c>
      <c r="F50" s="18">
        <v>30043.081999999999</v>
      </c>
      <c r="G50" s="18">
        <v>22731.381000000001</v>
      </c>
      <c r="H50" s="18">
        <v>20073.87</v>
      </c>
      <c r="I50" s="18">
        <v>18763.501</v>
      </c>
      <c r="J50" s="18">
        <v>15383.473</v>
      </c>
      <c r="K50" s="18">
        <v>19881.688999999998</v>
      </c>
      <c r="L50" s="18">
        <v>26542.174999999999</v>
      </c>
      <c r="M50" s="19">
        <v>25851.227999999999</v>
      </c>
      <c r="N50" s="20">
        <v>27814.219000000001</v>
      </c>
      <c r="O50" s="16"/>
      <c r="P50" s="16"/>
      <c r="Q50" s="16"/>
      <c r="R50" s="16"/>
      <c r="S50" s="16"/>
      <c r="T50" s="16"/>
      <c r="U50" s="16"/>
      <c r="V50" s="16"/>
    </row>
    <row r="51" spans="2:22" ht="17.45" customHeight="1" x14ac:dyDescent="0.2">
      <c r="B51" s="17">
        <v>2013</v>
      </c>
      <c r="C51" s="18">
        <v>30111.732</v>
      </c>
      <c r="D51" s="18">
        <v>29928.81</v>
      </c>
      <c r="E51" s="18">
        <v>23987.296999999999</v>
      </c>
      <c r="F51" s="18">
        <v>15963.011</v>
      </c>
      <c r="G51" s="18">
        <v>26477.071</v>
      </c>
      <c r="H51" s="18">
        <v>25359.205999999998</v>
      </c>
      <c r="I51" s="18">
        <v>24533.477999999999</v>
      </c>
      <c r="J51" s="18">
        <v>27836.373</v>
      </c>
      <c r="K51" s="18">
        <v>25615.445</v>
      </c>
      <c r="L51" s="18">
        <v>23325.651999999998</v>
      </c>
      <c r="M51" s="19">
        <v>17983.434000000001</v>
      </c>
      <c r="N51" s="20">
        <v>9871.5120000000006</v>
      </c>
      <c r="O51" s="16"/>
      <c r="P51" s="16"/>
      <c r="Q51" s="16"/>
      <c r="R51" s="16"/>
      <c r="S51" s="16"/>
      <c r="T51" s="16"/>
      <c r="U51" s="16"/>
      <c r="V51" s="16"/>
    </row>
    <row r="52" spans="2:22" ht="17.45" customHeight="1" x14ac:dyDescent="0.2">
      <c r="B52" s="17">
        <v>2014</v>
      </c>
      <c r="C52" s="18">
        <v>11615.409</v>
      </c>
      <c r="D52" s="18">
        <v>7887.6229999999996</v>
      </c>
      <c r="E52" s="18">
        <v>12821.236000000001</v>
      </c>
      <c r="F52" s="18">
        <v>22915.115000000002</v>
      </c>
      <c r="G52" s="18">
        <v>24009.835999999999</v>
      </c>
      <c r="H52" s="18">
        <v>18932.382000000001</v>
      </c>
      <c r="I52" s="18">
        <v>10726.885</v>
      </c>
      <c r="J52" s="18">
        <v>17762.935000000001</v>
      </c>
      <c r="K52" s="18">
        <v>17234.052</v>
      </c>
      <c r="L52" s="18">
        <v>10188.321</v>
      </c>
      <c r="M52" s="19">
        <v>17891.441999999999</v>
      </c>
      <c r="N52" s="20">
        <v>15139.71</v>
      </c>
      <c r="O52" s="16"/>
      <c r="P52" s="16"/>
      <c r="Q52" s="16"/>
      <c r="R52" s="16"/>
      <c r="S52" s="16"/>
      <c r="T52" s="16"/>
      <c r="U52" s="16"/>
      <c r="V52" s="16"/>
    </row>
    <row r="53" spans="2:22" ht="17.45" customHeight="1" x14ac:dyDescent="0.2">
      <c r="B53" s="17">
        <v>2015</v>
      </c>
      <c r="C53" s="18">
        <v>10712.471</v>
      </c>
      <c r="D53" s="18">
        <v>19120.741000000002</v>
      </c>
      <c r="E53" s="18">
        <v>26455.384999999998</v>
      </c>
      <c r="F53" s="18">
        <v>15505.824000000001</v>
      </c>
      <c r="G53" s="18">
        <v>6978.6970000000001</v>
      </c>
      <c r="H53" s="18">
        <v>23387.501</v>
      </c>
      <c r="I53" s="18">
        <v>25082.764999999999</v>
      </c>
      <c r="J53" s="18">
        <v>19007.634999999998</v>
      </c>
      <c r="K53" s="18">
        <v>16228.74</v>
      </c>
      <c r="L53" s="18">
        <v>17061.063999999998</v>
      </c>
      <c r="M53" s="19">
        <v>16674.937999999998</v>
      </c>
      <c r="N53" s="20">
        <v>19805.053</v>
      </c>
      <c r="O53" s="16"/>
      <c r="P53" s="16"/>
      <c r="Q53" s="16"/>
      <c r="R53" s="16"/>
      <c r="S53" s="16"/>
      <c r="T53" s="16"/>
      <c r="U53" s="16"/>
      <c r="V53" s="16"/>
    </row>
    <row r="54" spans="2:22" ht="17.45" customHeight="1" x14ac:dyDescent="0.2">
      <c r="B54" s="17">
        <v>2016</v>
      </c>
      <c r="C54" s="18">
        <v>10712.471</v>
      </c>
      <c r="D54" s="18">
        <v>28191.865000000002</v>
      </c>
      <c r="E54" s="18">
        <v>8499.6360000000004</v>
      </c>
      <c r="F54" s="18">
        <v>15104.989</v>
      </c>
      <c r="G54" s="18">
        <v>16069.13</v>
      </c>
      <c r="H54" s="18">
        <v>20344.361000000001</v>
      </c>
      <c r="I54" s="18">
        <v>23470.076000000001</v>
      </c>
      <c r="J54" s="18">
        <v>29450.845000000001</v>
      </c>
      <c r="K54" s="18">
        <v>27087.353999999999</v>
      </c>
      <c r="L54" s="18">
        <v>24030.697</v>
      </c>
      <c r="M54" s="19">
        <v>15558.356</v>
      </c>
      <c r="N54" s="20">
        <v>9939.7960000000003</v>
      </c>
      <c r="O54" s="16"/>
      <c r="P54" s="16"/>
      <c r="Q54" s="16"/>
      <c r="R54" s="16"/>
      <c r="S54" s="16"/>
      <c r="T54" s="16"/>
      <c r="U54" s="16"/>
      <c r="V54" s="16"/>
    </row>
    <row r="55" spans="2:22" ht="17.45" customHeight="1" x14ac:dyDescent="0.2">
      <c r="B55" s="17">
        <v>2017</v>
      </c>
      <c r="C55" s="18">
        <v>20441.387999999999</v>
      </c>
      <c r="D55" s="18">
        <v>19805.053</v>
      </c>
      <c r="E55" s="18">
        <v>26368.715</v>
      </c>
      <c r="F55" s="18">
        <v>20363.758000000002</v>
      </c>
      <c r="G55" s="18">
        <v>18913.587</v>
      </c>
      <c r="H55" s="18">
        <v>20675.107</v>
      </c>
      <c r="I55" s="18">
        <v>20441.387999999999</v>
      </c>
      <c r="J55" s="18">
        <v>22083.261999999999</v>
      </c>
      <c r="K55" s="18">
        <v>24365.43</v>
      </c>
      <c r="L55" s="18">
        <v>24344.455999999998</v>
      </c>
      <c r="M55" s="19">
        <v>29133.973999999998</v>
      </c>
      <c r="N55" s="20">
        <v>19442.674999999999</v>
      </c>
      <c r="O55" s="16"/>
      <c r="P55" s="16"/>
      <c r="Q55" s="16"/>
      <c r="R55" s="16"/>
      <c r="S55" s="16"/>
      <c r="T55" s="16"/>
      <c r="U55" s="16"/>
      <c r="V55" s="16"/>
    </row>
    <row r="56" spans="2:22" ht="17.45" customHeight="1" x14ac:dyDescent="0.2">
      <c r="B56" s="17">
        <v>2018</v>
      </c>
      <c r="C56" s="18">
        <v>25508.554</v>
      </c>
      <c r="D56" s="18">
        <v>15857.123</v>
      </c>
      <c r="E56" s="18">
        <v>30111.732</v>
      </c>
      <c r="F56" s="18">
        <v>22976.496999999999</v>
      </c>
      <c r="G56" s="18">
        <v>19290.905999999999</v>
      </c>
      <c r="H56" s="18">
        <v>18075.605</v>
      </c>
      <c r="I56" s="18">
        <v>17270.345000000001</v>
      </c>
      <c r="J56" s="18">
        <v>20567.574000000001</v>
      </c>
      <c r="K56" s="18">
        <v>29791.922999999999</v>
      </c>
      <c r="L56" s="18">
        <v>25465.848000000002</v>
      </c>
      <c r="M56" s="19">
        <v>18094.061000000002</v>
      </c>
      <c r="N56" s="20">
        <v>13723.512000000001</v>
      </c>
      <c r="O56" s="16"/>
      <c r="P56" s="16"/>
      <c r="Q56" s="16"/>
      <c r="R56" s="16"/>
      <c r="S56" s="16"/>
      <c r="T56" s="16"/>
      <c r="U56" s="16"/>
      <c r="V56" s="16"/>
    </row>
    <row r="57" spans="2:22" ht="17.45" customHeight="1" x14ac:dyDescent="0.2">
      <c r="B57" s="17">
        <v>2019</v>
      </c>
      <c r="C57" s="18">
        <v>16086.838</v>
      </c>
      <c r="D57" s="18">
        <v>26934.227999999999</v>
      </c>
      <c r="E57" s="18">
        <v>29769.133999999998</v>
      </c>
      <c r="F57" s="18">
        <v>27350.717000000001</v>
      </c>
      <c r="G57" s="18">
        <v>15268.85</v>
      </c>
      <c r="H57" s="18">
        <v>24701.978999999999</v>
      </c>
      <c r="I57" s="18">
        <v>23697.800999999999</v>
      </c>
      <c r="J57" s="18">
        <v>17361.196</v>
      </c>
      <c r="K57" s="18">
        <v>22996.973000000002</v>
      </c>
      <c r="L57" s="18">
        <v>23058.448</v>
      </c>
      <c r="M57" s="19">
        <v>18334.28</v>
      </c>
      <c r="N57" s="20">
        <v>24997.947</v>
      </c>
      <c r="O57" s="16"/>
      <c r="P57" s="16"/>
      <c r="Q57" s="16"/>
      <c r="R57" s="16"/>
      <c r="S57" s="16"/>
      <c r="T57" s="16"/>
      <c r="U57" s="16"/>
      <c r="V57" s="16"/>
    </row>
    <row r="58" spans="2:22" ht="17.45" customHeight="1" x14ac:dyDescent="0.2">
      <c r="B58" s="17">
        <v>2020</v>
      </c>
      <c r="C58" s="18">
        <v>22690.649000000001</v>
      </c>
      <c r="D58" s="18">
        <v>17506.906999999999</v>
      </c>
      <c r="E58" s="18">
        <v>31917.972000000002</v>
      </c>
      <c r="F58" s="18">
        <v>16818.608</v>
      </c>
      <c r="G58" s="18">
        <v>24892.084999999999</v>
      </c>
      <c r="H58" s="18">
        <v>25743.947</v>
      </c>
      <c r="I58" s="18">
        <v>25231.469000000001</v>
      </c>
      <c r="J58" s="18">
        <v>26912.383000000002</v>
      </c>
      <c r="K58" s="18">
        <v>28459.742999999999</v>
      </c>
      <c r="L58" s="18">
        <v>23161.062999999998</v>
      </c>
      <c r="M58" s="19">
        <v>22833.382000000001</v>
      </c>
      <c r="N58" s="20">
        <v>27681.45</v>
      </c>
      <c r="O58" s="16"/>
      <c r="P58" s="16"/>
      <c r="Q58" s="16"/>
      <c r="R58" s="16"/>
      <c r="S58" s="16"/>
      <c r="T58" s="16"/>
      <c r="U58" s="16"/>
      <c r="V58" s="16"/>
    </row>
    <row r="59" spans="2:22" ht="17.45" customHeight="1" x14ac:dyDescent="0.2">
      <c r="B59" s="17">
        <v>2021</v>
      </c>
      <c r="C59" s="18">
        <v>20772.856</v>
      </c>
      <c r="D59" s="18">
        <v>22406.329000000002</v>
      </c>
      <c r="E59" s="18">
        <v>30801.719000000001</v>
      </c>
      <c r="F59" s="18">
        <v>25786.838</v>
      </c>
      <c r="G59" s="18">
        <v>21742.196</v>
      </c>
      <c r="H59" s="18">
        <v>23140.525000000001</v>
      </c>
      <c r="I59" s="18">
        <v>24281.577000000001</v>
      </c>
      <c r="J59" s="18">
        <v>22976.496999999999</v>
      </c>
      <c r="K59" s="18">
        <v>23428.773000000001</v>
      </c>
      <c r="L59" s="18">
        <v>22527.992999999999</v>
      </c>
      <c r="M59" s="19">
        <v>25231.469000000001</v>
      </c>
      <c r="N59" s="20">
        <v>27792.072</v>
      </c>
      <c r="O59" s="16"/>
      <c r="P59" s="16"/>
      <c r="Q59" s="16"/>
      <c r="R59" s="16"/>
      <c r="S59" s="16"/>
      <c r="T59" s="16"/>
      <c r="U59" s="16"/>
      <c r="V59" s="16"/>
    </row>
    <row r="60" spans="2:22" ht="17.45" customHeight="1" x14ac:dyDescent="0.2">
      <c r="B60" s="17">
        <v>2022</v>
      </c>
      <c r="C60" s="18">
        <v>22224.358</v>
      </c>
      <c r="D60" s="18">
        <v>24765.284</v>
      </c>
      <c r="E60" s="18">
        <v>18502.006000000001</v>
      </c>
      <c r="F60" s="18">
        <v>22690.649000000001</v>
      </c>
      <c r="G60" s="18">
        <v>22467.126</v>
      </c>
      <c r="H60" s="18">
        <v>29655.295999999998</v>
      </c>
      <c r="I60" s="18">
        <v>22083.261999999999</v>
      </c>
      <c r="J60" s="18">
        <v>24093.321</v>
      </c>
      <c r="K60" s="18">
        <v>26890.545999999998</v>
      </c>
      <c r="L60" s="18">
        <v>27021.683000000001</v>
      </c>
      <c r="M60" s="19">
        <v>26368.715</v>
      </c>
      <c r="N60" s="20">
        <v>11921.585999999999</v>
      </c>
      <c r="O60" s="16"/>
      <c r="P60" s="16"/>
      <c r="Q60" s="16"/>
      <c r="R60" s="16"/>
      <c r="S60" s="16"/>
      <c r="T60" s="16"/>
      <c r="U60" s="16"/>
      <c r="V60" s="16"/>
    </row>
    <row r="61" spans="2:22" ht="17.45" customHeight="1" x14ac:dyDescent="0.2">
      <c r="B61" s="17">
        <v>2023</v>
      </c>
      <c r="C61" s="18">
        <v>24997.947</v>
      </c>
      <c r="D61" s="18">
        <v>19271.969000000001</v>
      </c>
      <c r="E61" s="18">
        <v>26607.347000000002</v>
      </c>
      <c r="F61" s="18">
        <v>21572.602999999999</v>
      </c>
      <c r="G61" s="18">
        <v>21146.267</v>
      </c>
      <c r="H61" s="18">
        <v>25658.251</v>
      </c>
      <c r="I61" s="18">
        <v>25103.987000000001</v>
      </c>
      <c r="J61" s="18">
        <v>22406.329000000002</v>
      </c>
      <c r="K61" s="18">
        <v>22915.115000000002</v>
      </c>
      <c r="L61" s="18">
        <v>15160.637000000001</v>
      </c>
      <c r="M61" s="19">
        <v>13158.278</v>
      </c>
      <c r="N61" s="20">
        <v>13293.255999999999</v>
      </c>
      <c r="O61" s="16"/>
      <c r="P61" s="16"/>
      <c r="Q61" s="16"/>
      <c r="R61" s="16"/>
      <c r="S61" s="16"/>
      <c r="T61" s="16"/>
      <c r="U61" s="16"/>
      <c r="V61" s="16"/>
    </row>
    <row r="62" spans="2:22" ht="17.45" customHeight="1" x14ac:dyDescent="0.2">
      <c r="B62" s="17">
        <v>2024</v>
      </c>
      <c r="C62" s="18">
        <v>15309.437</v>
      </c>
      <c r="D62" s="18">
        <v>13650.829</v>
      </c>
      <c r="E62" s="18">
        <v>22785.975999999999</v>
      </c>
      <c r="F62" s="18">
        <v>18309.009999999998</v>
      </c>
      <c r="G62" s="18">
        <v>16463.647000000001</v>
      </c>
      <c r="H62" s="18">
        <v>18046.582999999999</v>
      </c>
      <c r="I62" s="18">
        <v>15105.18</v>
      </c>
      <c r="J62" s="18">
        <v>12260.315000000001</v>
      </c>
      <c r="K62" s="18">
        <v>12375.352999999999</v>
      </c>
      <c r="L62" s="18">
        <v>6227.9170000000004</v>
      </c>
      <c r="M62" s="19">
        <v>9978.6049999999996</v>
      </c>
      <c r="N62" s="20">
        <v>9184.5339999999997</v>
      </c>
      <c r="O62" s="16"/>
      <c r="P62" s="16"/>
      <c r="Q62" s="16"/>
      <c r="R62" s="16"/>
      <c r="S62" s="16"/>
      <c r="T62" s="16"/>
      <c r="U62" s="16"/>
      <c r="V62" s="16"/>
    </row>
    <row r="63" spans="2:22" ht="17.45" customHeight="1" thickBot="1" x14ac:dyDescent="0.25">
      <c r="B63" s="26">
        <v>2025</v>
      </c>
      <c r="C63" s="27">
        <v>15086.73</v>
      </c>
      <c r="D63" s="27">
        <v>17328.905999999999</v>
      </c>
      <c r="E63" s="27">
        <v>22740.397000000001</v>
      </c>
      <c r="F63" s="27">
        <v>18924.955000000002</v>
      </c>
      <c r="G63" s="27">
        <v>15573.721</v>
      </c>
      <c r="H63" s="27">
        <v>9993.0059999999994</v>
      </c>
      <c r="I63" s="27">
        <v>14223.16</v>
      </c>
      <c r="J63" s="27">
        <v>16835.935000000001</v>
      </c>
      <c r="K63" s="27">
        <v>16737.789000000001</v>
      </c>
      <c r="L63" s="27">
        <v>15346.893</v>
      </c>
      <c r="M63" s="28">
        <v>9394.982</v>
      </c>
      <c r="N63" s="29"/>
    </row>
    <row r="64" spans="2:22" ht="17.45" customHeight="1" thickTop="1" x14ac:dyDescent="0.2"/>
    <row r="65" spans="3:14" ht="17.45" customHeight="1" x14ac:dyDescent="0.2">
      <c r="H65" s="55"/>
      <c r="K65" s="56"/>
      <c r="L65" s="55"/>
    </row>
    <row r="66" spans="3:14" ht="17.45" customHeight="1" x14ac:dyDescent="0.2">
      <c r="L66" s="25"/>
      <c r="N66" s="25"/>
    </row>
    <row r="67" spans="3:14" ht="17.45" customHeight="1" x14ac:dyDescent="0.2">
      <c r="C67" s="25"/>
    </row>
  </sheetData>
  <phoneticPr fontId="0" type="noConversion"/>
  <printOptions horizontalCentered="1" verticalCentered="1"/>
  <pageMargins left="0.19685039370078741" right="0.19685039370078741" top="1.1811023622047245" bottom="0.35433070866141736" header="0.51181102362204722" footer="0.19685039370078741"/>
  <pageSetup paperSize="9" scale="4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1DE1-97F8-4959-9227-409DCD354EB3}">
  <sheetPr codeName="Hoja15">
    <pageSetUpPr fitToPage="1"/>
  </sheetPr>
  <dimension ref="B1:N67"/>
  <sheetViews>
    <sheetView zoomScale="86" zoomScaleNormal="86" workbookViewId="0">
      <pane xSplit="2" ySplit="9" topLeftCell="C55" activePane="bottomRight" state="frozen"/>
      <selection pane="topRight"/>
      <selection pane="bottomLeft"/>
      <selection pane="bottomRight"/>
    </sheetView>
  </sheetViews>
  <sheetFormatPr baseColWidth="10" defaultColWidth="15.7109375" defaultRowHeight="17.45" customHeight="1" x14ac:dyDescent="0.2"/>
  <cols>
    <col min="1" max="1" width="15.7109375" style="4" customWidth="1"/>
    <col min="2" max="2" width="15.7109375" style="2" customWidth="1"/>
    <col min="3" max="12" width="15.7109375" style="4" customWidth="1"/>
    <col min="13" max="13" width="15.7109375" style="25" customWidth="1"/>
    <col min="14" max="16384" width="15.7109375" style="4"/>
  </cols>
  <sheetData>
    <row r="1" spans="2:14" ht="17.45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</row>
    <row r="2" spans="2:14" ht="17.45" customHeight="1" x14ac:dyDescent="0.25">
      <c r="B2" s="1" t="s">
        <v>16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</row>
    <row r="3" spans="2:14" ht="17.45" customHeight="1" x14ac:dyDescent="0.25">
      <c r="B3" s="1" t="s">
        <v>17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</row>
    <row r="4" spans="2:14" ht="17.45" customHeight="1" thickBot="1" x14ac:dyDescent="0.25"/>
    <row r="5" spans="2:14" s="11" customFormat="1" ht="17.45" customHeight="1" thickTop="1" x14ac:dyDescent="0.25">
      <c r="B5" s="30" t="s">
        <v>3</v>
      </c>
      <c r="C5" s="31" t="s">
        <v>4</v>
      </c>
      <c r="D5" s="31" t="s">
        <v>5</v>
      </c>
      <c r="E5" s="31" t="s">
        <v>6</v>
      </c>
      <c r="F5" s="31" t="s">
        <v>7</v>
      </c>
      <c r="G5" s="31" t="s">
        <v>8</v>
      </c>
      <c r="H5" s="31" t="s">
        <v>9</v>
      </c>
      <c r="I5" s="31" t="s">
        <v>10</v>
      </c>
      <c r="J5" s="31" t="s">
        <v>11</v>
      </c>
      <c r="K5" s="31" t="s">
        <v>12</v>
      </c>
      <c r="L5" s="31" t="s">
        <v>13</v>
      </c>
      <c r="M5" s="32" t="s">
        <v>14</v>
      </c>
      <c r="N5" s="33" t="s">
        <v>15</v>
      </c>
    </row>
    <row r="6" spans="2:14" ht="17.45" customHeight="1" x14ac:dyDescent="0.2">
      <c r="B6" s="17">
        <v>1968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5"/>
      <c r="N6" s="36"/>
    </row>
    <row r="7" spans="2:14" ht="17.45" customHeight="1" x14ac:dyDescent="0.2">
      <c r="B7" s="17">
        <v>1969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5"/>
      <c r="N7" s="36"/>
    </row>
    <row r="8" spans="2:14" ht="17.45" customHeight="1" x14ac:dyDescent="0.2">
      <c r="B8" s="17">
        <v>1970</v>
      </c>
      <c r="C8" s="18">
        <v>43960</v>
      </c>
      <c r="D8" s="18">
        <v>58200</v>
      </c>
      <c r="E8" s="18">
        <v>75560</v>
      </c>
      <c r="F8" s="18">
        <v>73600</v>
      </c>
      <c r="G8" s="18">
        <v>61920</v>
      </c>
      <c r="H8" s="18">
        <v>51060</v>
      </c>
      <c r="I8" s="18">
        <v>41250</v>
      </c>
      <c r="J8" s="18">
        <v>31720</v>
      </c>
      <c r="K8" s="18">
        <v>18810</v>
      </c>
      <c r="L8" s="18">
        <v>10360</v>
      </c>
      <c r="M8" s="19">
        <v>6021</v>
      </c>
      <c r="N8" s="20">
        <v>1910</v>
      </c>
    </row>
    <row r="9" spans="2:14" ht="17.45" customHeight="1" x14ac:dyDescent="0.2">
      <c r="B9" s="17">
        <v>1971</v>
      </c>
      <c r="C9" s="18">
        <v>12980</v>
      </c>
      <c r="D9" s="18">
        <v>35200</v>
      </c>
      <c r="E9" s="18">
        <v>54300</v>
      </c>
      <c r="F9" s="18">
        <v>57660</v>
      </c>
      <c r="G9" s="18">
        <v>51180</v>
      </c>
      <c r="H9" s="18">
        <v>32240</v>
      </c>
      <c r="I9" s="18">
        <v>22335</v>
      </c>
      <c r="J9" s="18">
        <v>6460</v>
      </c>
      <c r="K9" s="18">
        <v>6280</v>
      </c>
      <c r="L9" s="18">
        <v>8100</v>
      </c>
      <c r="M9" s="19">
        <v>9740</v>
      </c>
      <c r="N9" s="20">
        <v>7480</v>
      </c>
    </row>
    <row r="10" spans="2:14" ht="17.45" customHeight="1" x14ac:dyDescent="0.2">
      <c r="B10" s="17">
        <v>1972</v>
      </c>
      <c r="C10" s="18">
        <v>26840</v>
      </c>
      <c r="D10" s="18">
        <v>50220</v>
      </c>
      <c r="E10" s="18">
        <v>115700</v>
      </c>
      <c r="F10" s="18">
        <v>129960</v>
      </c>
      <c r="G10" s="18">
        <v>131760</v>
      </c>
      <c r="H10" s="18">
        <v>131400</v>
      </c>
      <c r="I10" s="18">
        <v>117600</v>
      </c>
      <c r="J10" s="18">
        <v>103920</v>
      </c>
      <c r="K10" s="18">
        <v>91600</v>
      </c>
      <c r="L10" s="18">
        <v>73670</v>
      </c>
      <c r="M10" s="19">
        <v>85700</v>
      </c>
      <c r="N10" s="20">
        <v>68070</v>
      </c>
    </row>
    <row r="11" spans="2:14" ht="17.45" customHeight="1" x14ac:dyDescent="0.2">
      <c r="B11" s="17">
        <v>1973</v>
      </c>
      <c r="C11" s="18">
        <v>87440</v>
      </c>
      <c r="D11" s="18">
        <v>130320</v>
      </c>
      <c r="E11" s="18">
        <v>146520</v>
      </c>
      <c r="F11" s="18">
        <v>146400</v>
      </c>
      <c r="G11" s="18">
        <v>147000</v>
      </c>
      <c r="H11" s="18">
        <v>140160</v>
      </c>
      <c r="I11" s="18">
        <v>108160</v>
      </c>
      <c r="J11" s="18">
        <v>87360</v>
      </c>
      <c r="K11" s="18">
        <v>87120</v>
      </c>
      <c r="L11" s="18">
        <v>76400</v>
      </c>
      <c r="M11" s="19">
        <v>57000</v>
      </c>
      <c r="N11" s="20">
        <v>44820</v>
      </c>
    </row>
    <row r="12" spans="2:14" ht="17.45" customHeight="1" x14ac:dyDescent="0.2">
      <c r="B12" s="17">
        <v>1974</v>
      </c>
      <c r="C12" s="18">
        <v>98160</v>
      </c>
      <c r="D12" s="18">
        <v>135560</v>
      </c>
      <c r="E12" s="18">
        <v>162620</v>
      </c>
      <c r="F12" s="18">
        <v>167840</v>
      </c>
      <c r="G12" s="18">
        <v>168080</v>
      </c>
      <c r="H12" s="18">
        <v>164335</v>
      </c>
      <c r="I12" s="18">
        <v>135080</v>
      </c>
      <c r="J12" s="18">
        <v>111800</v>
      </c>
      <c r="K12" s="18">
        <v>95920</v>
      </c>
      <c r="L12" s="18">
        <v>85360</v>
      </c>
      <c r="M12" s="19">
        <v>75000</v>
      </c>
      <c r="N12" s="20">
        <v>59760</v>
      </c>
    </row>
    <row r="13" spans="2:14" ht="17.45" customHeight="1" x14ac:dyDescent="0.2">
      <c r="B13" s="17">
        <v>1975</v>
      </c>
      <c r="C13" s="18">
        <v>67400</v>
      </c>
      <c r="D13" s="18">
        <v>119300</v>
      </c>
      <c r="E13" s="18">
        <v>161820</v>
      </c>
      <c r="F13" s="18">
        <v>168790</v>
      </c>
      <c r="G13" s="18">
        <v>159400</v>
      </c>
      <c r="H13" s="18">
        <v>144600</v>
      </c>
      <c r="I13" s="18">
        <v>118700</v>
      </c>
      <c r="J13" s="18">
        <v>75490</v>
      </c>
      <c r="K13" s="18">
        <v>46840</v>
      </c>
      <c r="L13" s="18">
        <v>34360</v>
      </c>
      <c r="M13" s="19">
        <v>28120</v>
      </c>
      <c r="N13" s="20">
        <v>22269</v>
      </c>
    </row>
    <row r="14" spans="2:14" ht="17.45" customHeight="1" x14ac:dyDescent="0.2">
      <c r="B14" s="17">
        <v>1976</v>
      </c>
      <c r="C14" s="18">
        <v>41200</v>
      </c>
      <c r="D14" s="18">
        <v>62120</v>
      </c>
      <c r="E14" s="18">
        <v>84480</v>
      </c>
      <c r="F14" s="18">
        <v>92560</v>
      </c>
      <c r="G14" s="18">
        <v>94880</v>
      </c>
      <c r="H14" s="18">
        <v>90800</v>
      </c>
      <c r="I14" s="18">
        <v>75910</v>
      </c>
      <c r="J14" s="18">
        <v>59760</v>
      </c>
      <c r="K14" s="18">
        <v>43120</v>
      </c>
      <c r="L14" s="18">
        <v>30480</v>
      </c>
      <c r="M14" s="19">
        <v>27320</v>
      </c>
      <c r="N14" s="20">
        <v>22369</v>
      </c>
    </row>
    <row r="15" spans="2:14" ht="17.45" customHeight="1" x14ac:dyDescent="0.2">
      <c r="B15" s="17">
        <v>1977</v>
      </c>
      <c r="C15" s="18">
        <v>17100</v>
      </c>
      <c r="D15" s="18">
        <v>53460</v>
      </c>
      <c r="E15" s="18">
        <v>103200</v>
      </c>
      <c r="F15" s="18">
        <v>108640</v>
      </c>
      <c r="G15" s="18">
        <v>103360</v>
      </c>
      <c r="H15" s="18">
        <v>93920</v>
      </c>
      <c r="I15" s="18">
        <v>82640</v>
      </c>
      <c r="J15" s="18">
        <v>63000</v>
      </c>
      <c r="K15" s="18">
        <v>47280</v>
      </c>
      <c r="L15" s="18">
        <v>39150</v>
      </c>
      <c r="M15" s="19">
        <v>43540</v>
      </c>
      <c r="N15" s="20">
        <v>37760</v>
      </c>
    </row>
    <row r="16" spans="2:14" ht="17.45" customHeight="1" x14ac:dyDescent="0.2">
      <c r="B16" s="17">
        <v>1978</v>
      </c>
      <c r="C16" s="18">
        <v>58480</v>
      </c>
      <c r="D16" s="18">
        <v>69540</v>
      </c>
      <c r="E16" s="18">
        <v>73370</v>
      </c>
      <c r="F16" s="18">
        <v>78710</v>
      </c>
      <c r="G16" s="18">
        <v>78360</v>
      </c>
      <c r="H16" s="18">
        <v>65700</v>
      </c>
      <c r="I16" s="18">
        <v>52980</v>
      </c>
      <c r="J16" s="18">
        <v>40150</v>
      </c>
      <c r="K16" s="18">
        <v>27920</v>
      </c>
      <c r="L16" s="18">
        <v>17650</v>
      </c>
      <c r="M16" s="19">
        <v>15625</v>
      </c>
      <c r="N16" s="20">
        <v>19020</v>
      </c>
    </row>
    <row r="17" spans="2:14" ht="17.45" customHeight="1" x14ac:dyDescent="0.2">
      <c r="B17" s="17">
        <v>1979</v>
      </c>
      <c r="C17" s="18">
        <v>22602</v>
      </c>
      <c r="D17" s="18">
        <v>26280</v>
      </c>
      <c r="E17" s="18">
        <v>41150</v>
      </c>
      <c r="F17" s="18">
        <v>44260</v>
      </c>
      <c r="G17" s="18">
        <v>46320</v>
      </c>
      <c r="H17" s="18">
        <v>41100</v>
      </c>
      <c r="I17" s="18">
        <v>34160</v>
      </c>
      <c r="J17" s="18">
        <v>24367</v>
      </c>
      <c r="K17" s="18">
        <v>17125</v>
      </c>
      <c r="L17" s="18">
        <v>13875</v>
      </c>
      <c r="M17" s="19">
        <v>11360</v>
      </c>
      <c r="N17" s="20">
        <v>8780</v>
      </c>
    </row>
    <row r="18" spans="2:14" ht="17.45" customHeight="1" x14ac:dyDescent="0.2">
      <c r="B18" s="17">
        <v>1980</v>
      </c>
      <c r="C18" s="18">
        <v>9300</v>
      </c>
      <c r="D18" s="18">
        <v>7980</v>
      </c>
      <c r="E18" s="18">
        <v>17925</v>
      </c>
      <c r="F18" s="18">
        <v>20940</v>
      </c>
      <c r="G18" s="18">
        <v>20040</v>
      </c>
      <c r="H18" s="18">
        <v>13250</v>
      </c>
      <c r="I18" s="18">
        <v>8420</v>
      </c>
      <c r="J18" s="18">
        <v>5640</v>
      </c>
      <c r="K18" s="18">
        <v>3900</v>
      </c>
      <c r="L18" s="18">
        <v>9820</v>
      </c>
      <c r="M18" s="19">
        <v>11560</v>
      </c>
      <c r="N18" s="20">
        <v>10900</v>
      </c>
    </row>
    <row r="19" spans="2:14" ht="17.45" customHeight="1" x14ac:dyDescent="0.2">
      <c r="B19" s="17">
        <v>1981</v>
      </c>
      <c r="C19" s="18">
        <v>22968</v>
      </c>
      <c r="D19" s="18">
        <v>61560</v>
      </c>
      <c r="E19" s="18">
        <v>82000</v>
      </c>
      <c r="F19" s="18">
        <v>89840</v>
      </c>
      <c r="G19" s="18">
        <v>91200</v>
      </c>
      <c r="H19" s="18">
        <v>91320</v>
      </c>
      <c r="I19" s="18">
        <v>85840</v>
      </c>
      <c r="J19" s="18">
        <v>77520</v>
      </c>
      <c r="K19" s="18">
        <v>75140</v>
      </c>
      <c r="L19" s="18">
        <v>66700</v>
      </c>
      <c r="M19" s="19">
        <v>50220</v>
      </c>
      <c r="N19" s="20">
        <v>37240</v>
      </c>
    </row>
    <row r="20" spans="2:14" ht="17.45" customHeight="1" x14ac:dyDescent="0.2">
      <c r="B20" s="17">
        <v>1982</v>
      </c>
      <c r="C20" s="18">
        <v>51060</v>
      </c>
      <c r="D20" s="18">
        <v>55620</v>
      </c>
      <c r="E20" s="18">
        <v>61800</v>
      </c>
      <c r="F20" s="18">
        <v>66700</v>
      </c>
      <c r="G20" s="18">
        <v>62520</v>
      </c>
      <c r="H20" s="18">
        <v>52680</v>
      </c>
      <c r="I20" s="18">
        <v>42350</v>
      </c>
      <c r="J20" s="18">
        <v>36800</v>
      </c>
      <c r="K20" s="18">
        <v>34600</v>
      </c>
      <c r="L20" s="18">
        <v>32320</v>
      </c>
      <c r="M20" s="19">
        <v>31280</v>
      </c>
      <c r="N20" s="20">
        <v>21836</v>
      </c>
    </row>
    <row r="21" spans="2:14" ht="17.45" customHeight="1" x14ac:dyDescent="0.2">
      <c r="B21" s="17">
        <v>1983</v>
      </c>
      <c r="C21" s="18">
        <v>14950</v>
      </c>
      <c r="D21" s="18">
        <v>8540</v>
      </c>
      <c r="E21" s="18">
        <v>9660</v>
      </c>
      <c r="F21" s="18">
        <v>2180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9">
        <v>0</v>
      </c>
      <c r="N21" s="20">
        <v>0</v>
      </c>
    </row>
    <row r="22" spans="2:14" ht="17.45" customHeight="1" x14ac:dyDescent="0.2">
      <c r="B22" s="17">
        <v>1984</v>
      </c>
      <c r="C22" s="18">
        <v>17250</v>
      </c>
      <c r="D22" s="18">
        <v>81090</v>
      </c>
      <c r="E22" s="18">
        <v>120840</v>
      </c>
      <c r="F22" s="18">
        <v>129000</v>
      </c>
      <c r="G22" s="18">
        <v>129600</v>
      </c>
      <c r="H22" s="18">
        <v>130920</v>
      </c>
      <c r="I22" s="18">
        <v>132000</v>
      </c>
      <c r="J22" s="18">
        <v>132600</v>
      </c>
      <c r="K22" s="18">
        <v>118600</v>
      </c>
      <c r="L22" s="18">
        <v>103120</v>
      </c>
      <c r="M22" s="19">
        <v>89040</v>
      </c>
      <c r="N22" s="20">
        <v>91790</v>
      </c>
    </row>
    <row r="23" spans="2:14" s="25" customFormat="1" ht="17.45" customHeight="1" x14ac:dyDescent="0.2">
      <c r="B23" s="22">
        <v>1985</v>
      </c>
      <c r="C23" s="19">
        <v>92880</v>
      </c>
      <c r="D23" s="19">
        <v>122040</v>
      </c>
      <c r="E23" s="19">
        <v>142200</v>
      </c>
      <c r="F23" s="19">
        <v>153500</v>
      </c>
      <c r="G23" s="19">
        <v>154600</v>
      </c>
      <c r="H23" s="19">
        <v>148680</v>
      </c>
      <c r="I23" s="19">
        <v>141960</v>
      </c>
      <c r="J23" s="19">
        <v>129960</v>
      </c>
      <c r="K23" s="19">
        <v>113400</v>
      </c>
      <c r="L23" s="19">
        <v>98640</v>
      </c>
      <c r="M23" s="19">
        <v>80180</v>
      </c>
      <c r="N23" s="23">
        <v>74790</v>
      </c>
    </row>
    <row r="24" spans="2:14" ht="17.45" customHeight="1" x14ac:dyDescent="0.2">
      <c r="B24" s="17">
        <v>1986</v>
      </c>
      <c r="C24" s="18">
        <v>106240</v>
      </c>
      <c r="D24" s="18">
        <v>142440</v>
      </c>
      <c r="E24" s="18">
        <v>131280</v>
      </c>
      <c r="F24" s="18">
        <v>139910</v>
      </c>
      <c r="G24" s="18">
        <v>141840</v>
      </c>
      <c r="H24" s="18">
        <v>141360</v>
      </c>
      <c r="I24" s="18">
        <v>121440</v>
      </c>
      <c r="J24" s="18">
        <v>104080</v>
      </c>
      <c r="K24" s="18">
        <v>88080</v>
      </c>
      <c r="L24" s="18">
        <v>70730</v>
      </c>
      <c r="M24" s="19">
        <v>52740</v>
      </c>
      <c r="N24" s="20">
        <v>49740</v>
      </c>
    </row>
    <row r="25" spans="2:14" ht="17.45" customHeight="1" x14ac:dyDescent="0.2">
      <c r="B25" s="17">
        <v>1987</v>
      </c>
      <c r="C25" s="18">
        <v>86960</v>
      </c>
      <c r="D25" s="18">
        <v>94160</v>
      </c>
      <c r="E25" s="18">
        <v>96240</v>
      </c>
      <c r="F25" s="18">
        <v>87440</v>
      </c>
      <c r="G25" s="18">
        <v>72480</v>
      </c>
      <c r="H25" s="18">
        <v>58560</v>
      </c>
      <c r="I25" s="18">
        <v>55380</v>
      </c>
      <c r="J25" s="18">
        <v>52140</v>
      </c>
      <c r="K25" s="18">
        <v>53280</v>
      </c>
      <c r="L25" s="18">
        <v>40700</v>
      </c>
      <c r="M25" s="19">
        <v>19740</v>
      </c>
      <c r="N25" s="20">
        <v>8280</v>
      </c>
    </row>
    <row r="26" spans="2:14" ht="17.45" customHeight="1" x14ac:dyDescent="0.2">
      <c r="B26" s="17">
        <v>1988</v>
      </c>
      <c r="C26" s="18">
        <v>29760</v>
      </c>
      <c r="D26" s="18">
        <v>42450</v>
      </c>
      <c r="E26" s="18">
        <v>55820</v>
      </c>
      <c r="F26" s="18">
        <v>63500</v>
      </c>
      <c r="G26" s="18">
        <v>67900</v>
      </c>
      <c r="H26" s="18">
        <v>63900</v>
      </c>
      <c r="I26" s="18">
        <v>42650</v>
      </c>
      <c r="J26" s="18">
        <v>44440</v>
      </c>
      <c r="K26" s="18">
        <v>29120</v>
      </c>
      <c r="L26" s="18">
        <v>16250</v>
      </c>
      <c r="M26" s="19">
        <v>17000</v>
      </c>
      <c r="N26" s="20">
        <v>19590</v>
      </c>
    </row>
    <row r="27" spans="2:14" ht="17.45" customHeight="1" x14ac:dyDescent="0.2">
      <c r="B27" s="17">
        <v>1989</v>
      </c>
      <c r="C27" s="18">
        <v>19830</v>
      </c>
      <c r="D27" s="18">
        <v>34920</v>
      </c>
      <c r="E27" s="18">
        <v>53280</v>
      </c>
      <c r="F27" s="18">
        <v>71250</v>
      </c>
      <c r="G27" s="18">
        <v>72750</v>
      </c>
      <c r="H27" s="18">
        <v>74230</v>
      </c>
      <c r="I27" s="18">
        <v>75770</v>
      </c>
      <c r="J27" s="18">
        <v>77970</v>
      </c>
      <c r="K27" s="18">
        <v>61860</v>
      </c>
      <c r="L27" s="18">
        <v>46320</v>
      </c>
      <c r="M27" s="19">
        <v>37000</v>
      </c>
      <c r="N27" s="20">
        <v>19890</v>
      </c>
    </row>
    <row r="28" spans="2:14" ht="17.45" customHeight="1" x14ac:dyDescent="0.2">
      <c r="B28" s="17">
        <v>1990</v>
      </c>
      <c r="C28" s="18">
        <v>14700</v>
      </c>
      <c r="D28" s="18">
        <v>13125</v>
      </c>
      <c r="E28" s="18">
        <v>3850</v>
      </c>
      <c r="F28" s="18">
        <v>3210</v>
      </c>
      <c r="G28" s="18">
        <v>0</v>
      </c>
      <c r="H28" s="18">
        <v>952</v>
      </c>
      <c r="I28" s="18">
        <v>2748</v>
      </c>
      <c r="J28" s="18">
        <v>2738</v>
      </c>
      <c r="K28" s="18">
        <v>1162</v>
      </c>
      <c r="L28" s="18">
        <v>816</v>
      </c>
      <c r="M28" s="19">
        <v>1530</v>
      </c>
      <c r="N28" s="20">
        <v>5740</v>
      </c>
    </row>
    <row r="29" spans="2:14" ht="17.45" customHeight="1" x14ac:dyDescent="0.2">
      <c r="B29" s="17">
        <v>1991</v>
      </c>
      <c r="C29" s="18">
        <v>16375</v>
      </c>
      <c r="D29" s="18">
        <v>34880</v>
      </c>
      <c r="E29" s="18">
        <v>70380</v>
      </c>
      <c r="F29" s="18">
        <v>73250</v>
      </c>
      <c r="G29" s="18">
        <v>74300</v>
      </c>
      <c r="H29" s="18">
        <v>75210</v>
      </c>
      <c r="I29" s="18">
        <v>71850</v>
      </c>
      <c r="J29" s="18">
        <v>63500</v>
      </c>
      <c r="K29" s="18">
        <v>51060</v>
      </c>
      <c r="L29" s="18">
        <v>34960</v>
      </c>
      <c r="M29" s="19">
        <v>30560</v>
      </c>
      <c r="N29" s="20">
        <v>11060</v>
      </c>
    </row>
    <row r="30" spans="2:14" ht="17.45" customHeight="1" x14ac:dyDescent="0.2">
      <c r="B30" s="17">
        <v>1992</v>
      </c>
      <c r="C30" s="18">
        <v>3660</v>
      </c>
      <c r="D30" s="18">
        <v>2469</v>
      </c>
      <c r="E30" s="18">
        <v>4560</v>
      </c>
      <c r="F30" s="18">
        <v>5960</v>
      </c>
      <c r="G30" s="18">
        <v>3240</v>
      </c>
      <c r="H30" s="18">
        <v>3020</v>
      </c>
      <c r="I30" s="18">
        <v>5360</v>
      </c>
      <c r="J30" s="18">
        <v>6720</v>
      </c>
      <c r="K30" s="18">
        <v>2461</v>
      </c>
      <c r="L30" s="18">
        <v>2280</v>
      </c>
      <c r="M30" s="19">
        <v>0</v>
      </c>
      <c r="N30" s="20">
        <v>3870</v>
      </c>
    </row>
    <row r="31" spans="2:14" ht="17.45" customHeight="1" x14ac:dyDescent="0.2">
      <c r="B31" s="17">
        <v>1993</v>
      </c>
      <c r="C31" s="18">
        <v>32720</v>
      </c>
      <c r="D31" s="18">
        <v>37240</v>
      </c>
      <c r="E31" s="18">
        <v>55140</v>
      </c>
      <c r="F31" s="18">
        <v>57060</v>
      </c>
      <c r="G31" s="18">
        <v>58620</v>
      </c>
      <c r="H31" s="18">
        <v>58860</v>
      </c>
      <c r="I31" s="18">
        <v>42250</v>
      </c>
      <c r="J31" s="18">
        <v>40600</v>
      </c>
      <c r="K31" s="18">
        <v>41450</v>
      </c>
      <c r="L31" s="18">
        <v>37440</v>
      </c>
      <c r="M31" s="19">
        <v>32160</v>
      </c>
      <c r="N31" s="20">
        <v>35640</v>
      </c>
    </row>
    <row r="32" spans="2:14" ht="17.45" customHeight="1" x14ac:dyDescent="0.2">
      <c r="B32" s="17">
        <v>1994</v>
      </c>
      <c r="C32" s="18">
        <v>56400</v>
      </c>
      <c r="D32" s="18">
        <v>134640</v>
      </c>
      <c r="E32" s="18">
        <v>140760</v>
      </c>
      <c r="F32" s="18">
        <v>143880</v>
      </c>
      <c r="G32" s="18">
        <v>144600</v>
      </c>
      <c r="H32" s="18">
        <v>134880</v>
      </c>
      <c r="I32" s="18">
        <v>115600</v>
      </c>
      <c r="J32" s="18">
        <v>109520</v>
      </c>
      <c r="K32" s="18">
        <v>85840</v>
      </c>
      <c r="L32" s="18">
        <v>83600</v>
      </c>
      <c r="M32" s="19">
        <v>66600</v>
      </c>
      <c r="N32" s="20">
        <v>55380</v>
      </c>
    </row>
    <row r="33" spans="2:14" ht="17.45" customHeight="1" x14ac:dyDescent="0.2">
      <c r="B33" s="17">
        <v>1995</v>
      </c>
      <c r="C33" s="18">
        <v>40250</v>
      </c>
      <c r="D33" s="18">
        <v>35280</v>
      </c>
      <c r="E33" s="18">
        <v>53560</v>
      </c>
      <c r="F33" s="18">
        <v>56220</v>
      </c>
      <c r="G33" s="18">
        <v>57000</v>
      </c>
      <c r="H33" s="18">
        <v>57360</v>
      </c>
      <c r="I33" s="18">
        <v>44500</v>
      </c>
      <c r="J33" s="18">
        <v>31080</v>
      </c>
      <c r="K33" s="18">
        <v>24677</v>
      </c>
      <c r="L33" s="18">
        <v>19110</v>
      </c>
      <c r="M33" s="19">
        <v>19500</v>
      </c>
      <c r="N33" s="20">
        <v>3220</v>
      </c>
    </row>
    <row r="34" spans="2:14" ht="17.45" customHeight="1" x14ac:dyDescent="0.2">
      <c r="B34" s="17">
        <v>1996</v>
      </c>
      <c r="C34" s="18">
        <v>7220</v>
      </c>
      <c r="D34" s="18">
        <v>26840</v>
      </c>
      <c r="E34" s="18">
        <v>37000</v>
      </c>
      <c r="F34" s="18">
        <v>46400</v>
      </c>
      <c r="G34" s="18">
        <v>48720</v>
      </c>
      <c r="H34" s="18">
        <v>50040</v>
      </c>
      <c r="I34" s="18">
        <v>51240</v>
      </c>
      <c r="J34" s="18">
        <v>51960</v>
      </c>
      <c r="K34" s="18">
        <v>49980</v>
      </c>
      <c r="L34" s="18">
        <v>50280</v>
      </c>
      <c r="M34" s="19">
        <v>48540</v>
      </c>
      <c r="N34" s="20">
        <v>38900</v>
      </c>
    </row>
    <row r="35" spans="2:14" ht="17.45" customHeight="1" x14ac:dyDescent="0.2">
      <c r="B35" s="17">
        <v>1997</v>
      </c>
      <c r="C35" s="18">
        <v>46280</v>
      </c>
      <c r="D35" s="18">
        <v>102400</v>
      </c>
      <c r="E35" s="18">
        <v>122880</v>
      </c>
      <c r="F35" s="18">
        <v>127080</v>
      </c>
      <c r="G35" s="18">
        <v>116000</v>
      </c>
      <c r="H35" s="18">
        <v>111500</v>
      </c>
      <c r="I35" s="18">
        <v>112400</v>
      </c>
      <c r="J35" s="18">
        <v>114300</v>
      </c>
      <c r="K35" s="18">
        <v>113200</v>
      </c>
      <c r="L35" s="18">
        <v>101520</v>
      </c>
      <c r="M35" s="19">
        <v>97840</v>
      </c>
      <c r="N35" s="20">
        <v>92240</v>
      </c>
    </row>
    <row r="36" spans="2:14" ht="17.45" customHeight="1" x14ac:dyDescent="0.2">
      <c r="B36" s="17">
        <v>1998</v>
      </c>
      <c r="C36" s="18">
        <v>112400</v>
      </c>
      <c r="D36" s="18">
        <v>132480</v>
      </c>
      <c r="E36" s="18">
        <v>135480</v>
      </c>
      <c r="F36" s="18">
        <v>119900</v>
      </c>
      <c r="G36" s="18">
        <v>94800</v>
      </c>
      <c r="H36" s="18">
        <v>81440</v>
      </c>
      <c r="I36" s="18">
        <v>70100</v>
      </c>
      <c r="J36" s="18">
        <v>57370</v>
      </c>
      <c r="K36" s="18">
        <v>54420</v>
      </c>
      <c r="L36" s="18">
        <v>54900</v>
      </c>
      <c r="M36" s="19">
        <v>51900</v>
      </c>
      <c r="N36" s="20">
        <v>44560</v>
      </c>
    </row>
    <row r="37" spans="2:14" ht="17.45" customHeight="1" x14ac:dyDescent="0.2">
      <c r="B37" s="17">
        <v>1999</v>
      </c>
      <c r="C37" s="18">
        <v>26550</v>
      </c>
      <c r="D37" s="18">
        <v>79948</v>
      </c>
      <c r="E37" s="18">
        <v>141783</v>
      </c>
      <c r="F37" s="18">
        <v>156686.67000000001</v>
      </c>
      <c r="G37" s="18">
        <v>142667.46</v>
      </c>
      <c r="H37" s="18">
        <v>133577</v>
      </c>
      <c r="I37" s="18">
        <v>120459.57</v>
      </c>
      <c r="J37" s="18">
        <v>107265.69</v>
      </c>
      <c r="K37" s="18">
        <v>94212.7</v>
      </c>
      <c r="L37" s="18">
        <v>82413.845000000001</v>
      </c>
      <c r="M37" s="19">
        <v>69328.600000000006</v>
      </c>
      <c r="N37" s="20">
        <v>51549.213000000003</v>
      </c>
    </row>
    <row r="38" spans="2:14" ht="17.45" customHeight="1" x14ac:dyDescent="0.2">
      <c r="B38" s="17">
        <v>2000</v>
      </c>
      <c r="C38" s="18">
        <v>68623.452000000005</v>
      </c>
      <c r="D38" s="18">
        <v>113237.3</v>
      </c>
      <c r="E38" s="18">
        <v>131490.614</v>
      </c>
      <c r="F38" s="18">
        <v>123011.18399999999</v>
      </c>
      <c r="G38" s="18">
        <v>124065.3</v>
      </c>
      <c r="H38" s="18">
        <v>124653.50599999999</v>
      </c>
      <c r="I38" s="18">
        <v>111150.03599999999</v>
      </c>
      <c r="J38" s="18">
        <v>91440.524000000005</v>
      </c>
      <c r="K38" s="18">
        <v>78659.600000000006</v>
      </c>
      <c r="L38" s="18">
        <v>65093.78</v>
      </c>
      <c r="M38" s="19">
        <v>52138.256000000001</v>
      </c>
      <c r="N38" s="20">
        <v>47983.271000000001</v>
      </c>
    </row>
    <row r="39" spans="2:14" ht="17.45" customHeight="1" x14ac:dyDescent="0.2">
      <c r="B39" s="17">
        <v>2001</v>
      </c>
      <c r="C39" s="18">
        <v>70515</v>
      </c>
      <c r="D39" s="18">
        <v>133330.37599999999</v>
      </c>
      <c r="E39" s="18">
        <v>139394.15900000001</v>
      </c>
      <c r="F39" s="18">
        <v>131599</v>
      </c>
      <c r="G39" s="18">
        <v>102296</v>
      </c>
      <c r="H39" s="18">
        <v>77703.353000000003</v>
      </c>
      <c r="I39" s="18">
        <v>50192</v>
      </c>
      <c r="J39" s="18">
        <v>21891.916000000001</v>
      </c>
      <c r="K39" s="18">
        <v>437.839</v>
      </c>
      <c r="L39" s="18">
        <v>0</v>
      </c>
      <c r="M39" s="19">
        <v>0</v>
      </c>
      <c r="N39" s="20">
        <v>0</v>
      </c>
    </row>
    <row r="40" spans="2:14" ht="17.45" customHeight="1" x14ac:dyDescent="0.2">
      <c r="B40" s="17">
        <v>2002</v>
      </c>
      <c r="C40" s="18">
        <v>3976.4050000000002</v>
      </c>
      <c r="D40" s="18">
        <v>57085.8</v>
      </c>
      <c r="E40" s="18">
        <v>120690.06299999999</v>
      </c>
      <c r="F40" s="18">
        <v>138272.18599999999</v>
      </c>
      <c r="G40" s="18">
        <v>141782.609</v>
      </c>
      <c r="H40" s="18">
        <v>141909.065</v>
      </c>
      <c r="I40" s="18">
        <v>141277.53400000001</v>
      </c>
      <c r="J40" s="18">
        <v>132101.981</v>
      </c>
      <c r="K40" s="18">
        <v>121151.93700000001</v>
      </c>
      <c r="L40" s="18">
        <v>121036.35799999999</v>
      </c>
      <c r="M40" s="19">
        <v>111259.24800000001</v>
      </c>
      <c r="N40" s="20">
        <v>107159.099</v>
      </c>
    </row>
    <row r="41" spans="2:14" ht="17.45" customHeight="1" x14ac:dyDescent="0.2">
      <c r="B41" s="17">
        <v>2003</v>
      </c>
      <c r="C41" s="18">
        <v>113458.515</v>
      </c>
      <c r="D41" s="18">
        <v>122103.841</v>
      </c>
      <c r="E41" s="18">
        <v>130268.685</v>
      </c>
      <c r="F41" s="18">
        <v>136383.56899999999</v>
      </c>
      <c r="G41" s="18">
        <v>137751.37599999999</v>
      </c>
      <c r="H41" s="18">
        <v>138250.80100000001</v>
      </c>
      <c r="I41" s="18">
        <v>128108.121</v>
      </c>
      <c r="J41" s="18">
        <v>118197.364</v>
      </c>
      <c r="K41" s="18">
        <v>111488.65300000001</v>
      </c>
      <c r="L41" s="18">
        <v>104809.505</v>
      </c>
      <c r="M41" s="19">
        <v>85448.566000000006</v>
      </c>
      <c r="N41" s="20">
        <v>61557.224999999999</v>
      </c>
    </row>
    <row r="42" spans="2:14" ht="17.45" customHeight="1" x14ac:dyDescent="0.2">
      <c r="B42" s="17">
        <v>2004</v>
      </c>
      <c r="C42" s="18">
        <v>70828.759999999995</v>
      </c>
      <c r="D42" s="18">
        <v>99314.794999999998</v>
      </c>
      <c r="E42" s="18">
        <v>107900.341</v>
      </c>
      <c r="F42" s="18">
        <v>116272.568</v>
      </c>
      <c r="G42" s="18">
        <v>116949.765</v>
      </c>
      <c r="H42" s="18">
        <v>117856.336</v>
      </c>
      <c r="I42" s="18">
        <v>119577.336</v>
      </c>
      <c r="J42" s="18">
        <v>119567.336</v>
      </c>
      <c r="K42" s="18">
        <v>111928.621</v>
      </c>
      <c r="L42" s="18">
        <v>95099.479000000007</v>
      </c>
      <c r="M42" s="19">
        <v>71546.008000000002</v>
      </c>
      <c r="N42" s="20">
        <v>50582.29</v>
      </c>
    </row>
    <row r="43" spans="2:14" ht="17.45" customHeight="1" x14ac:dyDescent="0.2">
      <c r="B43" s="17">
        <v>2005</v>
      </c>
      <c r="C43" s="18">
        <v>44519.485999999997</v>
      </c>
      <c r="D43" s="18">
        <v>68549.021999999997</v>
      </c>
      <c r="E43" s="18">
        <v>78061.474000000002</v>
      </c>
      <c r="F43" s="18">
        <v>83025.338000000003</v>
      </c>
      <c r="G43" s="18">
        <v>84006.474000000002</v>
      </c>
      <c r="H43" s="18">
        <v>84905.65</v>
      </c>
      <c r="I43" s="18">
        <v>86085.198999999993</v>
      </c>
      <c r="J43" s="18">
        <v>86908.907999999996</v>
      </c>
      <c r="K43" s="18">
        <v>77465.937999999995</v>
      </c>
      <c r="L43" s="18">
        <v>64763.589</v>
      </c>
      <c r="M43" s="19">
        <v>49121.963000000003</v>
      </c>
      <c r="N43" s="20">
        <v>37802.716</v>
      </c>
    </row>
    <row r="44" spans="2:14" ht="17.45" customHeight="1" x14ac:dyDescent="0.2">
      <c r="B44" s="17">
        <v>2006</v>
      </c>
      <c r="C44" s="18">
        <v>63609.769</v>
      </c>
      <c r="D44" s="18">
        <v>110611.891</v>
      </c>
      <c r="E44" s="18">
        <v>138626.09</v>
      </c>
      <c r="F44" s="18">
        <v>133024.46799999999</v>
      </c>
      <c r="G44" s="18">
        <v>126478.24</v>
      </c>
      <c r="H44" s="18">
        <v>127726.31299999999</v>
      </c>
      <c r="I44" s="18">
        <v>128574.39</v>
      </c>
      <c r="J44" s="18">
        <v>121605.55499999999</v>
      </c>
      <c r="K44" s="18">
        <v>109370.06600000001</v>
      </c>
      <c r="L44" s="18">
        <v>94773.891000000003</v>
      </c>
      <c r="M44" s="19">
        <v>88136.775999999998</v>
      </c>
      <c r="N44" s="20">
        <v>61738.89</v>
      </c>
    </row>
    <row r="45" spans="2:14" ht="17.45" customHeight="1" x14ac:dyDescent="0.2">
      <c r="B45" s="17">
        <v>2007</v>
      </c>
      <c r="C45" s="18">
        <v>71554.005999999994</v>
      </c>
      <c r="D45" s="18">
        <v>77330.322</v>
      </c>
      <c r="E45" s="18">
        <v>115530.386</v>
      </c>
      <c r="F45" s="18">
        <v>123594.482</v>
      </c>
      <c r="G45" s="18">
        <v>111356.874</v>
      </c>
      <c r="H45" s="18">
        <v>107138.266</v>
      </c>
      <c r="I45" s="18">
        <v>108266.553</v>
      </c>
      <c r="J45" s="18">
        <v>108947.28200000001</v>
      </c>
      <c r="K45" s="18">
        <v>98016.520999999993</v>
      </c>
      <c r="L45" s="18">
        <v>74774.180999999997</v>
      </c>
      <c r="M45" s="19">
        <v>54767.116999999998</v>
      </c>
      <c r="N45" s="20">
        <v>43663.269</v>
      </c>
    </row>
    <row r="46" spans="2:14" ht="17.45" customHeight="1" x14ac:dyDescent="0.2">
      <c r="B46" s="17">
        <v>2008</v>
      </c>
      <c r="C46" s="18">
        <v>70740.607000000004</v>
      </c>
      <c r="D46" s="18">
        <v>83119.633000000002</v>
      </c>
      <c r="E46" s="18">
        <v>89313.342999999993</v>
      </c>
      <c r="F46" s="18">
        <v>90244.452000000005</v>
      </c>
      <c r="G46" s="18">
        <v>90898.834000000003</v>
      </c>
      <c r="H46" s="18">
        <v>91911.875</v>
      </c>
      <c r="I46" s="18">
        <v>92853.614000000001</v>
      </c>
      <c r="J46" s="18">
        <v>93591.911999999997</v>
      </c>
      <c r="K46" s="18">
        <v>93391.971999999994</v>
      </c>
      <c r="L46" s="18">
        <v>73953.78</v>
      </c>
      <c r="M46" s="19">
        <v>57613.624000000003</v>
      </c>
      <c r="N46" s="20">
        <v>39884.898000000001</v>
      </c>
    </row>
    <row r="47" spans="2:14" ht="17.45" customHeight="1" x14ac:dyDescent="0.2">
      <c r="B47" s="17">
        <v>2009</v>
      </c>
      <c r="C47" s="18">
        <v>34675.919000000002</v>
      </c>
      <c r="D47" s="18">
        <v>52383.712</v>
      </c>
      <c r="E47" s="18">
        <v>80822.562999999995</v>
      </c>
      <c r="F47" s="18">
        <v>86023.293999999994</v>
      </c>
      <c r="G47" s="18">
        <v>86907.04</v>
      </c>
      <c r="H47" s="18">
        <v>87788.773000000001</v>
      </c>
      <c r="I47" s="18">
        <v>89390.635999999999</v>
      </c>
      <c r="J47" s="18">
        <v>90078.986000000004</v>
      </c>
      <c r="K47" s="18">
        <v>85202.3</v>
      </c>
      <c r="L47" s="18">
        <v>70040.797000000006</v>
      </c>
      <c r="M47" s="19">
        <v>55984.909</v>
      </c>
      <c r="N47" s="20">
        <v>51621.993999999999</v>
      </c>
    </row>
    <row r="48" spans="2:14" ht="17.45" customHeight="1" x14ac:dyDescent="0.2">
      <c r="B48" s="17">
        <v>2010</v>
      </c>
      <c r="C48" s="18">
        <v>57067.705999999998</v>
      </c>
      <c r="D48" s="18">
        <v>78992.009999999995</v>
      </c>
      <c r="E48" s="18">
        <v>86605.354999999996</v>
      </c>
      <c r="F48" s="18">
        <v>88256.285000000003</v>
      </c>
      <c r="G48" s="18">
        <v>89139.66</v>
      </c>
      <c r="H48" s="18">
        <v>89836.144</v>
      </c>
      <c r="I48" s="18">
        <v>90429.654999999999</v>
      </c>
      <c r="J48" s="18">
        <v>82600.159</v>
      </c>
      <c r="K48" s="18">
        <v>70089.472999999998</v>
      </c>
      <c r="L48" s="18">
        <v>66568.573999999993</v>
      </c>
      <c r="M48" s="19">
        <v>66518.668999999994</v>
      </c>
      <c r="N48" s="20">
        <v>65072.06</v>
      </c>
    </row>
    <row r="49" spans="2:14" ht="17.45" customHeight="1" x14ac:dyDescent="0.2">
      <c r="B49" s="17">
        <v>2011</v>
      </c>
      <c r="C49" s="18">
        <v>73271.769</v>
      </c>
      <c r="D49" s="18">
        <v>125175.098</v>
      </c>
      <c r="E49" s="18">
        <v>128087.864</v>
      </c>
      <c r="F49" s="18">
        <v>127785.128</v>
      </c>
      <c r="G49" s="18">
        <v>128342.50199999999</v>
      </c>
      <c r="H49" s="18">
        <v>117660.417</v>
      </c>
      <c r="I49" s="18">
        <v>104946.015</v>
      </c>
      <c r="J49" s="18">
        <v>92168.929000000004</v>
      </c>
      <c r="K49" s="18">
        <v>79557.843999999997</v>
      </c>
      <c r="L49" s="18">
        <v>74598.164999999994</v>
      </c>
      <c r="M49" s="19">
        <v>75118.327999999994</v>
      </c>
      <c r="N49" s="20">
        <v>86680.695000000007</v>
      </c>
    </row>
    <row r="50" spans="2:14" ht="17.45" customHeight="1" x14ac:dyDescent="0.2">
      <c r="B50" s="17">
        <v>2012</v>
      </c>
      <c r="C50" s="18">
        <v>93424.915999999997</v>
      </c>
      <c r="D50" s="18">
        <v>94696.868000000002</v>
      </c>
      <c r="E50" s="18">
        <v>105399.03999999999</v>
      </c>
      <c r="F50" s="18">
        <v>125234.88099999999</v>
      </c>
      <c r="G50" s="18">
        <v>126385.94899999999</v>
      </c>
      <c r="H50" s="18">
        <v>124649.753</v>
      </c>
      <c r="I50" s="18">
        <v>117787.26700000001</v>
      </c>
      <c r="J50" s="18">
        <v>110317.355</v>
      </c>
      <c r="K50" s="18">
        <v>98341.38</v>
      </c>
      <c r="L50" s="18">
        <v>85295.297999999995</v>
      </c>
      <c r="M50" s="19">
        <v>76114.138999999996</v>
      </c>
      <c r="N50" s="20">
        <v>88160.709000000003</v>
      </c>
    </row>
    <row r="51" spans="2:14" ht="17.45" customHeight="1" x14ac:dyDescent="0.2">
      <c r="B51" s="17">
        <v>2013</v>
      </c>
      <c r="C51" s="18">
        <v>90069.263000000006</v>
      </c>
      <c r="D51" s="18">
        <v>100316.284</v>
      </c>
      <c r="E51" s="18">
        <v>126385.94899999999</v>
      </c>
      <c r="F51" s="18">
        <v>124625.901</v>
      </c>
      <c r="G51" s="18">
        <v>112225.211</v>
      </c>
      <c r="H51" s="18">
        <v>100431.40700000001</v>
      </c>
      <c r="I51" s="18">
        <v>87722.157000000007</v>
      </c>
      <c r="J51" s="18">
        <v>74538.637000000002</v>
      </c>
      <c r="K51" s="18">
        <v>73751.172999999995</v>
      </c>
      <c r="L51" s="18">
        <v>74572.639999999999</v>
      </c>
      <c r="M51" s="19">
        <v>75067.053</v>
      </c>
      <c r="N51" s="20">
        <v>65601.740999999995</v>
      </c>
    </row>
    <row r="52" spans="2:14" ht="17.45" customHeight="1" x14ac:dyDescent="0.2">
      <c r="B52" s="17">
        <v>2014</v>
      </c>
      <c r="C52" s="18">
        <v>81361.038</v>
      </c>
      <c r="D52" s="18">
        <v>83064.849000000002</v>
      </c>
      <c r="E52" s="18">
        <v>77475.091</v>
      </c>
      <c r="F52" s="18">
        <v>70089.472999999998</v>
      </c>
      <c r="G52" s="18">
        <v>58510.819000000003</v>
      </c>
      <c r="H52" s="18">
        <v>53799.887999999999</v>
      </c>
      <c r="I52" s="18">
        <v>55349.430999999997</v>
      </c>
      <c r="J52" s="18">
        <v>56667.381000000001</v>
      </c>
      <c r="K52" s="18">
        <v>57837.173999999999</v>
      </c>
      <c r="L52" s="18">
        <v>46604.218999999997</v>
      </c>
      <c r="M52" s="19">
        <v>29842.327000000001</v>
      </c>
      <c r="N52" s="20">
        <v>17288.528999999999</v>
      </c>
    </row>
    <row r="53" spans="2:14" ht="17.45" customHeight="1" x14ac:dyDescent="0.2">
      <c r="B53" s="17">
        <v>2015</v>
      </c>
      <c r="C53" s="18">
        <v>17839.833999999999</v>
      </c>
      <c r="D53" s="18">
        <v>43651.027000000002</v>
      </c>
      <c r="E53" s="18">
        <v>73028.831999999995</v>
      </c>
      <c r="F53" s="18">
        <v>82110.159</v>
      </c>
      <c r="G53" s="18">
        <v>83302.464999999997</v>
      </c>
      <c r="H53" s="18">
        <v>71947.862999999998</v>
      </c>
      <c r="I53" s="18">
        <v>73406.080000000002</v>
      </c>
      <c r="J53" s="18">
        <v>74649.214000000007</v>
      </c>
      <c r="K53" s="18">
        <v>75263.724000000002</v>
      </c>
      <c r="L53" s="18">
        <v>72953.569000000003</v>
      </c>
      <c r="M53" s="19">
        <v>73515.361000000004</v>
      </c>
      <c r="N53" s="20">
        <v>73616.347999999998</v>
      </c>
    </row>
    <row r="54" spans="2:14" ht="17.45" customHeight="1" x14ac:dyDescent="0.2">
      <c r="B54" s="17">
        <v>2016</v>
      </c>
      <c r="C54" s="18">
        <v>74283.922000000006</v>
      </c>
      <c r="D54" s="18">
        <v>106852.655</v>
      </c>
      <c r="E54" s="18">
        <v>112247.64599999999</v>
      </c>
      <c r="F54" s="18">
        <v>118445.88099999999</v>
      </c>
      <c r="G54" s="18">
        <v>111185.189</v>
      </c>
      <c r="H54" s="18">
        <v>101503.11</v>
      </c>
      <c r="I54" s="18">
        <v>91625.79</v>
      </c>
      <c r="J54" s="18">
        <v>81307.066000000006</v>
      </c>
      <c r="K54" s="18">
        <v>70904.009000000005</v>
      </c>
      <c r="L54" s="18">
        <v>71149.589000000007</v>
      </c>
      <c r="M54" s="19">
        <v>71010.364000000001</v>
      </c>
      <c r="N54" s="20">
        <v>67561.563999999998</v>
      </c>
    </row>
    <row r="55" spans="2:14" ht="17.45" customHeight="1" x14ac:dyDescent="0.2">
      <c r="B55" s="17">
        <v>2017</v>
      </c>
      <c r="C55" s="18">
        <v>100651.432</v>
      </c>
      <c r="D55" s="18">
        <v>110006.788</v>
      </c>
      <c r="E55" s="18">
        <v>130402.15300000001</v>
      </c>
      <c r="F55" s="18">
        <v>130206.379</v>
      </c>
      <c r="G55" s="18">
        <v>125881.59299999999</v>
      </c>
      <c r="H55" s="18">
        <v>116533.83199999999</v>
      </c>
      <c r="I55" s="18">
        <v>106037.541</v>
      </c>
      <c r="J55" s="18">
        <v>92833.717000000004</v>
      </c>
      <c r="K55" s="18">
        <v>80259.835999999996</v>
      </c>
      <c r="L55" s="18">
        <v>70227.528999999995</v>
      </c>
      <c r="M55" s="19">
        <v>63667.724999999999</v>
      </c>
      <c r="N55" s="20">
        <v>64020.720999999998</v>
      </c>
    </row>
    <row r="56" spans="2:14" ht="17.45" customHeight="1" x14ac:dyDescent="0.2">
      <c r="B56" s="17">
        <v>2018</v>
      </c>
      <c r="C56" s="18">
        <v>83101.372000000003</v>
      </c>
      <c r="D56" s="18">
        <v>105399.03999999999</v>
      </c>
      <c r="E56" s="18">
        <v>130304.247</v>
      </c>
      <c r="F56" s="18">
        <v>122667.481</v>
      </c>
      <c r="G56" s="18">
        <v>115938.663</v>
      </c>
      <c r="H56" s="18">
        <v>112348.61199999999</v>
      </c>
      <c r="I56" s="18">
        <v>108450.44500000001</v>
      </c>
      <c r="J56" s="18">
        <v>103188.931</v>
      </c>
      <c r="K56" s="18">
        <v>97496.698000000004</v>
      </c>
      <c r="L56" s="18">
        <v>90419.9</v>
      </c>
      <c r="M56" s="19">
        <v>82645.630999999994</v>
      </c>
      <c r="N56" s="20">
        <v>74947.513000000006</v>
      </c>
    </row>
    <row r="57" spans="2:14" ht="17.45" customHeight="1" x14ac:dyDescent="0.2">
      <c r="B57" s="17">
        <v>2019</v>
      </c>
      <c r="C57" s="18">
        <v>81811.733999999997</v>
      </c>
      <c r="D57" s="18">
        <v>121795.012</v>
      </c>
      <c r="E57" s="18">
        <v>123876.015</v>
      </c>
      <c r="F57" s="18">
        <v>121102.003</v>
      </c>
      <c r="G57" s="18">
        <v>122478.527</v>
      </c>
      <c r="H57" s="18">
        <v>116568.231</v>
      </c>
      <c r="I57" s="18">
        <v>109100.148</v>
      </c>
      <c r="J57" s="18">
        <v>101102.97500000001</v>
      </c>
      <c r="K57" s="18">
        <v>93531.892000000007</v>
      </c>
      <c r="L57" s="18">
        <v>85397.68</v>
      </c>
      <c r="M57" s="19">
        <v>76623.83</v>
      </c>
      <c r="N57" s="20">
        <v>63966.921999999999</v>
      </c>
    </row>
    <row r="58" spans="2:14" ht="17.45" customHeight="1" x14ac:dyDescent="0.2">
      <c r="B58" s="17">
        <v>2020</v>
      </c>
      <c r="C58" s="18">
        <v>65664.216</v>
      </c>
      <c r="D58" s="18">
        <v>121736.19100000001</v>
      </c>
      <c r="E58" s="18">
        <v>126542.304</v>
      </c>
      <c r="F58" s="18">
        <v>127229.18799999999</v>
      </c>
      <c r="G58" s="18">
        <v>128670.32799999999</v>
      </c>
      <c r="H58" s="18">
        <v>129485.85</v>
      </c>
      <c r="I58" s="18">
        <v>130218.611</v>
      </c>
      <c r="J58" s="18">
        <v>127192.98699999999</v>
      </c>
      <c r="K58" s="18">
        <v>122313.34</v>
      </c>
      <c r="L58" s="18">
        <v>109541.88099999999</v>
      </c>
      <c r="M58" s="19">
        <v>83935.447</v>
      </c>
      <c r="N58" s="20">
        <v>76217.637000000002</v>
      </c>
    </row>
    <row r="59" spans="2:14" ht="17.45" customHeight="1" x14ac:dyDescent="0.2">
      <c r="B59" s="17">
        <v>2021</v>
      </c>
      <c r="C59" s="18">
        <v>81262.125</v>
      </c>
      <c r="D59" s="18">
        <v>90020.650999999998</v>
      </c>
      <c r="E59" s="18">
        <v>114197.787</v>
      </c>
      <c r="F59" s="18">
        <v>130340.962</v>
      </c>
      <c r="G59" s="18">
        <v>132554.658</v>
      </c>
      <c r="H59" s="18">
        <v>131186.94200000001</v>
      </c>
      <c r="I59" s="18">
        <v>126662.652</v>
      </c>
      <c r="J59" s="18">
        <v>117130.81600000001</v>
      </c>
      <c r="K59" s="18">
        <v>107016.137</v>
      </c>
      <c r="L59" s="18">
        <v>96258.409</v>
      </c>
      <c r="M59" s="19">
        <v>86671.539000000004</v>
      </c>
      <c r="N59" s="20">
        <v>81172.278999999995</v>
      </c>
    </row>
    <row r="60" spans="2:14" ht="17.45" customHeight="1" x14ac:dyDescent="0.2">
      <c r="B60" s="17">
        <v>2022</v>
      </c>
      <c r="C60" s="18">
        <v>101008.351</v>
      </c>
      <c r="D60" s="18">
        <v>115642.204</v>
      </c>
      <c r="E60" s="18">
        <v>129376.13400000001</v>
      </c>
      <c r="F60" s="18">
        <v>120189.395</v>
      </c>
      <c r="G60" s="18">
        <v>107507.534</v>
      </c>
      <c r="H60" s="18">
        <v>96860.983999999997</v>
      </c>
      <c r="I60" s="18">
        <v>98073.074999999997</v>
      </c>
      <c r="J60" s="18">
        <v>86511.256999999998</v>
      </c>
      <c r="K60" s="18">
        <v>73903.082999999999</v>
      </c>
      <c r="L60" s="18">
        <v>65781.445000000007</v>
      </c>
      <c r="M60" s="19">
        <v>60513.498</v>
      </c>
      <c r="N60" s="20">
        <v>62171.196000000004</v>
      </c>
    </row>
    <row r="61" spans="2:14" ht="17.45" customHeight="1" x14ac:dyDescent="0.2">
      <c r="B61" s="17">
        <v>2023</v>
      </c>
      <c r="C61" s="18">
        <v>55659.587</v>
      </c>
      <c r="D61" s="18">
        <v>82164.506999999998</v>
      </c>
      <c r="E61" s="18">
        <v>94888.62</v>
      </c>
      <c r="F61" s="18">
        <v>98042.975000000006</v>
      </c>
      <c r="G61" s="18">
        <v>87275.909</v>
      </c>
      <c r="H61" s="18">
        <v>75804.2</v>
      </c>
      <c r="I61" s="18">
        <v>68654.042000000001</v>
      </c>
      <c r="J61" s="18">
        <v>64043.790999999997</v>
      </c>
      <c r="K61" s="18">
        <v>59188.847999999998</v>
      </c>
      <c r="L61" s="18">
        <v>58955.059000000001</v>
      </c>
      <c r="M61" s="19">
        <v>50296.355000000003</v>
      </c>
      <c r="N61" s="20">
        <v>50423.428</v>
      </c>
    </row>
    <row r="62" spans="2:14" ht="17.45" customHeight="1" x14ac:dyDescent="0.2">
      <c r="B62" s="17">
        <v>2024</v>
      </c>
      <c r="C62" s="18">
        <v>64637.762000000002</v>
      </c>
      <c r="D62" s="18">
        <v>88908.512000000002</v>
      </c>
      <c r="E62" s="18">
        <v>146213.03599999999</v>
      </c>
      <c r="F62" s="18">
        <v>134678.12700000001</v>
      </c>
      <c r="G62" s="18">
        <v>129351.76</v>
      </c>
      <c r="H62" s="18">
        <v>117222.814</v>
      </c>
      <c r="I62" s="18">
        <v>104451.28599999999</v>
      </c>
      <c r="J62" s="18">
        <v>84729.126999999993</v>
      </c>
      <c r="K62" s="18">
        <v>74029.868000000002</v>
      </c>
      <c r="L62" s="18">
        <v>69644.001999999993</v>
      </c>
      <c r="M62" s="19">
        <v>67537.755999999994</v>
      </c>
      <c r="N62" s="20">
        <v>68710.146999999997</v>
      </c>
    </row>
    <row r="63" spans="2:14" ht="17.45" customHeight="1" thickBot="1" x14ac:dyDescent="0.25">
      <c r="B63" s="26">
        <v>2025</v>
      </c>
      <c r="C63" s="37">
        <v>77797.994000000006</v>
      </c>
      <c r="D63" s="37">
        <v>119827.827</v>
      </c>
      <c r="E63" s="37">
        <v>138413.63500000001</v>
      </c>
      <c r="F63" s="37">
        <v>141347.80100000001</v>
      </c>
      <c r="G63" s="37">
        <v>141437.68</v>
      </c>
      <c r="H63" s="37">
        <v>131015.031</v>
      </c>
      <c r="I63" s="37">
        <v>119559.98299999999</v>
      </c>
      <c r="J63" s="37">
        <v>106841.76</v>
      </c>
      <c r="K63" s="37">
        <v>94364.447</v>
      </c>
      <c r="L63" s="37">
        <v>73405.877999999997</v>
      </c>
      <c r="M63" s="38">
        <v>67372.070000000007</v>
      </c>
      <c r="N63" s="39"/>
    </row>
    <row r="64" spans="2:14" ht="17.45" customHeight="1" thickTop="1" x14ac:dyDescent="0.2"/>
    <row r="65" spans="3:14" ht="17.45" customHeight="1" x14ac:dyDescent="0.2">
      <c r="C65" s="52"/>
      <c r="G65" s="54"/>
      <c r="H65" s="54"/>
      <c r="L65" s="54"/>
    </row>
    <row r="66" spans="3:14" ht="17.45" customHeight="1" x14ac:dyDescent="0.2">
      <c r="N66" s="25"/>
    </row>
    <row r="67" spans="3:14" ht="17.45" customHeight="1" x14ac:dyDescent="0.2">
      <c r="C67" s="25"/>
    </row>
  </sheetData>
  <phoneticPr fontId="0" type="noConversion"/>
  <printOptions horizontalCentered="1" verticalCentered="1"/>
  <pageMargins left="0.19685039370078741" right="0.19685039370078741" top="1.1811023622047245" bottom="0.35433070866141736" header="0.51181102362204722" footer="0.19685039370078741"/>
  <pageSetup paperSize="9" scale="4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598E5-5DD3-4A9A-AC37-4EE479A395DD}">
  <sheetPr codeName="Hoja16">
    <pageSetUpPr fitToPage="1"/>
  </sheetPr>
  <dimension ref="B1:N67"/>
  <sheetViews>
    <sheetView zoomScale="86" zoomScaleNormal="86" workbookViewId="0">
      <pane xSplit="2" ySplit="9" topLeftCell="C55" activePane="bottomRight" state="frozen"/>
      <selection pane="topRight"/>
      <selection pane="bottomLeft"/>
      <selection pane="bottomRight"/>
    </sheetView>
  </sheetViews>
  <sheetFormatPr baseColWidth="10" defaultColWidth="15.7109375" defaultRowHeight="17.45" customHeight="1" x14ac:dyDescent="0.2"/>
  <cols>
    <col min="1" max="12" width="15.7109375" style="4" customWidth="1"/>
    <col min="13" max="13" width="15.7109375" style="25" customWidth="1"/>
    <col min="14" max="16384" width="15.7109375" style="4"/>
  </cols>
  <sheetData>
    <row r="1" spans="2:14" ht="17.45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</row>
    <row r="2" spans="2:14" ht="17.45" customHeight="1" x14ac:dyDescent="0.25">
      <c r="B2" s="1" t="s">
        <v>18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</row>
    <row r="3" spans="2:14" ht="17.45" customHeight="1" x14ac:dyDescent="0.25">
      <c r="B3" s="1" t="s">
        <v>17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</row>
    <row r="4" spans="2:14" ht="17.45" customHeight="1" thickBot="1" x14ac:dyDescent="0.25">
      <c r="B4" s="2"/>
    </row>
    <row r="5" spans="2:14" ht="17.45" customHeight="1" thickTop="1" x14ac:dyDescent="0.25">
      <c r="B5" s="30" t="s">
        <v>3</v>
      </c>
      <c r="C5" s="31" t="s">
        <v>4</v>
      </c>
      <c r="D5" s="31" t="s">
        <v>5</v>
      </c>
      <c r="E5" s="31" t="s">
        <v>6</v>
      </c>
      <c r="F5" s="31" t="s">
        <v>7</v>
      </c>
      <c r="G5" s="31" t="s">
        <v>8</v>
      </c>
      <c r="H5" s="31" t="s">
        <v>9</v>
      </c>
      <c r="I5" s="31" t="s">
        <v>10</v>
      </c>
      <c r="J5" s="31" t="s">
        <v>11</v>
      </c>
      <c r="K5" s="31" t="s">
        <v>12</v>
      </c>
      <c r="L5" s="31" t="s">
        <v>13</v>
      </c>
      <c r="M5" s="32" t="s">
        <v>14</v>
      </c>
      <c r="N5" s="33" t="s">
        <v>15</v>
      </c>
    </row>
    <row r="6" spans="2:14" ht="17.45" customHeight="1" x14ac:dyDescent="0.2">
      <c r="B6" s="17">
        <v>1968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5"/>
      <c r="N6" s="36"/>
    </row>
    <row r="7" spans="2:14" ht="17.45" customHeight="1" x14ac:dyDescent="0.2">
      <c r="B7" s="17">
        <v>1969</v>
      </c>
      <c r="C7" s="18">
        <v>33600</v>
      </c>
      <c r="D7" s="18">
        <v>46760</v>
      </c>
      <c r="E7" s="18">
        <v>53820</v>
      </c>
      <c r="F7" s="18">
        <v>55600</v>
      </c>
      <c r="G7" s="18">
        <v>53500</v>
      </c>
      <c r="H7" s="18">
        <v>51800</v>
      </c>
      <c r="I7" s="18">
        <v>51300</v>
      </c>
      <c r="J7" s="18">
        <v>50400</v>
      </c>
      <c r="K7" s="18">
        <v>45100</v>
      </c>
      <c r="L7" s="18">
        <v>34000</v>
      </c>
      <c r="M7" s="19">
        <v>21400</v>
      </c>
      <c r="N7" s="20">
        <v>9540</v>
      </c>
    </row>
    <row r="8" spans="2:14" ht="17.45" customHeight="1" x14ac:dyDescent="0.2">
      <c r="B8" s="17">
        <v>1970</v>
      </c>
      <c r="C8" s="18">
        <v>37000</v>
      </c>
      <c r="D8" s="18">
        <v>58300</v>
      </c>
      <c r="E8" s="18">
        <v>79400</v>
      </c>
      <c r="F8" s="18">
        <v>85700</v>
      </c>
      <c r="G8" s="18">
        <v>86580</v>
      </c>
      <c r="H8" s="18">
        <v>86580</v>
      </c>
      <c r="I8" s="18">
        <v>85460</v>
      </c>
      <c r="J8" s="18">
        <v>78440</v>
      </c>
      <c r="K8" s="18">
        <v>73120</v>
      </c>
      <c r="L8" s="18">
        <v>65380</v>
      </c>
      <c r="M8" s="19">
        <v>53400</v>
      </c>
      <c r="N8" s="20">
        <v>36600</v>
      </c>
    </row>
    <row r="9" spans="2:14" ht="17.45" customHeight="1" x14ac:dyDescent="0.2">
      <c r="B9" s="17">
        <v>1971</v>
      </c>
      <c r="C9" s="18">
        <v>38760</v>
      </c>
      <c r="D9" s="18">
        <v>77460</v>
      </c>
      <c r="E9" s="18">
        <v>94520</v>
      </c>
      <c r="F9" s="18">
        <v>94260</v>
      </c>
      <c r="G9" s="18">
        <v>87040</v>
      </c>
      <c r="H9" s="18">
        <v>71300</v>
      </c>
      <c r="I9" s="18">
        <v>57740</v>
      </c>
      <c r="J9" s="18">
        <v>44000</v>
      </c>
      <c r="K9" s="18">
        <v>31100</v>
      </c>
      <c r="L9" s="18">
        <v>17680</v>
      </c>
      <c r="M9" s="19">
        <v>6580</v>
      </c>
      <c r="N9" s="20">
        <v>0</v>
      </c>
    </row>
    <row r="10" spans="2:14" ht="17.45" customHeight="1" x14ac:dyDescent="0.2">
      <c r="B10" s="17">
        <v>1972</v>
      </c>
      <c r="C10" s="18">
        <v>48200</v>
      </c>
      <c r="D10" s="18">
        <v>58460</v>
      </c>
      <c r="E10" s="18">
        <v>80480</v>
      </c>
      <c r="F10" s="18">
        <v>88040</v>
      </c>
      <c r="G10" s="18">
        <v>88280</v>
      </c>
      <c r="H10" s="18">
        <v>87800</v>
      </c>
      <c r="I10" s="18">
        <v>87120</v>
      </c>
      <c r="J10" s="18">
        <v>87360</v>
      </c>
      <c r="K10" s="18">
        <v>85220</v>
      </c>
      <c r="L10" s="18">
        <v>84740</v>
      </c>
      <c r="M10" s="19">
        <v>82000</v>
      </c>
      <c r="N10" s="20">
        <v>60200</v>
      </c>
    </row>
    <row r="11" spans="2:14" ht="17.45" customHeight="1" x14ac:dyDescent="0.2">
      <c r="B11" s="17">
        <v>1973</v>
      </c>
      <c r="C11" s="18">
        <v>76680</v>
      </c>
      <c r="D11" s="18">
        <v>104385</v>
      </c>
      <c r="E11" s="18">
        <v>96120</v>
      </c>
      <c r="F11" s="18">
        <v>94111</v>
      </c>
      <c r="G11" s="18">
        <v>93441</v>
      </c>
      <c r="H11" s="18">
        <v>93173</v>
      </c>
      <c r="I11" s="18">
        <v>92503</v>
      </c>
      <c r="J11" s="18">
        <v>91560</v>
      </c>
      <c r="K11" s="18">
        <v>91280</v>
      </c>
      <c r="L11" s="18">
        <v>87680</v>
      </c>
      <c r="M11" s="19">
        <v>78680</v>
      </c>
      <c r="N11" s="20">
        <v>70400</v>
      </c>
    </row>
    <row r="12" spans="2:14" ht="17.45" customHeight="1" x14ac:dyDescent="0.2">
      <c r="B12" s="17">
        <v>1974</v>
      </c>
      <c r="C12" s="18">
        <v>101527</v>
      </c>
      <c r="D12" s="18">
        <v>101119</v>
      </c>
      <c r="E12" s="18">
        <v>98800</v>
      </c>
      <c r="F12" s="18">
        <v>98397</v>
      </c>
      <c r="G12" s="18">
        <v>88160</v>
      </c>
      <c r="H12" s="18">
        <v>80480</v>
      </c>
      <c r="I12" s="18">
        <v>80000</v>
      </c>
      <c r="J12" s="18">
        <v>80360</v>
      </c>
      <c r="K12" s="18">
        <v>73840</v>
      </c>
      <c r="L12" s="18">
        <v>58100</v>
      </c>
      <c r="M12" s="19">
        <v>57500</v>
      </c>
      <c r="N12" s="20">
        <v>43200</v>
      </c>
    </row>
    <row r="13" spans="2:14" ht="17.45" customHeight="1" x14ac:dyDescent="0.2">
      <c r="B13" s="17">
        <v>1975</v>
      </c>
      <c r="C13" s="18">
        <v>44740</v>
      </c>
      <c r="D13" s="18">
        <v>83300</v>
      </c>
      <c r="E13" s="18">
        <v>103432</v>
      </c>
      <c r="F13" s="18">
        <v>102208</v>
      </c>
      <c r="G13" s="18">
        <v>100302</v>
      </c>
      <c r="H13" s="18">
        <v>89360</v>
      </c>
      <c r="I13" s="18">
        <v>78200</v>
      </c>
      <c r="J13" s="18">
        <v>67100</v>
      </c>
      <c r="K13" s="18">
        <v>62000</v>
      </c>
      <c r="L13" s="18">
        <v>61240</v>
      </c>
      <c r="M13" s="19">
        <v>60400</v>
      </c>
      <c r="N13" s="20">
        <v>50000</v>
      </c>
    </row>
    <row r="14" spans="2:14" ht="17.45" customHeight="1" x14ac:dyDescent="0.2">
      <c r="B14" s="17">
        <v>1976</v>
      </c>
      <c r="C14" s="18">
        <v>70220</v>
      </c>
      <c r="D14" s="18">
        <v>85100</v>
      </c>
      <c r="E14" s="18">
        <v>102208</v>
      </c>
      <c r="F14" s="18">
        <v>88520</v>
      </c>
      <c r="G14" s="18">
        <v>80120</v>
      </c>
      <c r="H14" s="18">
        <v>63200</v>
      </c>
      <c r="I14" s="18">
        <v>46400</v>
      </c>
      <c r="J14" s="18">
        <v>31700</v>
      </c>
      <c r="K14" s="18">
        <v>23500</v>
      </c>
      <c r="L14" s="18">
        <v>23780</v>
      </c>
      <c r="M14" s="19">
        <v>18780</v>
      </c>
      <c r="N14" s="20">
        <v>6940</v>
      </c>
    </row>
    <row r="15" spans="2:14" ht="17.45" customHeight="1" x14ac:dyDescent="0.2">
      <c r="B15" s="17">
        <v>1977</v>
      </c>
      <c r="C15" s="18">
        <v>5000</v>
      </c>
      <c r="D15" s="18">
        <v>17600</v>
      </c>
      <c r="E15" s="18">
        <v>42600</v>
      </c>
      <c r="F15" s="18">
        <v>43900</v>
      </c>
      <c r="G15" s="18">
        <v>41440</v>
      </c>
      <c r="H15" s="18">
        <v>40960</v>
      </c>
      <c r="I15" s="18">
        <v>40240</v>
      </c>
      <c r="J15" s="18">
        <v>39160</v>
      </c>
      <c r="K15" s="18">
        <v>36680</v>
      </c>
      <c r="L15" s="18">
        <v>24900</v>
      </c>
      <c r="M15" s="19">
        <v>14280</v>
      </c>
      <c r="N15" s="20">
        <v>5000</v>
      </c>
    </row>
    <row r="16" spans="2:14" ht="17.45" customHeight="1" x14ac:dyDescent="0.2">
      <c r="B16" s="17">
        <v>1978</v>
      </c>
      <c r="C16" s="18">
        <v>22700</v>
      </c>
      <c r="D16" s="18">
        <v>35700</v>
      </c>
      <c r="E16" s="18">
        <v>39120</v>
      </c>
      <c r="F16" s="18">
        <v>42200</v>
      </c>
      <c r="G16" s="18">
        <v>38240</v>
      </c>
      <c r="H16" s="18">
        <v>37860</v>
      </c>
      <c r="I16" s="18">
        <v>36840</v>
      </c>
      <c r="J16" s="18">
        <v>36000</v>
      </c>
      <c r="K16" s="18">
        <v>35220</v>
      </c>
      <c r="L16" s="18">
        <v>34340</v>
      </c>
      <c r="M16" s="19">
        <v>25700</v>
      </c>
      <c r="N16" s="20">
        <v>26100</v>
      </c>
    </row>
    <row r="17" spans="2:14" ht="17.45" customHeight="1" x14ac:dyDescent="0.2">
      <c r="B17" s="17">
        <v>1979</v>
      </c>
      <c r="C17" s="18">
        <v>42400</v>
      </c>
      <c r="D17" s="18">
        <v>51500</v>
      </c>
      <c r="E17" s="18">
        <v>70700</v>
      </c>
      <c r="F17" s="18">
        <v>72640</v>
      </c>
      <c r="G17" s="18">
        <v>72160</v>
      </c>
      <c r="H17" s="18">
        <v>71300</v>
      </c>
      <c r="I17" s="18">
        <v>70340</v>
      </c>
      <c r="J17" s="18">
        <v>69540</v>
      </c>
      <c r="K17" s="18">
        <v>59120</v>
      </c>
      <c r="L17" s="18">
        <v>44500</v>
      </c>
      <c r="M17" s="19">
        <v>34100</v>
      </c>
      <c r="N17" s="20">
        <v>29540</v>
      </c>
    </row>
    <row r="18" spans="2:14" ht="17.45" customHeight="1" x14ac:dyDescent="0.2">
      <c r="B18" s="17">
        <v>1980</v>
      </c>
      <c r="C18" s="18">
        <v>27180</v>
      </c>
      <c r="D18" s="18">
        <v>27260</v>
      </c>
      <c r="E18" s="18">
        <v>42100</v>
      </c>
      <c r="F18" s="18">
        <v>45700</v>
      </c>
      <c r="G18" s="18">
        <v>45340</v>
      </c>
      <c r="H18" s="18">
        <v>44500</v>
      </c>
      <c r="I18" s="18">
        <v>43800</v>
      </c>
      <c r="J18" s="18">
        <v>39080</v>
      </c>
      <c r="K18" s="18">
        <v>34100</v>
      </c>
      <c r="L18" s="18">
        <v>29120</v>
      </c>
      <c r="M18" s="19">
        <v>24680</v>
      </c>
      <c r="N18" s="20">
        <v>14560</v>
      </c>
    </row>
    <row r="19" spans="2:14" ht="17.45" customHeight="1" x14ac:dyDescent="0.2">
      <c r="B19" s="17">
        <v>1981</v>
      </c>
      <c r="C19" s="18">
        <v>28840</v>
      </c>
      <c r="D19" s="18">
        <v>51100</v>
      </c>
      <c r="E19" s="18">
        <v>82600</v>
      </c>
      <c r="F19" s="18">
        <v>91000</v>
      </c>
      <c r="G19" s="18">
        <v>91000</v>
      </c>
      <c r="H19" s="18">
        <v>78200</v>
      </c>
      <c r="I19" s="18">
        <v>64820</v>
      </c>
      <c r="J19" s="18">
        <v>52480</v>
      </c>
      <c r="K19" s="18">
        <v>41200</v>
      </c>
      <c r="L19" s="18">
        <v>29060</v>
      </c>
      <c r="M19" s="19">
        <v>16260</v>
      </c>
      <c r="N19" s="20">
        <v>8260</v>
      </c>
    </row>
    <row r="20" spans="2:14" ht="17.45" customHeight="1" x14ac:dyDescent="0.2">
      <c r="B20" s="17">
        <v>1982</v>
      </c>
      <c r="C20" s="18">
        <v>39040</v>
      </c>
      <c r="D20" s="18">
        <v>44340</v>
      </c>
      <c r="E20" s="18">
        <v>59260</v>
      </c>
      <c r="F20" s="18">
        <v>68200</v>
      </c>
      <c r="G20" s="18">
        <v>67960</v>
      </c>
      <c r="H20" s="18">
        <v>67100</v>
      </c>
      <c r="I20" s="18">
        <v>66200</v>
      </c>
      <c r="J20" s="18">
        <v>54800</v>
      </c>
      <c r="K20" s="18">
        <v>42720</v>
      </c>
      <c r="L20" s="18">
        <v>34500</v>
      </c>
      <c r="M20" s="19">
        <v>36840</v>
      </c>
      <c r="N20" s="20">
        <v>32100</v>
      </c>
    </row>
    <row r="21" spans="2:14" ht="17.45" customHeight="1" x14ac:dyDescent="0.2">
      <c r="B21" s="17">
        <v>1983</v>
      </c>
      <c r="C21" s="18">
        <v>20520</v>
      </c>
      <c r="D21" s="18">
        <v>13480</v>
      </c>
      <c r="E21" s="18">
        <v>5680</v>
      </c>
      <c r="F21" s="18">
        <v>5200</v>
      </c>
      <c r="G21" s="18">
        <v>2260</v>
      </c>
      <c r="H21" s="18">
        <v>1880</v>
      </c>
      <c r="I21" s="18">
        <v>0</v>
      </c>
      <c r="J21" s="18">
        <v>0</v>
      </c>
      <c r="K21" s="18">
        <v>0</v>
      </c>
      <c r="L21" s="18">
        <v>0</v>
      </c>
      <c r="M21" s="19">
        <v>0</v>
      </c>
      <c r="N21" s="20">
        <v>0</v>
      </c>
    </row>
    <row r="22" spans="2:14" ht="17.45" customHeight="1" x14ac:dyDescent="0.2">
      <c r="B22" s="17">
        <v>1984</v>
      </c>
      <c r="C22" s="18">
        <v>32600</v>
      </c>
      <c r="D22" s="18">
        <v>83800</v>
      </c>
      <c r="E22" s="18">
        <v>101065</v>
      </c>
      <c r="F22" s="18">
        <v>93709</v>
      </c>
      <c r="G22" s="18">
        <v>82120</v>
      </c>
      <c r="H22" s="18">
        <v>70820</v>
      </c>
      <c r="I22" s="18">
        <v>57600</v>
      </c>
      <c r="J22" s="18">
        <v>44620</v>
      </c>
      <c r="K22" s="18">
        <v>32800</v>
      </c>
      <c r="L22" s="18">
        <v>32700</v>
      </c>
      <c r="M22" s="19">
        <v>43800</v>
      </c>
      <c r="N22" s="20">
        <v>64580</v>
      </c>
    </row>
    <row r="23" spans="2:14" s="25" customFormat="1" ht="17.45" customHeight="1" x14ac:dyDescent="0.2">
      <c r="B23" s="22">
        <v>1985</v>
      </c>
      <c r="C23" s="19">
        <v>73360</v>
      </c>
      <c r="D23" s="19">
        <v>100106</v>
      </c>
      <c r="E23" s="19">
        <v>101527</v>
      </c>
      <c r="F23" s="19">
        <v>101527</v>
      </c>
      <c r="G23" s="19">
        <v>95450</v>
      </c>
      <c r="H23" s="19">
        <v>95450</v>
      </c>
      <c r="I23" s="19">
        <v>83160</v>
      </c>
      <c r="J23" s="19">
        <v>70340</v>
      </c>
      <c r="K23" s="19">
        <v>59820</v>
      </c>
      <c r="L23" s="19">
        <v>48600</v>
      </c>
      <c r="M23" s="19">
        <v>48425</v>
      </c>
      <c r="N23" s="23">
        <v>44340</v>
      </c>
    </row>
    <row r="24" spans="2:14" ht="17.45" customHeight="1" x14ac:dyDescent="0.2">
      <c r="B24" s="17">
        <v>1986</v>
      </c>
      <c r="C24" s="18">
        <v>64360</v>
      </c>
      <c r="D24" s="18">
        <v>95985</v>
      </c>
      <c r="E24" s="18">
        <v>100983</v>
      </c>
      <c r="F24" s="18">
        <v>98263</v>
      </c>
      <c r="G24" s="18">
        <v>90900</v>
      </c>
      <c r="H24" s="18">
        <v>81840</v>
      </c>
      <c r="I24" s="18">
        <v>73040</v>
      </c>
      <c r="J24" s="18">
        <v>62200</v>
      </c>
      <c r="K24" s="18">
        <v>51200</v>
      </c>
      <c r="L24" s="18">
        <v>47480</v>
      </c>
      <c r="M24" s="19">
        <v>45100</v>
      </c>
      <c r="N24" s="20">
        <v>48400</v>
      </c>
    </row>
    <row r="25" spans="2:14" ht="17.45" customHeight="1" x14ac:dyDescent="0.2">
      <c r="B25" s="17">
        <v>1987</v>
      </c>
      <c r="C25" s="18">
        <v>81080</v>
      </c>
      <c r="D25" s="18">
        <v>85580</v>
      </c>
      <c r="E25" s="18">
        <v>86580</v>
      </c>
      <c r="F25" s="18">
        <v>73680</v>
      </c>
      <c r="G25" s="18">
        <v>67720</v>
      </c>
      <c r="H25" s="18">
        <v>61400</v>
      </c>
      <c r="I25" s="18">
        <v>48840</v>
      </c>
      <c r="J25" s="18">
        <v>46880</v>
      </c>
      <c r="K25" s="18">
        <v>45460</v>
      </c>
      <c r="L25" s="18">
        <v>44340</v>
      </c>
      <c r="M25" s="19">
        <v>44000</v>
      </c>
      <c r="N25" s="20">
        <v>31100</v>
      </c>
    </row>
    <row r="26" spans="2:14" ht="17.45" customHeight="1" x14ac:dyDescent="0.2">
      <c r="B26" s="17">
        <v>1988</v>
      </c>
      <c r="C26" s="18">
        <v>49520</v>
      </c>
      <c r="D26" s="18">
        <v>71060</v>
      </c>
      <c r="E26" s="18">
        <v>96120</v>
      </c>
      <c r="F26" s="18">
        <v>98570</v>
      </c>
      <c r="G26" s="18">
        <v>87560</v>
      </c>
      <c r="H26" s="18">
        <v>83500</v>
      </c>
      <c r="I26" s="18">
        <v>79560</v>
      </c>
      <c r="J26" s="18">
        <v>63320</v>
      </c>
      <c r="K26" s="18">
        <v>53200</v>
      </c>
      <c r="L26" s="18">
        <v>39120</v>
      </c>
      <c r="M26" s="19">
        <v>26200</v>
      </c>
      <c r="N26" s="20">
        <v>23580</v>
      </c>
    </row>
    <row r="27" spans="2:14" ht="17.45" customHeight="1" x14ac:dyDescent="0.2">
      <c r="B27" s="17">
        <v>1989</v>
      </c>
      <c r="C27" s="18">
        <v>28120</v>
      </c>
      <c r="D27" s="18">
        <v>36840</v>
      </c>
      <c r="E27" s="18">
        <v>58160</v>
      </c>
      <c r="F27" s="18">
        <v>70820</v>
      </c>
      <c r="G27" s="18">
        <v>69920</v>
      </c>
      <c r="H27" s="18">
        <v>62200</v>
      </c>
      <c r="I27" s="18">
        <v>50620</v>
      </c>
      <c r="J27" s="18">
        <v>38760</v>
      </c>
      <c r="K27" s="18">
        <v>24520</v>
      </c>
      <c r="L27" s="18">
        <v>19600</v>
      </c>
      <c r="M27" s="19">
        <v>9840</v>
      </c>
      <c r="N27" s="20">
        <v>3200</v>
      </c>
    </row>
    <row r="28" spans="2:14" ht="17.45" customHeight="1" x14ac:dyDescent="0.2">
      <c r="B28" s="17">
        <v>1990</v>
      </c>
      <c r="C28" s="18">
        <v>9260</v>
      </c>
      <c r="D28" s="18">
        <v>11358</v>
      </c>
      <c r="E28" s="18">
        <v>15510</v>
      </c>
      <c r="F28" s="18">
        <v>16500</v>
      </c>
      <c r="G28" s="18">
        <v>15800</v>
      </c>
      <c r="H28" s="18">
        <v>9300</v>
      </c>
      <c r="I28" s="18">
        <v>3440</v>
      </c>
      <c r="J28" s="18">
        <v>1600</v>
      </c>
      <c r="K28" s="18">
        <v>680</v>
      </c>
      <c r="L28" s="18">
        <v>0</v>
      </c>
      <c r="M28" s="19">
        <v>7660</v>
      </c>
      <c r="N28" s="20">
        <v>15160</v>
      </c>
    </row>
    <row r="29" spans="2:14" ht="17.45" customHeight="1" x14ac:dyDescent="0.2">
      <c r="B29" s="17">
        <v>1991</v>
      </c>
      <c r="C29" s="18">
        <v>33200</v>
      </c>
      <c r="D29" s="18">
        <v>49680</v>
      </c>
      <c r="E29" s="18">
        <v>73120</v>
      </c>
      <c r="F29" s="18">
        <v>76680</v>
      </c>
      <c r="G29" s="18">
        <v>71180</v>
      </c>
      <c r="H29" s="18">
        <v>61520</v>
      </c>
      <c r="I29" s="18">
        <v>49200</v>
      </c>
      <c r="J29" s="18">
        <v>40840</v>
      </c>
      <c r="K29" s="18">
        <v>31600</v>
      </c>
      <c r="L29" s="18">
        <v>22300</v>
      </c>
      <c r="M29" s="19">
        <v>13200</v>
      </c>
      <c r="N29" s="20">
        <v>11600</v>
      </c>
    </row>
    <row r="30" spans="2:14" ht="17.45" customHeight="1" x14ac:dyDescent="0.2">
      <c r="B30" s="17">
        <v>1992</v>
      </c>
      <c r="C30" s="18">
        <v>13800</v>
      </c>
      <c r="D30" s="18">
        <v>14640</v>
      </c>
      <c r="E30" s="18">
        <v>12680</v>
      </c>
      <c r="F30" s="18">
        <v>10760</v>
      </c>
      <c r="G30" s="18">
        <v>10140</v>
      </c>
      <c r="H30" s="18">
        <v>5500</v>
      </c>
      <c r="I30" s="18">
        <v>1760</v>
      </c>
      <c r="J30" s="18">
        <v>1200</v>
      </c>
      <c r="K30" s="18">
        <v>0</v>
      </c>
      <c r="L30" s="18">
        <v>0</v>
      </c>
      <c r="M30" s="19">
        <v>0</v>
      </c>
      <c r="N30" s="20">
        <v>7200</v>
      </c>
    </row>
    <row r="31" spans="2:14" ht="17.45" customHeight="1" x14ac:dyDescent="0.2">
      <c r="B31" s="17">
        <v>1993</v>
      </c>
      <c r="C31" s="18">
        <v>29180</v>
      </c>
      <c r="D31" s="18">
        <v>36840</v>
      </c>
      <c r="E31" s="18">
        <v>54300</v>
      </c>
      <c r="F31" s="18">
        <v>57600</v>
      </c>
      <c r="G31" s="18">
        <v>58380</v>
      </c>
      <c r="H31" s="18">
        <v>58020</v>
      </c>
      <c r="I31" s="18">
        <v>49200</v>
      </c>
      <c r="J31" s="18">
        <v>38240</v>
      </c>
      <c r="K31" s="18">
        <v>28240</v>
      </c>
      <c r="L31" s="18">
        <v>19760</v>
      </c>
      <c r="M31" s="19">
        <v>15340</v>
      </c>
      <c r="N31" s="20">
        <v>30700</v>
      </c>
    </row>
    <row r="32" spans="2:14" ht="17.45" customHeight="1" x14ac:dyDescent="0.2">
      <c r="B32" s="17">
        <v>1994</v>
      </c>
      <c r="C32" s="34">
        <v>67100</v>
      </c>
      <c r="D32" s="34">
        <v>101663</v>
      </c>
      <c r="E32" s="34">
        <v>103840</v>
      </c>
      <c r="F32" s="34">
        <v>100847</v>
      </c>
      <c r="G32" s="34">
        <v>95718</v>
      </c>
      <c r="H32" s="34">
        <v>86580</v>
      </c>
      <c r="I32" s="34">
        <v>74920</v>
      </c>
      <c r="J32" s="34">
        <v>62400</v>
      </c>
      <c r="K32" s="34">
        <v>51100</v>
      </c>
      <c r="L32" s="34">
        <v>40370</v>
      </c>
      <c r="M32" s="35">
        <v>32100</v>
      </c>
      <c r="N32" s="36">
        <v>29900</v>
      </c>
    </row>
    <row r="33" spans="2:14" ht="17.45" customHeight="1" x14ac:dyDescent="0.2">
      <c r="B33" s="17">
        <v>1995</v>
      </c>
      <c r="C33" s="34">
        <v>36440</v>
      </c>
      <c r="D33" s="34">
        <v>49680</v>
      </c>
      <c r="E33" s="34">
        <v>71180</v>
      </c>
      <c r="F33" s="34">
        <v>75860</v>
      </c>
      <c r="G33" s="34">
        <v>64900</v>
      </c>
      <c r="H33" s="34">
        <v>53600</v>
      </c>
      <c r="I33" s="34">
        <v>41360</v>
      </c>
      <c r="J33" s="34">
        <v>29900</v>
      </c>
      <c r="K33" s="34">
        <v>18860</v>
      </c>
      <c r="L33" s="34">
        <v>7540</v>
      </c>
      <c r="M33" s="35">
        <v>4986</v>
      </c>
      <c r="N33" s="36">
        <v>5560</v>
      </c>
    </row>
    <row r="34" spans="2:14" ht="17.45" customHeight="1" x14ac:dyDescent="0.2">
      <c r="B34" s="17">
        <v>1996</v>
      </c>
      <c r="C34" s="34">
        <v>18920</v>
      </c>
      <c r="D34" s="34">
        <v>41440</v>
      </c>
      <c r="E34" s="34">
        <v>50160</v>
      </c>
      <c r="F34" s="34">
        <v>59960</v>
      </c>
      <c r="G34" s="34">
        <v>60920</v>
      </c>
      <c r="H34" s="34">
        <v>52000</v>
      </c>
      <c r="I34" s="34">
        <v>40000</v>
      </c>
      <c r="J34" s="34">
        <v>28770</v>
      </c>
      <c r="K34" s="34">
        <v>17160</v>
      </c>
      <c r="L34" s="34">
        <v>6660</v>
      </c>
      <c r="M34" s="35">
        <v>5880</v>
      </c>
      <c r="N34" s="36">
        <v>13860</v>
      </c>
    </row>
    <row r="35" spans="2:14" ht="17.45" customHeight="1" x14ac:dyDescent="0.2">
      <c r="B35" s="17">
        <v>1997</v>
      </c>
      <c r="C35" s="34">
        <v>38240</v>
      </c>
      <c r="D35" s="34">
        <v>71060</v>
      </c>
      <c r="E35" s="34">
        <v>85340</v>
      </c>
      <c r="F35" s="34">
        <v>90500</v>
      </c>
      <c r="G35" s="34">
        <v>90900</v>
      </c>
      <c r="H35" s="34">
        <v>80000</v>
      </c>
      <c r="I35" s="34">
        <v>67400</v>
      </c>
      <c r="J35" s="34">
        <v>55960</v>
      </c>
      <c r="K35" s="34">
        <v>45840</v>
      </c>
      <c r="L35" s="34">
        <v>40360</v>
      </c>
      <c r="M35" s="35">
        <v>36440</v>
      </c>
      <c r="N35" s="36">
        <v>35220</v>
      </c>
    </row>
    <row r="36" spans="2:14" ht="17.45" customHeight="1" x14ac:dyDescent="0.2">
      <c r="B36" s="17">
        <v>1998</v>
      </c>
      <c r="C36" s="34">
        <v>54900</v>
      </c>
      <c r="D36" s="34">
        <v>77700</v>
      </c>
      <c r="E36" s="34">
        <v>85700</v>
      </c>
      <c r="F36" s="34">
        <v>83500</v>
      </c>
      <c r="G36" s="34">
        <v>81360</v>
      </c>
      <c r="H36" s="34">
        <v>80360</v>
      </c>
      <c r="I36" s="34">
        <v>79520</v>
      </c>
      <c r="J36" s="34">
        <v>67400</v>
      </c>
      <c r="K36" s="34">
        <v>54060</v>
      </c>
      <c r="L36" s="34">
        <v>40840</v>
      </c>
      <c r="M36" s="35">
        <v>28680</v>
      </c>
      <c r="N36" s="36">
        <v>18920</v>
      </c>
    </row>
    <row r="37" spans="2:14" ht="17.45" customHeight="1" x14ac:dyDescent="0.2">
      <c r="B37" s="17">
        <v>1999</v>
      </c>
      <c r="C37" s="34">
        <v>13120</v>
      </c>
      <c r="D37" s="34">
        <v>46400</v>
      </c>
      <c r="E37" s="34">
        <v>90800</v>
      </c>
      <c r="F37" s="34">
        <v>99350.396999999997</v>
      </c>
      <c r="G37" s="34">
        <v>96121</v>
      </c>
      <c r="H37" s="34">
        <v>95317</v>
      </c>
      <c r="I37" s="34">
        <v>94513.097999999998</v>
      </c>
      <c r="J37" s="34">
        <v>93709.356</v>
      </c>
      <c r="K37" s="34">
        <v>89360</v>
      </c>
      <c r="L37" s="34">
        <v>81360</v>
      </c>
      <c r="M37" s="35">
        <v>68680</v>
      </c>
      <c r="N37" s="36">
        <v>57500</v>
      </c>
    </row>
    <row r="38" spans="2:14" ht="17.45" customHeight="1" x14ac:dyDescent="0.2">
      <c r="B38" s="17">
        <v>2000</v>
      </c>
      <c r="C38" s="34">
        <v>79280</v>
      </c>
      <c r="D38" s="34">
        <v>106513</v>
      </c>
      <c r="E38" s="34">
        <v>101663.723</v>
      </c>
      <c r="F38" s="34">
        <v>97594.108999999997</v>
      </c>
      <c r="G38" s="34">
        <v>84980</v>
      </c>
      <c r="H38" s="34">
        <v>72320</v>
      </c>
      <c r="I38" s="34">
        <v>68520</v>
      </c>
      <c r="J38" s="34">
        <v>67500</v>
      </c>
      <c r="K38" s="34">
        <v>58840</v>
      </c>
      <c r="L38" s="34">
        <v>50520</v>
      </c>
      <c r="M38" s="35">
        <v>36600</v>
      </c>
      <c r="N38" s="36">
        <v>26440</v>
      </c>
    </row>
    <row r="39" spans="2:14" ht="17.45" customHeight="1" x14ac:dyDescent="0.2">
      <c r="B39" s="17">
        <v>2001</v>
      </c>
      <c r="C39" s="34">
        <v>56680</v>
      </c>
      <c r="D39" s="34">
        <v>93441.441999999995</v>
      </c>
      <c r="E39" s="34">
        <v>103568.815</v>
      </c>
      <c r="F39" s="34">
        <v>98942.163</v>
      </c>
      <c r="G39" s="34">
        <v>98942.172999999995</v>
      </c>
      <c r="H39" s="34">
        <v>98129.937000000005</v>
      </c>
      <c r="I39" s="34">
        <v>97728.066000000006</v>
      </c>
      <c r="J39" s="34">
        <v>95986.521999999997</v>
      </c>
      <c r="K39" s="34">
        <v>88400</v>
      </c>
      <c r="L39" s="34">
        <v>74400</v>
      </c>
      <c r="M39" s="35">
        <v>60400</v>
      </c>
      <c r="N39" s="36">
        <v>47800</v>
      </c>
    </row>
    <row r="40" spans="2:14" ht="17.45" customHeight="1" x14ac:dyDescent="0.2">
      <c r="B40" s="17">
        <v>2002</v>
      </c>
      <c r="C40" s="34">
        <v>41440</v>
      </c>
      <c r="D40" s="34">
        <v>70700</v>
      </c>
      <c r="E40" s="34">
        <v>98129.937000000005</v>
      </c>
      <c r="F40" s="34">
        <v>100847.255</v>
      </c>
      <c r="G40" s="34">
        <v>99486.475000000006</v>
      </c>
      <c r="H40" s="34">
        <v>98397.850999999995</v>
      </c>
      <c r="I40" s="34">
        <v>98397.85</v>
      </c>
      <c r="J40" s="34">
        <v>97862.023000000001</v>
      </c>
      <c r="K40" s="34">
        <v>87440</v>
      </c>
      <c r="L40" s="34">
        <v>74400</v>
      </c>
      <c r="M40" s="35">
        <v>63800</v>
      </c>
      <c r="N40" s="36">
        <v>62200</v>
      </c>
    </row>
    <row r="41" spans="2:14" ht="17.45" customHeight="1" x14ac:dyDescent="0.2">
      <c r="B41" s="17">
        <v>2003</v>
      </c>
      <c r="C41" s="34">
        <v>68680</v>
      </c>
      <c r="D41" s="34">
        <v>87560</v>
      </c>
      <c r="E41" s="34">
        <v>103568.815</v>
      </c>
      <c r="F41" s="34">
        <v>94245.183999999994</v>
      </c>
      <c r="G41" s="34">
        <v>82000</v>
      </c>
      <c r="H41" s="34">
        <v>70100</v>
      </c>
      <c r="I41" s="34">
        <v>58020</v>
      </c>
      <c r="J41" s="34">
        <v>46880</v>
      </c>
      <c r="K41" s="34">
        <v>36280</v>
      </c>
      <c r="L41" s="34">
        <v>32020</v>
      </c>
      <c r="M41" s="35">
        <v>31100</v>
      </c>
      <c r="N41" s="36">
        <v>34500</v>
      </c>
    </row>
    <row r="42" spans="2:14" ht="17.45" customHeight="1" x14ac:dyDescent="0.2">
      <c r="B42" s="17">
        <v>2004</v>
      </c>
      <c r="C42" s="34">
        <v>63320</v>
      </c>
      <c r="D42" s="34">
        <v>88520</v>
      </c>
      <c r="E42" s="34">
        <v>99622.553</v>
      </c>
      <c r="F42" s="34">
        <v>98263.894</v>
      </c>
      <c r="G42" s="34">
        <v>82240</v>
      </c>
      <c r="H42" s="34">
        <v>67100</v>
      </c>
      <c r="I42" s="34">
        <v>51400</v>
      </c>
      <c r="J42" s="34">
        <v>36000</v>
      </c>
      <c r="K42" s="34">
        <v>22140</v>
      </c>
      <c r="L42" s="34">
        <v>16270</v>
      </c>
      <c r="M42" s="35">
        <v>15720</v>
      </c>
      <c r="N42" s="36">
        <v>15560</v>
      </c>
    </row>
    <row r="43" spans="2:14" ht="17.45" customHeight="1" x14ac:dyDescent="0.2">
      <c r="B43" s="17">
        <v>2005</v>
      </c>
      <c r="C43" s="34">
        <v>14920</v>
      </c>
      <c r="D43" s="34">
        <v>41700</v>
      </c>
      <c r="E43" s="34">
        <v>48720</v>
      </c>
      <c r="F43" s="34">
        <v>54700</v>
      </c>
      <c r="G43" s="34">
        <v>45340</v>
      </c>
      <c r="H43" s="34">
        <v>31940</v>
      </c>
      <c r="I43" s="34">
        <v>18560</v>
      </c>
      <c r="J43" s="34">
        <v>6660</v>
      </c>
      <c r="K43" s="34">
        <v>5800</v>
      </c>
      <c r="L43" s="34">
        <v>5320</v>
      </c>
      <c r="M43" s="35">
        <v>5120</v>
      </c>
      <c r="N43" s="36">
        <v>7120</v>
      </c>
    </row>
    <row r="44" spans="2:14" ht="17.45" customHeight="1" x14ac:dyDescent="0.2">
      <c r="B44" s="17">
        <v>2006</v>
      </c>
      <c r="C44" s="34">
        <v>26900</v>
      </c>
      <c r="D44" s="34">
        <v>50880</v>
      </c>
      <c r="E44" s="34">
        <v>79400</v>
      </c>
      <c r="F44" s="34">
        <v>90500</v>
      </c>
      <c r="G44" s="34">
        <v>88188.267999999996</v>
      </c>
      <c r="H44" s="34">
        <v>80621.391000000003</v>
      </c>
      <c r="I44" s="34">
        <v>69164.55</v>
      </c>
      <c r="J44" s="34">
        <v>64086.358999999997</v>
      </c>
      <c r="K44" s="34">
        <v>63231.81</v>
      </c>
      <c r="L44" s="34">
        <v>62307.167000000001</v>
      </c>
      <c r="M44" s="35">
        <v>62623.125</v>
      </c>
      <c r="N44" s="36">
        <v>65438.928</v>
      </c>
    </row>
    <row r="45" spans="2:14" ht="17.45" customHeight="1" x14ac:dyDescent="0.2">
      <c r="B45" s="17">
        <v>2007</v>
      </c>
      <c r="C45" s="34">
        <v>79652.001000000004</v>
      </c>
      <c r="D45" s="34">
        <v>93386.073000000004</v>
      </c>
      <c r="E45" s="34">
        <v>102870.28</v>
      </c>
      <c r="F45" s="34">
        <v>97601.631999999998</v>
      </c>
      <c r="G45" s="34">
        <v>87766.629000000001</v>
      </c>
      <c r="H45" s="34">
        <v>75377.096999999994</v>
      </c>
      <c r="I45" s="34">
        <v>62890.779000000002</v>
      </c>
      <c r="J45" s="34">
        <v>50367.228000000003</v>
      </c>
      <c r="K45" s="34">
        <v>39480.637999999999</v>
      </c>
      <c r="L45" s="34">
        <v>38255.845000000001</v>
      </c>
      <c r="M45" s="35">
        <v>29497.471000000001</v>
      </c>
      <c r="N45" s="36">
        <v>19539.236000000001</v>
      </c>
    </row>
    <row r="46" spans="2:14" ht="17.45" customHeight="1" x14ac:dyDescent="0.2">
      <c r="B46" s="17">
        <v>2008</v>
      </c>
      <c r="C46" s="34">
        <v>46633.915999999997</v>
      </c>
      <c r="D46" s="34">
        <v>65362.372000000003</v>
      </c>
      <c r="E46" s="34">
        <v>77897.748999999996</v>
      </c>
      <c r="F46" s="34">
        <v>67630.904999999999</v>
      </c>
      <c r="G46" s="34">
        <v>54693.788</v>
      </c>
      <c r="H46" s="34">
        <v>42440.017999999996</v>
      </c>
      <c r="I46" s="34">
        <v>29090.006000000001</v>
      </c>
      <c r="J46" s="34">
        <v>15811.677</v>
      </c>
      <c r="K46" s="34">
        <v>3212.9369999999999</v>
      </c>
      <c r="L46" s="34">
        <v>530.65</v>
      </c>
      <c r="M46" s="35">
        <v>573.798</v>
      </c>
      <c r="N46" s="36">
        <v>5182.8580000000002</v>
      </c>
    </row>
    <row r="47" spans="2:14" ht="17.45" customHeight="1" x14ac:dyDescent="0.2">
      <c r="B47" s="17">
        <v>2009</v>
      </c>
      <c r="C47" s="34">
        <v>15835.59</v>
      </c>
      <c r="D47" s="34">
        <v>29518.404999999999</v>
      </c>
      <c r="E47" s="34">
        <v>46216.428999999996</v>
      </c>
      <c r="F47" s="34">
        <v>51801.389000000003</v>
      </c>
      <c r="G47" s="34">
        <v>44302.192999999999</v>
      </c>
      <c r="H47" s="34">
        <v>35425.118000000002</v>
      </c>
      <c r="I47" s="34">
        <v>26591.516</v>
      </c>
      <c r="J47" s="34">
        <v>15485.974</v>
      </c>
      <c r="K47" s="34">
        <v>8557.7780000000002</v>
      </c>
      <c r="L47" s="34">
        <v>8292.3060000000005</v>
      </c>
      <c r="M47" s="35">
        <v>9713.1550000000007</v>
      </c>
      <c r="N47" s="36">
        <v>16500.366999999998</v>
      </c>
    </row>
    <row r="48" spans="2:14" ht="17.45" customHeight="1" x14ac:dyDescent="0.2">
      <c r="B48" s="17">
        <v>2010</v>
      </c>
      <c r="C48" s="34">
        <v>51051.267999999996</v>
      </c>
      <c r="D48" s="34">
        <v>74263.490999999995</v>
      </c>
      <c r="E48" s="34">
        <v>90374.83</v>
      </c>
      <c r="F48" s="34">
        <v>87915.975999999995</v>
      </c>
      <c r="G48" s="34">
        <v>73374.403999999995</v>
      </c>
      <c r="H48" s="34">
        <v>58727.228999999999</v>
      </c>
      <c r="I48" s="34">
        <v>43603.296999999999</v>
      </c>
      <c r="J48" s="34">
        <v>28424.121999999999</v>
      </c>
      <c r="K48" s="34">
        <v>21754.275000000001</v>
      </c>
      <c r="L48" s="34">
        <v>20955.942999999999</v>
      </c>
      <c r="M48" s="35">
        <v>19875.008000000002</v>
      </c>
      <c r="N48" s="36">
        <v>26432.438999999998</v>
      </c>
    </row>
    <row r="49" spans="2:14" ht="17.45" customHeight="1" x14ac:dyDescent="0.2">
      <c r="B49" s="17">
        <v>2011</v>
      </c>
      <c r="C49" s="34">
        <v>37138.212</v>
      </c>
      <c r="D49" s="34">
        <v>74034.642000000007</v>
      </c>
      <c r="E49" s="34">
        <v>96428.482000000004</v>
      </c>
      <c r="F49" s="34">
        <v>97344.002999999997</v>
      </c>
      <c r="G49" s="34">
        <v>89024.740999999995</v>
      </c>
      <c r="H49" s="34">
        <v>75704.176999999996</v>
      </c>
      <c r="I49" s="34">
        <v>60966.188999999998</v>
      </c>
      <c r="J49" s="34">
        <v>52278.894</v>
      </c>
      <c r="K49" s="34">
        <v>51694.076000000001</v>
      </c>
      <c r="L49" s="34">
        <v>50884.917000000001</v>
      </c>
      <c r="M49" s="35">
        <v>49700.142</v>
      </c>
      <c r="N49" s="36">
        <v>57243.036999999997</v>
      </c>
    </row>
    <row r="50" spans="2:14" ht="17.45" customHeight="1" x14ac:dyDescent="0.2">
      <c r="B50" s="17">
        <v>2012</v>
      </c>
      <c r="C50" s="34">
        <v>93569.593999999997</v>
      </c>
      <c r="D50" s="34">
        <v>103949.833</v>
      </c>
      <c r="E50" s="34">
        <v>99441.085999999996</v>
      </c>
      <c r="F50" s="34">
        <v>99193.903999999995</v>
      </c>
      <c r="G50" s="34">
        <v>93474.573999999993</v>
      </c>
      <c r="H50" s="34">
        <v>80698.216</v>
      </c>
      <c r="I50" s="34">
        <v>67382.032999999996</v>
      </c>
      <c r="J50" s="34">
        <v>53777.648999999998</v>
      </c>
      <c r="K50" s="34">
        <v>47739.936000000002</v>
      </c>
      <c r="L50" s="34">
        <v>47774.951000000001</v>
      </c>
      <c r="M50" s="35">
        <v>48230.648999999998</v>
      </c>
      <c r="N50" s="36">
        <v>68166.694000000003</v>
      </c>
    </row>
    <row r="51" spans="2:14" ht="17.45" customHeight="1" x14ac:dyDescent="0.2">
      <c r="B51" s="17">
        <v>2013</v>
      </c>
      <c r="C51" s="34">
        <v>82229.78</v>
      </c>
      <c r="D51" s="34">
        <v>95841.778999999995</v>
      </c>
      <c r="E51" s="34">
        <v>98096.801000000007</v>
      </c>
      <c r="F51" s="34">
        <v>88285.252999999997</v>
      </c>
      <c r="G51" s="34">
        <v>85851.226999999999</v>
      </c>
      <c r="H51" s="34">
        <v>74556.129000000001</v>
      </c>
      <c r="I51" s="34">
        <v>61244.510999999999</v>
      </c>
      <c r="J51" s="34">
        <v>47448.321000000004</v>
      </c>
      <c r="K51" s="34">
        <v>39932.21</v>
      </c>
      <c r="L51" s="34">
        <v>39831.250999999997</v>
      </c>
      <c r="M51" s="35">
        <v>39483.93</v>
      </c>
      <c r="N51" s="36">
        <v>46703.589</v>
      </c>
    </row>
    <row r="52" spans="2:14" ht="17.45" customHeight="1" x14ac:dyDescent="0.2">
      <c r="B52" s="17">
        <v>2014</v>
      </c>
      <c r="C52" s="34">
        <v>60470.659</v>
      </c>
      <c r="D52" s="34">
        <v>63469.951999999997</v>
      </c>
      <c r="E52" s="34">
        <v>60241.561000000002</v>
      </c>
      <c r="F52" s="34">
        <v>51503.423000000003</v>
      </c>
      <c r="G52" s="34">
        <v>47098.879999999997</v>
      </c>
      <c r="H52" s="34">
        <v>46297.534</v>
      </c>
      <c r="I52" s="34">
        <v>45591.773000000001</v>
      </c>
      <c r="J52" s="34">
        <v>43032.224000000002</v>
      </c>
      <c r="K52" s="34">
        <v>39898.542999999998</v>
      </c>
      <c r="L52" s="34">
        <v>39495.124000000003</v>
      </c>
      <c r="M52" s="35">
        <v>38713.303</v>
      </c>
      <c r="N52" s="36">
        <v>40494.112000000001</v>
      </c>
    </row>
    <row r="53" spans="2:14" ht="17.45" customHeight="1" x14ac:dyDescent="0.2">
      <c r="B53" s="17">
        <v>2015</v>
      </c>
      <c r="C53" s="34">
        <v>48406.159</v>
      </c>
      <c r="D53" s="34">
        <v>63372.266000000003</v>
      </c>
      <c r="E53" s="34">
        <v>72513.032999999996</v>
      </c>
      <c r="F53" s="34">
        <v>85025.476999999999</v>
      </c>
      <c r="G53" s="34">
        <v>87770.983999999997</v>
      </c>
      <c r="H53" s="34">
        <v>85208.835999999996</v>
      </c>
      <c r="I53" s="34">
        <v>75512.365999999995</v>
      </c>
      <c r="J53" s="34">
        <v>64094.232000000004</v>
      </c>
      <c r="K53" s="34">
        <v>53440.983999999997</v>
      </c>
      <c r="L53" s="34">
        <v>46343.900999999998</v>
      </c>
      <c r="M53" s="35">
        <v>37359.146999999997</v>
      </c>
      <c r="N53" s="36">
        <v>29121.305</v>
      </c>
    </row>
    <row r="54" spans="2:14" ht="17.45" customHeight="1" x14ac:dyDescent="0.2">
      <c r="B54" s="17">
        <v>2016</v>
      </c>
      <c r="C54" s="34">
        <v>21475.244999999999</v>
      </c>
      <c r="D54" s="34">
        <v>51217.722000000002</v>
      </c>
      <c r="E54" s="34">
        <v>58380.216999999997</v>
      </c>
      <c r="F54" s="34">
        <v>54560.963000000003</v>
      </c>
      <c r="G54" s="34">
        <v>41215.82</v>
      </c>
      <c r="H54" s="34">
        <v>28403.366999999998</v>
      </c>
      <c r="I54" s="34">
        <v>15098.302</v>
      </c>
      <c r="J54" s="34">
        <v>13143.287</v>
      </c>
      <c r="K54" s="34">
        <v>7225.75</v>
      </c>
      <c r="L54" s="34">
        <v>1077.2670000000001</v>
      </c>
      <c r="M54" s="35">
        <v>1342.5029999999999</v>
      </c>
      <c r="N54" s="36">
        <v>1492.242</v>
      </c>
    </row>
    <row r="55" spans="2:14" ht="17.45" customHeight="1" x14ac:dyDescent="0.2">
      <c r="B55" s="17">
        <v>2017</v>
      </c>
      <c r="C55" s="34">
        <v>25161.753000000001</v>
      </c>
      <c r="D55" s="34">
        <v>36675.199999999997</v>
      </c>
      <c r="E55" s="34">
        <v>78579.744999999995</v>
      </c>
      <c r="F55" s="34">
        <v>91064.695000000007</v>
      </c>
      <c r="G55" s="34">
        <v>93327.540999999997</v>
      </c>
      <c r="H55" s="34">
        <v>84619.76</v>
      </c>
      <c r="I55" s="34">
        <v>71200.357000000004</v>
      </c>
      <c r="J55" s="34">
        <v>57121.067999999999</v>
      </c>
      <c r="K55" s="34">
        <v>53236.794000000002</v>
      </c>
      <c r="L55" s="34">
        <v>52663.54</v>
      </c>
      <c r="M55" s="35">
        <v>52649.599000000002</v>
      </c>
      <c r="N55" s="36">
        <v>56731.186999999998</v>
      </c>
    </row>
    <row r="56" spans="2:14" ht="17.45" customHeight="1" x14ac:dyDescent="0.2">
      <c r="B56" s="17">
        <v>2018</v>
      </c>
      <c r="C56" s="34">
        <v>76947.623999999996</v>
      </c>
      <c r="D56" s="34">
        <v>100602.315</v>
      </c>
      <c r="E56" s="34">
        <v>103378.306</v>
      </c>
      <c r="F56" s="34">
        <v>100507.06</v>
      </c>
      <c r="G56" s="34">
        <v>98713.630999999994</v>
      </c>
      <c r="H56" s="34">
        <v>98206.407000000007</v>
      </c>
      <c r="I56" s="34">
        <v>97644.968999999997</v>
      </c>
      <c r="J56" s="34">
        <v>96810.89</v>
      </c>
      <c r="K56" s="34">
        <v>91875.356</v>
      </c>
      <c r="L56" s="34">
        <v>81048.133000000002</v>
      </c>
      <c r="M56" s="35">
        <v>69667.184999999998</v>
      </c>
      <c r="N56" s="36">
        <v>63641.002</v>
      </c>
    </row>
    <row r="57" spans="2:14" ht="17.45" customHeight="1" x14ac:dyDescent="0.2">
      <c r="B57" s="17">
        <v>2019</v>
      </c>
      <c r="C57" s="34">
        <v>70747.183999999994</v>
      </c>
      <c r="D57" s="34">
        <v>102614.87</v>
      </c>
      <c r="E57" s="34">
        <v>102558.898</v>
      </c>
      <c r="F57" s="34">
        <v>100325.47900000001</v>
      </c>
      <c r="G57" s="34">
        <v>94634.687999999995</v>
      </c>
      <c r="H57" s="34">
        <v>87126.762000000002</v>
      </c>
      <c r="I57" s="34">
        <v>79392.778999999995</v>
      </c>
      <c r="J57" s="34">
        <v>70872.629000000001</v>
      </c>
      <c r="K57" s="34">
        <v>62657.04</v>
      </c>
      <c r="L57" s="34">
        <v>57792.595999999998</v>
      </c>
      <c r="M57" s="35">
        <v>57780.370999999999</v>
      </c>
      <c r="N57" s="36">
        <v>56001.669000000002</v>
      </c>
    </row>
    <row r="58" spans="2:14" ht="17.45" customHeight="1" x14ac:dyDescent="0.2">
      <c r="B58" s="17">
        <v>2020</v>
      </c>
      <c r="C58" s="34">
        <v>68991.497000000003</v>
      </c>
      <c r="D58" s="34">
        <v>93562.055999999997</v>
      </c>
      <c r="E58" s="34">
        <v>103385.08199999999</v>
      </c>
      <c r="F58" s="34">
        <v>98254.714999999997</v>
      </c>
      <c r="G58" s="34">
        <v>90712.993000000002</v>
      </c>
      <c r="H58" s="34">
        <v>82681.255000000005</v>
      </c>
      <c r="I58" s="34">
        <v>74272.303</v>
      </c>
      <c r="J58" s="34">
        <v>65631.884999999995</v>
      </c>
      <c r="K58" s="34">
        <v>58221.599000000002</v>
      </c>
      <c r="L58" s="34">
        <v>58664.175999999999</v>
      </c>
      <c r="M58" s="35">
        <v>57340.648000000001</v>
      </c>
      <c r="N58" s="36">
        <v>62245.190999999999</v>
      </c>
    </row>
    <row r="59" spans="2:14" ht="17.45" customHeight="1" x14ac:dyDescent="0.2">
      <c r="B59" s="17">
        <v>2021</v>
      </c>
      <c r="C59" s="34">
        <v>91697.32</v>
      </c>
      <c r="D59" s="34">
        <v>98504.39</v>
      </c>
      <c r="E59" s="34">
        <v>104437.355</v>
      </c>
      <c r="F59" s="34">
        <v>98462.773000000001</v>
      </c>
      <c r="G59" s="34">
        <v>90740.308999999994</v>
      </c>
      <c r="H59" s="34">
        <v>82654.846999999994</v>
      </c>
      <c r="I59" s="34">
        <v>74155.884000000005</v>
      </c>
      <c r="J59" s="34">
        <v>65480.593000000001</v>
      </c>
      <c r="K59" s="34">
        <v>57206.449000000001</v>
      </c>
      <c r="L59" s="34">
        <v>51455.773999999998</v>
      </c>
      <c r="M59" s="35">
        <v>45557.131999999998</v>
      </c>
      <c r="N59" s="36">
        <v>47891.712</v>
      </c>
    </row>
    <row r="60" spans="2:14" ht="17.45" customHeight="1" x14ac:dyDescent="0.2">
      <c r="B60" s="17">
        <v>2022</v>
      </c>
      <c r="C60" s="34">
        <v>77784.149999999994</v>
      </c>
      <c r="D60" s="34">
        <v>101636.36199999999</v>
      </c>
      <c r="E60" s="34">
        <v>101957.651</v>
      </c>
      <c r="F60" s="34">
        <v>97866.573000000004</v>
      </c>
      <c r="G60" s="34">
        <v>91984.782000000007</v>
      </c>
      <c r="H60" s="34">
        <v>84785.645000000004</v>
      </c>
      <c r="I60" s="34">
        <v>81073.343999999997</v>
      </c>
      <c r="J60" s="34">
        <v>72568.497000000003</v>
      </c>
      <c r="K60" s="34">
        <v>63846.061000000002</v>
      </c>
      <c r="L60" s="34">
        <v>54609.26</v>
      </c>
      <c r="M60" s="35">
        <v>45603.326000000001</v>
      </c>
      <c r="N60" s="36">
        <v>44004.004999999997</v>
      </c>
    </row>
    <row r="61" spans="2:14" ht="17.45" customHeight="1" x14ac:dyDescent="0.2">
      <c r="B61" s="17">
        <v>2023</v>
      </c>
      <c r="C61" s="34">
        <v>39193.150999999998</v>
      </c>
      <c r="D61" s="34">
        <v>64662.296000000002</v>
      </c>
      <c r="E61" s="34">
        <v>84255.312000000005</v>
      </c>
      <c r="F61" s="34">
        <v>89212.823000000004</v>
      </c>
      <c r="G61" s="34">
        <v>81955.633000000002</v>
      </c>
      <c r="H61" s="34">
        <v>73742.221999999994</v>
      </c>
      <c r="I61" s="34">
        <v>66870.103000000003</v>
      </c>
      <c r="J61" s="34">
        <v>59675.381000000001</v>
      </c>
      <c r="K61" s="34">
        <v>51265.317000000003</v>
      </c>
      <c r="L61" s="34">
        <v>44026.928999999996</v>
      </c>
      <c r="M61" s="35">
        <v>36895.517</v>
      </c>
      <c r="N61" s="36">
        <v>34466.870000000003</v>
      </c>
    </row>
    <row r="62" spans="2:14" ht="17.45" customHeight="1" x14ac:dyDescent="0.2">
      <c r="B62" s="17">
        <v>2024</v>
      </c>
      <c r="C62" s="34">
        <v>52028.091999999997</v>
      </c>
      <c r="D62" s="34">
        <v>73354.820999999996</v>
      </c>
      <c r="E62" s="34">
        <v>103974.075</v>
      </c>
      <c r="F62" s="34">
        <v>98837.508000000002</v>
      </c>
      <c r="G62" s="34">
        <v>93891.854999999996</v>
      </c>
      <c r="H62" s="34">
        <v>85502.65</v>
      </c>
      <c r="I62" s="34">
        <v>76949.604000000007</v>
      </c>
      <c r="J62" s="34">
        <v>75788.945999999996</v>
      </c>
      <c r="K62" s="34">
        <v>74621.764999999999</v>
      </c>
      <c r="L62" s="34">
        <v>73329.017000000007</v>
      </c>
      <c r="M62" s="35">
        <v>73200.005999999994</v>
      </c>
      <c r="N62" s="36">
        <v>75360.58</v>
      </c>
    </row>
    <row r="63" spans="2:14" ht="17.45" customHeight="1" thickBot="1" x14ac:dyDescent="0.25">
      <c r="B63" s="26">
        <v>2025</v>
      </c>
      <c r="C63" s="37">
        <v>82351.278000000006</v>
      </c>
      <c r="D63" s="37">
        <v>102391.03200000001</v>
      </c>
      <c r="E63" s="37">
        <v>102712.82799999999</v>
      </c>
      <c r="F63" s="37">
        <v>95875.226999999999</v>
      </c>
      <c r="G63" s="37">
        <v>88301.252999999997</v>
      </c>
      <c r="H63" s="37">
        <v>86433.804000000004</v>
      </c>
      <c r="I63" s="37">
        <v>71231.705000000002</v>
      </c>
      <c r="J63" s="37">
        <v>54995.936000000002</v>
      </c>
      <c r="K63" s="37">
        <v>43717.705999999998</v>
      </c>
      <c r="L63" s="37">
        <v>38823.743999999999</v>
      </c>
      <c r="M63" s="38">
        <v>36864.146999999997</v>
      </c>
      <c r="N63" s="39"/>
    </row>
    <row r="64" spans="2:14" ht="17.45" customHeight="1" thickTop="1" x14ac:dyDescent="0.2"/>
    <row r="65" spans="3:14" ht="17.45" customHeight="1" x14ac:dyDescent="0.2">
      <c r="G65" s="54"/>
      <c r="H65" s="54"/>
      <c r="L65" s="54"/>
    </row>
    <row r="66" spans="3:14" ht="17.45" customHeight="1" x14ac:dyDescent="0.2">
      <c r="N66" s="25"/>
    </row>
    <row r="67" spans="3:14" ht="17.45" customHeight="1" x14ac:dyDescent="0.2">
      <c r="C67" s="25"/>
    </row>
  </sheetData>
  <phoneticPr fontId="0" type="noConversion"/>
  <printOptions horizontalCentered="1" verticalCentered="1"/>
  <pageMargins left="0.19685039370078741" right="0.19685039370078741" top="1.1811023622047245" bottom="0.35433070866141736" header="0.51181102362204722" footer="0.19685039370078741"/>
  <pageSetup paperSize="9" scale="4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FE49-75FC-4B89-97C2-5B5616B9493B}">
  <sheetPr codeName="Hoja19">
    <pageSetUpPr fitToPage="1"/>
  </sheetPr>
  <dimension ref="B1:N67"/>
  <sheetViews>
    <sheetView zoomScale="86" zoomScaleNormal="86" workbookViewId="0">
      <pane xSplit="2" ySplit="9" topLeftCell="C55" activePane="bottomRight" state="frozen"/>
      <selection pane="topRight"/>
      <selection pane="bottomLeft"/>
      <selection pane="bottomRight"/>
    </sheetView>
  </sheetViews>
  <sheetFormatPr baseColWidth="10" defaultColWidth="15.7109375" defaultRowHeight="17.45" customHeight="1" x14ac:dyDescent="0.2"/>
  <cols>
    <col min="1" max="12" width="15.7109375" style="4" customWidth="1"/>
    <col min="13" max="13" width="15.7109375" style="25" customWidth="1"/>
    <col min="14" max="16384" width="15.7109375" style="4"/>
  </cols>
  <sheetData>
    <row r="1" spans="2:14" ht="17.45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</row>
    <row r="2" spans="2:14" ht="17.45" customHeight="1" x14ac:dyDescent="0.25">
      <c r="B2" s="1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</row>
    <row r="3" spans="2:14" ht="17.45" customHeight="1" x14ac:dyDescent="0.25">
      <c r="B3" s="1" t="s">
        <v>17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</row>
    <row r="4" spans="2:14" ht="17.45" customHeight="1" thickBot="1" x14ac:dyDescent="0.25">
      <c r="B4" s="2"/>
    </row>
    <row r="5" spans="2:14" ht="17.45" customHeight="1" thickTop="1" x14ac:dyDescent="0.25">
      <c r="B5" s="30" t="s">
        <v>3</v>
      </c>
      <c r="C5" s="31" t="s">
        <v>4</v>
      </c>
      <c r="D5" s="31" t="s">
        <v>5</v>
      </c>
      <c r="E5" s="31" t="s">
        <v>6</v>
      </c>
      <c r="F5" s="31" t="s">
        <v>7</v>
      </c>
      <c r="G5" s="31" t="s">
        <v>8</v>
      </c>
      <c r="H5" s="31" t="s">
        <v>9</v>
      </c>
      <c r="I5" s="31" t="s">
        <v>10</v>
      </c>
      <c r="J5" s="31" t="s">
        <v>11</v>
      </c>
      <c r="K5" s="31" t="s">
        <v>12</v>
      </c>
      <c r="L5" s="31" t="s">
        <v>13</v>
      </c>
      <c r="M5" s="32" t="s">
        <v>14</v>
      </c>
      <c r="N5" s="33" t="s">
        <v>15</v>
      </c>
    </row>
    <row r="6" spans="2:14" ht="17.45" customHeight="1" x14ac:dyDescent="0.2">
      <c r="B6" s="17">
        <v>1968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5"/>
      <c r="N6" s="36"/>
    </row>
    <row r="7" spans="2:14" ht="17.45" customHeight="1" x14ac:dyDescent="0.2">
      <c r="B7" s="17">
        <v>1969</v>
      </c>
      <c r="C7" s="18">
        <v>33600</v>
      </c>
      <c r="D7" s="18">
        <v>46760</v>
      </c>
      <c r="E7" s="18">
        <v>53820</v>
      </c>
      <c r="F7" s="18">
        <v>55600</v>
      </c>
      <c r="G7" s="18">
        <v>53500</v>
      </c>
      <c r="H7" s="18">
        <v>51800</v>
      </c>
      <c r="I7" s="18">
        <v>51300</v>
      </c>
      <c r="J7" s="18">
        <v>50400</v>
      </c>
      <c r="K7" s="18">
        <v>45100</v>
      </c>
      <c r="L7" s="18">
        <v>34000</v>
      </c>
      <c r="M7" s="19">
        <v>21400</v>
      </c>
      <c r="N7" s="20">
        <v>9540</v>
      </c>
    </row>
    <row r="8" spans="2:14" ht="17.45" customHeight="1" x14ac:dyDescent="0.2">
      <c r="B8" s="17">
        <v>1970</v>
      </c>
      <c r="C8" s="18">
        <v>37000</v>
      </c>
      <c r="D8" s="18">
        <v>58300</v>
      </c>
      <c r="E8" s="18">
        <v>79400</v>
      </c>
      <c r="F8" s="18">
        <v>85700</v>
      </c>
      <c r="G8" s="18">
        <v>86580</v>
      </c>
      <c r="H8" s="18">
        <v>86580</v>
      </c>
      <c r="I8" s="18">
        <v>85460</v>
      </c>
      <c r="J8" s="18">
        <v>78440</v>
      </c>
      <c r="K8" s="18">
        <v>73120</v>
      </c>
      <c r="L8" s="18">
        <v>65380</v>
      </c>
      <c r="M8" s="19">
        <v>53400</v>
      </c>
      <c r="N8" s="20">
        <v>36600</v>
      </c>
    </row>
    <row r="9" spans="2:14" ht="17.45" customHeight="1" x14ac:dyDescent="0.2">
      <c r="B9" s="17">
        <v>1971</v>
      </c>
      <c r="C9" s="18">
        <v>38760</v>
      </c>
      <c r="D9" s="18">
        <v>77460</v>
      </c>
      <c r="E9" s="18">
        <v>94520</v>
      </c>
      <c r="F9" s="18">
        <v>94260</v>
      </c>
      <c r="G9" s="18">
        <v>87040</v>
      </c>
      <c r="H9" s="18">
        <v>71300</v>
      </c>
      <c r="I9" s="18">
        <v>57740</v>
      </c>
      <c r="J9" s="18">
        <v>44000</v>
      </c>
      <c r="K9" s="18">
        <v>31100</v>
      </c>
      <c r="L9" s="18">
        <v>17680</v>
      </c>
      <c r="M9" s="19">
        <v>6580</v>
      </c>
      <c r="N9" s="20">
        <v>0</v>
      </c>
    </row>
    <row r="10" spans="2:14" ht="17.45" customHeight="1" x14ac:dyDescent="0.2">
      <c r="B10" s="17">
        <v>1972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/>
      <c r="N10" s="20"/>
    </row>
    <row r="11" spans="2:14" ht="17.45" customHeight="1" x14ac:dyDescent="0.2">
      <c r="B11" s="17">
        <v>1973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9"/>
      <c r="N11" s="20"/>
    </row>
    <row r="12" spans="2:14" ht="17.45" customHeight="1" x14ac:dyDescent="0.2">
      <c r="B12" s="17">
        <v>1974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9"/>
      <c r="N12" s="20"/>
    </row>
    <row r="13" spans="2:14" ht="17.45" customHeight="1" x14ac:dyDescent="0.2">
      <c r="B13" s="17">
        <v>1975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9"/>
      <c r="N13" s="20"/>
    </row>
    <row r="14" spans="2:14" ht="17.45" customHeight="1" x14ac:dyDescent="0.2">
      <c r="B14" s="17">
        <v>1976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9"/>
      <c r="N14" s="20"/>
    </row>
    <row r="15" spans="2:14" ht="17.45" customHeight="1" x14ac:dyDescent="0.2">
      <c r="B15" s="17">
        <v>1977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9"/>
      <c r="N15" s="20"/>
    </row>
    <row r="16" spans="2:14" ht="17.45" customHeight="1" x14ac:dyDescent="0.2">
      <c r="B16" s="17">
        <v>1978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</row>
    <row r="17" spans="2:14" ht="17.45" customHeight="1" x14ac:dyDescent="0.2">
      <c r="B17" s="17">
        <v>1979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20"/>
    </row>
    <row r="18" spans="2:14" ht="17.45" customHeight="1" x14ac:dyDescent="0.2">
      <c r="B18" s="17">
        <v>1980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</row>
    <row r="19" spans="2:14" ht="17.45" customHeight="1" x14ac:dyDescent="0.2">
      <c r="B19" s="17">
        <v>1981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9"/>
      <c r="N19" s="20"/>
    </row>
    <row r="20" spans="2:14" ht="17.45" customHeight="1" x14ac:dyDescent="0.2">
      <c r="B20" s="17">
        <v>1982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20"/>
    </row>
    <row r="21" spans="2:14" ht="17.45" customHeight="1" x14ac:dyDescent="0.2">
      <c r="B21" s="17">
        <v>1983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/>
      <c r="N21" s="20"/>
    </row>
    <row r="22" spans="2:14" ht="17.45" customHeight="1" x14ac:dyDescent="0.2">
      <c r="B22" s="17">
        <v>1984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20"/>
    </row>
    <row r="23" spans="2:14" ht="17.45" customHeight="1" x14ac:dyDescent="0.2">
      <c r="B23" s="17">
        <v>1985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20"/>
    </row>
    <row r="24" spans="2:14" ht="17.45" customHeight="1" x14ac:dyDescent="0.2">
      <c r="B24" s="17">
        <v>1986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/>
      <c r="N24" s="20"/>
    </row>
    <row r="25" spans="2:14" ht="17.45" customHeight="1" x14ac:dyDescent="0.2">
      <c r="B25" s="17">
        <v>1987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/>
      <c r="N25" s="20"/>
    </row>
    <row r="26" spans="2:14" ht="17.45" customHeight="1" x14ac:dyDescent="0.2">
      <c r="B26" s="17">
        <v>1988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  <c r="N26" s="20"/>
    </row>
    <row r="27" spans="2:14" ht="17.45" customHeight="1" x14ac:dyDescent="0.2">
      <c r="B27" s="17">
        <v>1989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/>
      <c r="N27" s="20"/>
    </row>
    <row r="28" spans="2:14" ht="17.45" customHeight="1" x14ac:dyDescent="0.2">
      <c r="B28" s="17">
        <v>1990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/>
      <c r="N28" s="20"/>
    </row>
    <row r="29" spans="2:14" ht="17.45" customHeight="1" x14ac:dyDescent="0.2">
      <c r="B29" s="17">
        <v>1991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  <c r="N29" s="20"/>
    </row>
    <row r="30" spans="2:14" ht="17.45" customHeight="1" x14ac:dyDescent="0.2">
      <c r="B30" s="17">
        <v>1992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/>
      <c r="N30" s="20"/>
    </row>
    <row r="31" spans="2:14" ht="17.45" customHeight="1" x14ac:dyDescent="0.2">
      <c r="B31" s="17">
        <v>1993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/>
      <c r="N31" s="20"/>
    </row>
    <row r="32" spans="2:14" ht="17.45" customHeight="1" x14ac:dyDescent="0.2">
      <c r="B32" s="17">
        <v>1994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  <c r="N32" s="20"/>
    </row>
    <row r="33" spans="2:14" ht="17.45" customHeight="1" x14ac:dyDescent="0.2">
      <c r="B33" s="17">
        <v>1995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9"/>
      <c r="N33" s="20"/>
    </row>
    <row r="34" spans="2:14" ht="17.45" customHeight="1" x14ac:dyDescent="0.2">
      <c r="B34" s="17">
        <v>1996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  <c r="N34" s="20"/>
    </row>
    <row r="35" spans="2:14" ht="17.45" customHeight="1" x14ac:dyDescent="0.2">
      <c r="B35" s="17">
        <v>1997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/>
      <c r="N35" s="20"/>
    </row>
    <row r="36" spans="2:14" ht="17.45" customHeight="1" x14ac:dyDescent="0.2">
      <c r="B36" s="17">
        <v>1998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9"/>
      <c r="N36" s="20"/>
    </row>
    <row r="37" spans="2:14" ht="17.45" customHeight="1" x14ac:dyDescent="0.2">
      <c r="B37" s="17">
        <v>1999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9"/>
      <c r="N37" s="20"/>
    </row>
    <row r="38" spans="2:14" ht="17.45" customHeight="1" x14ac:dyDescent="0.2">
      <c r="B38" s="17">
        <v>2000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9"/>
      <c r="N38" s="20"/>
    </row>
    <row r="39" spans="2:14" ht="17.45" customHeight="1" x14ac:dyDescent="0.2">
      <c r="B39" s="17">
        <v>2001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9"/>
      <c r="N39" s="20"/>
    </row>
    <row r="40" spans="2:14" ht="17.45" customHeight="1" x14ac:dyDescent="0.2">
      <c r="B40" s="17">
        <v>2002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9"/>
      <c r="N40" s="20"/>
    </row>
    <row r="41" spans="2:14" ht="17.45" customHeight="1" x14ac:dyDescent="0.2">
      <c r="B41" s="17">
        <v>2003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</row>
    <row r="42" spans="2:14" ht="17.45" customHeight="1" x14ac:dyDescent="0.2">
      <c r="B42" s="17">
        <v>2004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</row>
    <row r="43" spans="2:14" ht="17.45" customHeight="1" x14ac:dyDescent="0.2">
      <c r="B43" s="17">
        <v>2005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</row>
    <row r="44" spans="2:14" ht="17.45" customHeight="1" x14ac:dyDescent="0.2">
      <c r="B44" s="17">
        <v>2006</v>
      </c>
      <c r="C44" s="18">
        <v>6333</v>
      </c>
      <c r="D44" s="18">
        <v>35590.307999999997</v>
      </c>
      <c r="E44" s="18">
        <v>74974.096000000005</v>
      </c>
      <c r="F44" s="18">
        <v>75290.804999999993</v>
      </c>
      <c r="G44" s="18">
        <v>74182.335510000004</v>
      </c>
      <c r="H44" s="18">
        <v>67288.553</v>
      </c>
      <c r="I44" s="18">
        <v>54863.568679999997</v>
      </c>
      <c r="J44" s="18">
        <v>41195.460249999996</v>
      </c>
      <c r="K44" s="18">
        <v>28753.725999999999</v>
      </c>
      <c r="L44" s="18">
        <v>12845.936669999999</v>
      </c>
      <c r="M44" s="19">
        <v>1213.2853</v>
      </c>
      <c r="N44" s="20">
        <v>1148.115</v>
      </c>
    </row>
    <row r="45" spans="2:14" ht="17.45" customHeight="1" x14ac:dyDescent="0.2">
      <c r="B45" s="17">
        <v>2007</v>
      </c>
      <c r="C45" s="18">
        <v>12699.800304351276</v>
      </c>
      <c r="D45" s="18">
        <v>22078.347180000001</v>
      </c>
      <c r="E45" s="18">
        <v>60706.366000000002</v>
      </c>
      <c r="F45" s="18">
        <v>70718.991999999998</v>
      </c>
      <c r="G45" s="18">
        <v>70075.784947202686</v>
      </c>
      <c r="H45" s="18">
        <v>62529.998</v>
      </c>
      <c r="I45" s="18">
        <v>49545.027000000002</v>
      </c>
      <c r="J45" s="18">
        <v>36701.792500000003</v>
      </c>
      <c r="K45" s="18">
        <v>34118.296000000002</v>
      </c>
      <c r="L45" s="18">
        <v>33548.620049999998</v>
      </c>
      <c r="M45" s="19">
        <v>31938.942219999997</v>
      </c>
      <c r="N45" s="20">
        <v>30303.898949999999</v>
      </c>
    </row>
    <row r="46" spans="2:14" ht="17.45" customHeight="1" x14ac:dyDescent="0.2">
      <c r="B46" s="17">
        <v>2008</v>
      </c>
      <c r="C46" s="18">
        <v>49756.250999999997</v>
      </c>
      <c r="D46" s="18">
        <v>44779.38</v>
      </c>
      <c r="E46" s="18">
        <v>46654.41</v>
      </c>
      <c r="F46" s="18">
        <v>37667.446000000004</v>
      </c>
      <c r="G46" s="18">
        <v>31061.556</v>
      </c>
      <c r="H46" s="18">
        <v>20302.675999999999</v>
      </c>
      <c r="I46" s="18">
        <v>10435.203</v>
      </c>
      <c r="J46" s="18">
        <v>1188.694</v>
      </c>
      <c r="K46" s="18">
        <v>46.573999999999998</v>
      </c>
      <c r="L46" s="18">
        <v>80.471999999999994</v>
      </c>
      <c r="M46" s="19">
        <v>86.456999999999994</v>
      </c>
      <c r="N46" s="20">
        <v>271.34399999999999</v>
      </c>
    </row>
    <row r="47" spans="2:14" ht="17.45" customHeight="1" x14ac:dyDescent="0.2">
      <c r="B47" s="17">
        <v>2009</v>
      </c>
      <c r="C47" s="18">
        <v>534.04200000000003</v>
      </c>
      <c r="D47" s="18">
        <v>13523.864635089658</v>
      </c>
      <c r="E47" s="18">
        <v>50576.975947437815</v>
      </c>
      <c r="F47" s="18">
        <v>50208.809497278264</v>
      </c>
      <c r="G47" s="18">
        <v>46132.7</v>
      </c>
      <c r="H47" s="18">
        <v>31880.727130318246</v>
      </c>
      <c r="I47" s="18">
        <v>21326.02</v>
      </c>
      <c r="J47" s="18">
        <v>17067.286380041147</v>
      </c>
      <c r="K47" s="18">
        <v>16819.06788699939</v>
      </c>
      <c r="L47" s="18">
        <v>16537.306354359949</v>
      </c>
      <c r="M47" s="19">
        <v>16450.094451400488</v>
      </c>
      <c r="N47" s="20">
        <v>9185.0202735992225</v>
      </c>
    </row>
    <row r="48" spans="2:14" ht="17.45" customHeight="1" x14ac:dyDescent="0.2">
      <c r="B48" s="17">
        <v>2010</v>
      </c>
      <c r="C48" s="18">
        <v>12664.605386561099</v>
      </c>
      <c r="D48" s="18">
        <v>39082.536999999997</v>
      </c>
      <c r="E48" s="18">
        <v>54703.056758843799</v>
      </c>
      <c r="F48" s="18">
        <v>54473.889192713301</v>
      </c>
      <c r="G48" s="18">
        <v>54048.2922841775</v>
      </c>
      <c r="H48" s="18">
        <v>53619.406426321002</v>
      </c>
      <c r="I48" s="18">
        <v>53183.829217681799</v>
      </c>
      <c r="J48" s="18">
        <v>52914.186183758793</v>
      </c>
      <c r="K48" s="18">
        <v>50964.459630797734</v>
      </c>
      <c r="L48" s="18">
        <v>38502.40789074888</v>
      </c>
      <c r="M48" s="19">
        <v>23390.782669240438</v>
      </c>
      <c r="N48" s="20">
        <v>20313.373921150909</v>
      </c>
    </row>
    <row r="49" spans="2:14" ht="17.45" customHeight="1" x14ac:dyDescent="0.2">
      <c r="B49" s="17">
        <v>2011</v>
      </c>
      <c r="C49" s="18">
        <v>22750.560132840164</v>
      </c>
      <c r="D49" s="18">
        <v>75403.170176790547</v>
      </c>
      <c r="E49" s="18">
        <v>79506.441761907961</v>
      </c>
      <c r="F49" s="18">
        <v>79466.505517051934</v>
      </c>
      <c r="G49" s="18">
        <v>78840.837680911587</v>
      </c>
      <c r="H49" s="18">
        <v>78215.169844771255</v>
      </c>
      <c r="I49" s="18">
        <v>77662.71845753766</v>
      </c>
      <c r="J49" s="18">
        <v>77031.031309358063</v>
      </c>
      <c r="K49" s="18">
        <v>76378.620038327645</v>
      </c>
      <c r="L49" s="18">
        <v>65295.080434718046</v>
      </c>
      <c r="M49" s="19">
        <v>45088.614164001963</v>
      </c>
      <c r="N49" s="20">
        <v>30803.747274898185</v>
      </c>
    </row>
    <row r="50" spans="2:14" ht="17.45" customHeight="1" x14ac:dyDescent="0.2">
      <c r="B50" s="17">
        <v>2012</v>
      </c>
      <c r="C50" s="18">
        <v>70710.272924958132</v>
      </c>
      <c r="D50" s="18">
        <v>78867.461844150966</v>
      </c>
      <c r="E50" s="18">
        <v>80278.542495867863</v>
      </c>
      <c r="F50" s="18">
        <v>81070.61135226184</v>
      </c>
      <c r="G50" s="18">
        <v>80285.198536679221</v>
      </c>
      <c r="H50" s="18">
        <v>79666.186741350233</v>
      </c>
      <c r="I50" s="18">
        <v>79007.238701159164</v>
      </c>
      <c r="J50" s="18">
        <v>78334.978579351446</v>
      </c>
      <c r="K50" s="18">
        <v>71444.363920540563</v>
      </c>
      <c r="L50" s="18">
        <v>61662.441330109963</v>
      </c>
      <c r="M50" s="19">
        <v>56148.994973735054</v>
      </c>
      <c r="N50" s="20">
        <v>52494.16530399811</v>
      </c>
    </row>
    <row r="51" spans="2:14" ht="17.45" customHeight="1" x14ac:dyDescent="0.2">
      <c r="B51" s="17">
        <v>2013</v>
      </c>
      <c r="C51" s="18">
        <v>76663.654088778101</v>
      </c>
      <c r="D51" s="18">
        <v>79945.74045537271</v>
      </c>
      <c r="E51" s="18">
        <v>80451.599556932852</v>
      </c>
      <c r="F51" s="18">
        <v>79639.562578110854</v>
      </c>
      <c r="G51" s="18">
        <v>79127.047435739369</v>
      </c>
      <c r="H51" s="18">
        <v>78567.940007700468</v>
      </c>
      <c r="I51" s="18">
        <v>78035.456742900962</v>
      </c>
      <c r="J51" s="18">
        <v>70789.908108637639</v>
      </c>
      <c r="K51" s="18">
        <v>53619.40642632098</v>
      </c>
      <c r="L51" s="18">
        <v>27015.633307840173</v>
      </c>
      <c r="M51" s="19">
        <v>1798.7074405746814</v>
      </c>
      <c r="N51" s="20">
        <v>0</v>
      </c>
    </row>
    <row r="52" spans="2:14" ht="17.45" customHeight="1" x14ac:dyDescent="0.2">
      <c r="B52" s="17">
        <v>2014</v>
      </c>
      <c r="C52" s="18">
        <v>28952.231481139297</v>
      </c>
      <c r="D52" s="18">
        <v>28750.667181471381</v>
      </c>
      <c r="E52" s="18">
        <v>28675.574599240459</v>
      </c>
      <c r="F52" s="18">
        <v>28446.344611380489</v>
      </c>
      <c r="G52" s="18">
        <v>28031.359288528616</v>
      </c>
      <c r="H52" s="18">
        <v>27620.32620685115</v>
      </c>
      <c r="I52" s="18">
        <v>19832.010540700132</v>
      </c>
      <c r="J52" s="18">
        <v>6542.3461669190392</v>
      </c>
      <c r="K52" s="18">
        <v>446.9202649698355</v>
      </c>
      <c r="L52" s="18">
        <v>388.3950280900097</v>
      </c>
      <c r="M52" s="19">
        <v>277.9951494298985</v>
      </c>
      <c r="N52" s="20">
        <v>187.54705607022251</v>
      </c>
    </row>
    <row r="53" spans="2:14" ht="17.45" customHeight="1" x14ac:dyDescent="0.2">
      <c r="B53" s="17">
        <v>2015</v>
      </c>
      <c r="C53" s="18">
        <v>289.30116109978223</v>
      </c>
      <c r="D53" s="18">
        <v>27225.102089849712</v>
      </c>
      <c r="E53" s="18">
        <v>55728.854435822541</v>
      </c>
      <c r="F53" s="18">
        <v>67592.249194718053</v>
      </c>
      <c r="G53" s="18">
        <v>66998.048208799562</v>
      </c>
      <c r="H53" s="18">
        <v>57207.530874443895</v>
      </c>
      <c r="I53" s="18">
        <v>53971.903095465641</v>
      </c>
      <c r="J53" s="18">
        <v>53614.220999999998</v>
      </c>
      <c r="K53" s="18">
        <v>48947.322319361803</v>
      </c>
      <c r="L53" s="18">
        <v>39821.426770441925</v>
      </c>
      <c r="M53" s="19">
        <v>32591.783328299396</v>
      </c>
      <c r="N53" s="20">
        <v>23176.119818801231</v>
      </c>
    </row>
    <row r="54" spans="2:14" ht="17.45" customHeight="1" x14ac:dyDescent="0.2">
      <c r="B54" s="17">
        <v>2016</v>
      </c>
      <c r="C54" s="18">
        <v>20673.505042819685</v>
      </c>
      <c r="D54" s="18">
        <v>51887.468477681847</v>
      </c>
      <c r="E54" s="18">
        <v>63515.297032499999</v>
      </c>
      <c r="F54" s="18">
        <v>63556.211827187704</v>
      </c>
      <c r="G54" s="18">
        <v>62831.435464108901</v>
      </c>
      <c r="H54" s="18">
        <v>62293.698162470981</v>
      </c>
      <c r="I54" s="18">
        <v>61948.844892939836</v>
      </c>
      <c r="J54" s="18">
        <v>57862.295349115193</v>
      </c>
      <c r="K54" s="18">
        <v>56776.477595289667</v>
      </c>
      <c r="L54" s="18">
        <v>49061.402064481466</v>
      </c>
      <c r="M54" s="19">
        <v>39500.776507499999</v>
      </c>
      <c r="N54" s="20">
        <v>31177.987379098791</v>
      </c>
    </row>
    <row r="55" spans="2:14" ht="17.45" customHeight="1" x14ac:dyDescent="0.2">
      <c r="B55" s="17">
        <v>2017</v>
      </c>
      <c r="C55" s="18">
        <v>38643.032887549554</v>
      </c>
      <c r="D55" s="18">
        <v>48450.904742999461</v>
      </c>
      <c r="E55" s="18">
        <v>78760.965191187424</v>
      </c>
      <c r="F55" s="18">
        <v>80451.599556932852</v>
      </c>
      <c r="G55" s="18">
        <v>79919.116292127277</v>
      </c>
      <c r="H55" s="18">
        <v>79306.760537609647</v>
      </c>
      <c r="I55" s="18">
        <v>78634.500415801929</v>
      </c>
      <c r="J55" s="18">
        <v>77942.272171560136</v>
      </c>
      <c r="K55" s="18">
        <v>68339.594764639871</v>
      </c>
      <c r="L55" s="18">
        <v>54064.661396042502</v>
      </c>
      <c r="M55" s="19">
        <v>40922.790717058073</v>
      </c>
      <c r="N55" s="20">
        <v>32579.308658160633</v>
      </c>
    </row>
    <row r="56" spans="2:14" ht="17.45" customHeight="1" x14ac:dyDescent="0.2">
      <c r="B56" s="17">
        <v>2018</v>
      </c>
      <c r="C56" s="18">
        <v>34346.553594661389</v>
      </c>
      <c r="D56" s="18">
        <v>57207.530874443895</v>
      </c>
      <c r="E56" s="18">
        <v>80152.077720482368</v>
      </c>
      <c r="F56" s="18">
        <v>79872.524006459891</v>
      </c>
      <c r="G56" s="18">
        <v>79173.639721412808</v>
      </c>
      <c r="H56" s="18">
        <v>78760.965191187424</v>
      </c>
      <c r="I56" s="18">
        <v>71995.429751407602</v>
      </c>
      <c r="J56" s="18">
        <v>59803.740657048722</v>
      </c>
      <c r="K56" s="18">
        <v>47483.939423198892</v>
      </c>
      <c r="L56" s="18">
        <v>48599.897641041767</v>
      </c>
      <c r="M56" s="19">
        <v>47950.242496200146</v>
      </c>
      <c r="N56" s="20">
        <v>36265.591535398817</v>
      </c>
    </row>
    <row r="57" spans="2:14" ht="17.45" customHeight="1" x14ac:dyDescent="0.2">
      <c r="B57" s="17">
        <v>2019</v>
      </c>
      <c r="C57" s="18">
        <v>31539.752813160634</v>
      </c>
      <c r="D57" s="18">
        <v>77113.374479487553</v>
      </c>
      <c r="E57" s="18">
        <v>81163.795923602651</v>
      </c>
      <c r="F57" s="18">
        <v>81030.675107399744</v>
      </c>
      <c r="G57" s="18">
        <v>80431.631434498791</v>
      </c>
      <c r="H57" s="18">
        <v>79979.02065941738</v>
      </c>
      <c r="I57" s="18">
        <v>79493.129680291298</v>
      </c>
      <c r="J57" s="18">
        <v>77795.839273740581</v>
      </c>
      <c r="K57" s="18">
        <v>64526.476958408683</v>
      </c>
      <c r="L57" s="18">
        <v>50471.842549601133</v>
      </c>
      <c r="M57" s="19">
        <v>37873.989936298756</v>
      </c>
      <c r="N57" s="20">
        <v>25834.926352318304</v>
      </c>
    </row>
    <row r="58" spans="2:14" ht="17.45" customHeight="1" x14ac:dyDescent="0.2">
      <c r="B58" s="17">
        <v>2020</v>
      </c>
      <c r="C58" s="18">
        <v>31331.841644159878</v>
      </c>
      <c r="D58" s="18">
        <v>74206.027164898624</v>
      </c>
      <c r="E58" s="18">
        <v>79812.619639169803</v>
      </c>
      <c r="F58" s="18">
        <v>76974.024499267965</v>
      </c>
      <c r="G58" s="18">
        <v>76625.649548721878</v>
      </c>
      <c r="H58" s="18">
        <v>70716.398708319379</v>
      </c>
      <c r="I58" s="18">
        <v>58336.999593246175</v>
      </c>
      <c r="J58" s="18">
        <v>46953.826455998031</v>
      </c>
      <c r="K58" s="18">
        <v>34868.130629701889</v>
      </c>
      <c r="L58" s="18">
        <v>33581.440492740578</v>
      </c>
      <c r="M58" s="19">
        <v>33057.504346859729</v>
      </c>
      <c r="N58" s="20">
        <v>22638.180765991066</v>
      </c>
    </row>
    <row r="59" spans="2:14" ht="17.45" customHeight="1" x14ac:dyDescent="0.2">
      <c r="B59" s="17">
        <v>2021</v>
      </c>
      <c r="C59" s="18">
        <v>38168.423523348785</v>
      </c>
      <c r="D59" s="18">
        <v>54326.567185913002</v>
      </c>
      <c r="E59" s="18">
        <v>80431.631434498791</v>
      </c>
      <c r="F59" s="18">
        <v>80618.000577180428</v>
      </c>
      <c r="G59" s="18">
        <v>77271.726729741</v>
      </c>
      <c r="H59" s="18">
        <v>70005.808000000005</v>
      </c>
      <c r="I59" s="18">
        <v>65913.784554081503</v>
      </c>
      <c r="J59" s="18">
        <v>65803.520453601304</v>
      </c>
      <c r="K59" s="18">
        <v>65154.187417442772</v>
      </c>
      <c r="L59" s="18">
        <v>60049.229425190897</v>
      </c>
      <c r="M59" s="19">
        <v>48584.341312158598</v>
      </c>
      <c r="N59" s="20">
        <v>36458.950905998245</v>
      </c>
    </row>
    <row r="60" spans="2:14" ht="17.45" customHeight="1" x14ac:dyDescent="0.2">
      <c r="B60" s="17">
        <v>2022</v>
      </c>
      <c r="C60" s="18">
        <v>61685.821212789408</v>
      </c>
      <c r="D60" s="18">
        <v>75403.170176790547</v>
      </c>
      <c r="E60" s="18">
        <v>80305.166659107243</v>
      </c>
      <c r="F60" s="18">
        <v>80298.510618301923</v>
      </c>
      <c r="G60" s="18">
        <v>79313.416578421005</v>
      </c>
      <c r="H60" s="18">
        <v>76213.933698068664</v>
      </c>
      <c r="I60" s="18">
        <v>75814.886027438013</v>
      </c>
      <c r="J60" s="18">
        <v>66422.22457295924</v>
      </c>
      <c r="K60" s="18">
        <v>56307.229721777061</v>
      </c>
      <c r="L60" s="18">
        <v>42944.281505159903</v>
      </c>
      <c r="M60" s="19">
        <v>29845.437985561599</v>
      </c>
      <c r="N60" s="20">
        <v>27659.8486185484</v>
      </c>
    </row>
    <row r="61" spans="2:14" ht="17.45" customHeight="1" x14ac:dyDescent="0.2">
      <c r="B61" s="17">
        <v>2023</v>
      </c>
      <c r="C61" s="18">
        <v>17258.481705760401</v>
      </c>
      <c r="D61" s="18">
        <v>33186.49</v>
      </c>
      <c r="E61" s="18">
        <v>42637.5725580008</v>
      </c>
      <c r="F61" s="18">
        <v>50471.842549601097</v>
      </c>
      <c r="G61" s="18">
        <v>50046.636226879396</v>
      </c>
      <c r="H61" s="18">
        <v>43984.212149000195</v>
      </c>
      <c r="I61" s="18">
        <v>37777.310250999042</v>
      </c>
      <c r="J61" s="18">
        <v>31839.144896521098</v>
      </c>
      <c r="K61" s="18">
        <v>25642.859591400298</v>
      </c>
      <c r="L61" s="18">
        <v>21696.847933110625</v>
      </c>
      <c r="M61" s="19">
        <v>16486.991794958853</v>
      </c>
      <c r="N61" s="20">
        <v>13085.320589021099</v>
      </c>
    </row>
    <row r="62" spans="2:14" ht="17.45" customHeight="1" x14ac:dyDescent="0.2">
      <c r="B62" s="17">
        <v>2024</v>
      </c>
      <c r="C62" s="18">
        <v>15713.220771549657</v>
      </c>
      <c r="D62" s="18">
        <v>37478.482132798112</v>
      </c>
      <c r="E62" s="18">
        <v>78721.0299463314</v>
      </c>
      <c r="F62" s="18">
        <v>79992.3337410401</v>
      </c>
      <c r="G62" s="18">
        <v>79446.538394617863</v>
      </c>
      <c r="H62" s="18">
        <v>78847.494721722949</v>
      </c>
      <c r="I62" s="18">
        <v>78255.107089627287</v>
      </c>
      <c r="J62" s="18">
        <v>77669.375498349022</v>
      </c>
      <c r="K62" s="18">
        <v>71133.994510050703</v>
      </c>
      <c r="L62" s="18">
        <v>67138.942226080399</v>
      </c>
      <c r="M62" s="19">
        <v>56498.203693559088</v>
      </c>
      <c r="N62" s="20">
        <v>43515.876452138036</v>
      </c>
    </row>
    <row r="63" spans="2:14" ht="17.45" customHeight="1" thickBot="1" x14ac:dyDescent="0.25">
      <c r="B63" s="26">
        <v>2025</v>
      </c>
      <c r="C63" s="37">
        <v>51923.767578399806</v>
      </c>
      <c r="D63" s="37">
        <v>77802.496314551929</v>
      </c>
      <c r="E63" s="37">
        <v>79100.424272499993</v>
      </c>
      <c r="F63" s="37">
        <v>78900.743048201693</v>
      </c>
      <c r="G63" s="37">
        <v>79672.843782161595</v>
      </c>
      <c r="H63" s="37">
        <v>79060.488027637912</v>
      </c>
      <c r="I63" s="37">
        <v>78707.717864708698</v>
      </c>
      <c r="J63" s="37">
        <v>78082.050028568337</v>
      </c>
      <c r="K63" s="37">
        <v>77509.630518912803</v>
      </c>
      <c r="L63" s="37">
        <v>76980.359589279251</v>
      </c>
      <c r="M63" s="38">
        <v>68272.212147677288</v>
      </c>
      <c r="N63" s="39"/>
    </row>
    <row r="64" spans="2:14" ht="17.45" customHeight="1" thickTop="1" x14ac:dyDescent="0.2"/>
    <row r="65" spans="3:14" ht="17.45" customHeight="1" x14ac:dyDescent="0.2">
      <c r="L65" s="57"/>
    </row>
    <row r="66" spans="3:14" ht="17.45" customHeight="1" x14ac:dyDescent="0.2">
      <c r="N66" s="25"/>
    </row>
    <row r="67" spans="3:14" ht="17.45" customHeight="1" x14ac:dyDescent="0.2">
      <c r="C67" s="25"/>
    </row>
  </sheetData>
  <phoneticPr fontId="0" type="noConversion"/>
  <printOptions horizontalCentered="1" verticalCentered="1"/>
  <pageMargins left="0.19685039370078741" right="0.19685039370078741" top="1.1811023622047245" bottom="0.35433070866141736" header="0.51181102362204722" footer="0.19685039370078741"/>
  <pageSetup paperSize="9" scale="4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C9EE-BBB3-4206-B809-71406A654C92}">
  <sheetPr>
    <pageSetUpPr fitToPage="1"/>
  </sheetPr>
  <dimension ref="B1:N67"/>
  <sheetViews>
    <sheetView zoomScale="86" zoomScaleNormal="86" workbookViewId="0">
      <pane xSplit="2" ySplit="9" topLeftCell="C48" activePane="bottomRight" state="frozen"/>
      <selection pane="topRight"/>
      <selection pane="bottomLeft"/>
      <selection pane="bottomRight"/>
    </sheetView>
  </sheetViews>
  <sheetFormatPr baseColWidth="10" defaultColWidth="15.7109375" defaultRowHeight="17.45" customHeight="1" x14ac:dyDescent="0.2"/>
  <cols>
    <col min="1" max="12" width="15.7109375" style="4" customWidth="1"/>
    <col min="13" max="13" width="15.7109375" style="25" customWidth="1"/>
    <col min="14" max="16384" width="15.7109375" style="4"/>
  </cols>
  <sheetData>
    <row r="1" spans="2:14" ht="17.45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</row>
    <row r="2" spans="2:14" ht="17.45" customHeight="1" x14ac:dyDescent="0.25">
      <c r="B2" s="1" t="s">
        <v>27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</row>
    <row r="3" spans="2:14" ht="17.45" customHeight="1" x14ac:dyDescent="0.25">
      <c r="B3" s="1" t="s">
        <v>17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</row>
    <row r="4" spans="2:14" ht="17.45" customHeight="1" thickBot="1" x14ac:dyDescent="0.25">
      <c r="B4" s="2"/>
    </row>
    <row r="5" spans="2:14" ht="17.45" customHeight="1" thickTop="1" x14ac:dyDescent="0.25">
      <c r="B5" s="30" t="s">
        <v>3</v>
      </c>
      <c r="C5" s="31" t="s">
        <v>4</v>
      </c>
      <c r="D5" s="31" t="s">
        <v>5</v>
      </c>
      <c r="E5" s="31" t="s">
        <v>6</v>
      </c>
      <c r="F5" s="31" t="s">
        <v>7</v>
      </c>
      <c r="G5" s="31" t="s">
        <v>8</v>
      </c>
      <c r="H5" s="31" t="s">
        <v>9</v>
      </c>
      <c r="I5" s="31" t="s">
        <v>10</v>
      </c>
      <c r="J5" s="31" t="s">
        <v>11</v>
      </c>
      <c r="K5" s="31" t="s">
        <v>12</v>
      </c>
      <c r="L5" s="31" t="s">
        <v>13</v>
      </c>
      <c r="M5" s="32" t="s">
        <v>14</v>
      </c>
      <c r="N5" s="33" t="s">
        <v>15</v>
      </c>
    </row>
    <row r="6" spans="2:14" ht="17.45" customHeight="1" x14ac:dyDescent="0.2">
      <c r="B6" s="17">
        <v>1968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5"/>
      <c r="N6" s="36"/>
    </row>
    <row r="7" spans="2:14" ht="17.45" customHeight="1" x14ac:dyDescent="0.2">
      <c r="B7" s="17">
        <v>1969</v>
      </c>
      <c r="C7" s="18">
        <v>33600</v>
      </c>
      <c r="D7" s="18">
        <v>46760</v>
      </c>
      <c r="E7" s="18">
        <v>53820</v>
      </c>
      <c r="F7" s="18">
        <v>55600</v>
      </c>
      <c r="G7" s="18">
        <v>53500</v>
      </c>
      <c r="H7" s="18">
        <v>51800</v>
      </c>
      <c r="I7" s="18">
        <v>51300</v>
      </c>
      <c r="J7" s="18">
        <v>50400</v>
      </c>
      <c r="K7" s="18">
        <v>45100</v>
      </c>
      <c r="L7" s="18">
        <v>34000</v>
      </c>
      <c r="M7" s="19">
        <v>21400</v>
      </c>
      <c r="N7" s="20">
        <v>9540</v>
      </c>
    </row>
    <row r="8" spans="2:14" ht="17.45" customHeight="1" x14ac:dyDescent="0.2">
      <c r="B8" s="17">
        <v>1970</v>
      </c>
      <c r="C8" s="18">
        <v>37000</v>
      </c>
      <c r="D8" s="18">
        <v>58300</v>
      </c>
      <c r="E8" s="18">
        <v>79400</v>
      </c>
      <c r="F8" s="18">
        <v>85700</v>
      </c>
      <c r="G8" s="18">
        <v>86580</v>
      </c>
      <c r="H8" s="18">
        <v>86580</v>
      </c>
      <c r="I8" s="18">
        <v>85460</v>
      </c>
      <c r="J8" s="18">
        <v>78440</v>
      </c>
      <c r="K8" s="18">
        <v>73120</v>
      </c>
      <c r="L8" s="18">
        <v>65380</v>
      </c>
      <c r="M8" s="19">
        <v>53400</v>
      </c>
      <c r="N8" s="20">
        <v>36600</v>
      </c>
    </row>
    <row r="9" spans="2:14" ht="17.45" customHeight="1" x14ac:dyDescent="0.2">
      <c r="B9" s="17">
        <v>1971</v>
      </c>
      <c r="C9" s="18">
        <v>38760</v>
      </c>
      <c r="D9" s="18">
        <v>77460</v>
      </c>
      <c r="E9" s="18">
        <v>94520</v>
      </c>
      <c r="F9" s="18">
        <v>94260</v>
      </c>
      <c r="G9" s="18">
        <v>87040</v>
      </c>
      <c r="H9" s="18">
        <v>71300</v>
      </c>
      <c r="I9" s="18">
        <v>57740</v>
      </c>
      <c r="J9" s="18">
        <v>44000</v>
      </c>
      <c r="K9" s="18">
        <v>31100</v>
      </c>
      <c r="L9" s="18">
        <v>17680</v>
      </c>
      <c r="M9" s="19">
        <v>6580</v>
      </c>
      <c r="N9" s="20">
        <v>0</v>
      </c>
    </row>
    <row r="10" spans="2:14" ht="17.45" customHeight="1" x14ac:dyDescent="0.2">
      <c r="B10" s="17">
        <v>1972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/>
      <c r="N10" s="20"/>
    </row>
    <row r="11" spans="2:14" ht="17.45" customHeight="1" x14ac:dyDescent="0.2">
      <c r="B11" s="17">
        <v>1973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9"/>
      <c r="N11" s="20"/>
    </row>
    <row r="12" spans="2:14" ht="17.45" customHeight="1" x14ac:dyDescent="0.2">
      <c r="B12" s="17">
        <v>1974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9"/>
      <c r="N12" s="20"/>
    </row>
    <row r="13" spans="2:14" ht="17.45" customHeight="1" x14ac:dyDescent="0.2">
      <c r="B13" s="17">
        <v>1975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9"/>
      <c r="N13" s="20"/>
    </row>
    <row r="14" spans="2:14" ht="17.45" customHeight="1" x14ac:dyDescent="0.2">
      <c r="B14" s="17">
        <v>1976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9"/>
      <c r="N14" s="20"/>
    </row>
    <row r="15" spans="2:14" ht="17.45" customHeight="1" x14ac:dyDescent="0.2">
      <c r="B15" s="17">
        <v>1977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9"/>
      <c r="N15" s="20"/>
    </row>
    <row r="16" spans="2:14" ht="17.45" customHeight="1" x14ac:dyDescent="0.2">
      <c r="B16" s="17">
        <v>1978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</row>
    <row r="17" spans="2:14" ht="17.45" customHeight="1" x14ac:dyDescent="0.2">
      <c r="B17" s="17">
        <v>1979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20"/>
    </row>
    <row r="18" spans="2:14" ht="17.45" customHeight="1" x14ac:dyDescent="0.2">
      <c r="B18" s="17">
        <v>1980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</row>
    <row r="19" spans="2:14" ht="17.45" customHeight="1" x14ac:dyDescent="0.2">
      <c r="B19" s="17">
        <v>1981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9"/>
      <c r="N19" s="20"/>
    </row>
    <row r="20" spans="2:14" ht="17.45" customHeight="1" x14ac:dyDescent="0.2">
      <c r="B20" s="17">
        <v>1982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20"/>
    </row>
    <row r="21" spans="2:14" ht="17.45" customHeight="1" x14ac:dyDescent="0.2">
      <c r="B21" s="17">
        <v>1983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/>
      <c r="N21" s="20"/>
    </row>
    <row r="22" spans="2:14" ht="17.45" customHeight="1" x14ac:dyDescent="0.2">
      <c r="B22" s="17">
        <v>1984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20"/>
    </row>
    <row r="23" spans="2:14" ht="17.45" customHeight="1" x14ac:dyDescent="0.2">
      <c r="B23" s="17">
        <v>1985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20"/>
    </row>
    <row r="24" spans="2:14" ht="17.45" customHeight="1" x14ac:dyDescent="0.2">
      <c r="B24" s="17">
        <v>1986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/>
      <c r="N24" s="20"/>
    </row>
    <row r="25" spans="2:14" ht="17.45" customHeight="1" x14ac:dyDescent="0.2">
      <c r="B25" s="17">
        <v>1987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/>
      <c r="N25" s="20"/>
    </row>
    <row r="26" spans="2:14" ht="17.45" customHeight="1" x14ac:dyDescent="0.2">
      <c r="B26" s="17">
        <v>1988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  <c r="N26" s="20"/>
    </row>
    <row r="27" spans="2:14" ht="17.45" customHeight="1" x14ac:dyDescent="0.2">
      <c r="B27" s="17">
        <v>1989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/>
      <c r="N27" s="20"/>
    </row>
    <row r="28" spans="2:14" ht="17.45" customHeight="1" x14ac:dyDescent="0.2">
      <c r="B28" s="17">
        <v>1990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/>
      <c r="N28" s="20"/>
    </row>
    <row r="29" spans="2:14" ht="17.45" customHeight="1" x14ac:dyDescent="0.2">
      <c r="B29" s="17">
        <v>1991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  <c r="N29" s="20"/>
    </row>
    <row r="30" spans="2:14" ht="17.45" customHeight="1" x14ac:dyDescent="0.2">
      <c r="B30" s="17">
        <v>1992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/>
      <c r="N30" s="20"/>
    </row>
    <row r="31" spans="2:14" ht="17.45" customHeight="1" x14ac:dyDescent="0.2">
      <c r="B31" s="17">
        <v>1993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/>
      <c r="N31" s="20"/>
    </row>
    <row r="32" spans="2:14" ht="17.45" customHeight="1" x14ac:dyDescent="0.2">
      <c r="B32" s="17">
        <v>1994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  <c r="N32" s="20"/>
    </row>
    <row r="33" spans="2:14" ht="17.45" customHeight="1" x14ac:dyDescent="0.2">
      <c r="B33" s="17">
        <v>1995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9"/>
      <c r="N33" s="20"/>
    </row>
    <row r="34" spans="2:14" ht="17.45" customHeight="1" x14ac:dyDescent="0.2">
      <c r="B34" s="17">
        <v>1996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  <c r="N34" s="20"/>
    </row>
    <row r="35" spans="2:14" ht="17.45" customHeight="1" x14ac:dyDescent="0.2">
      <c r="B35" s="17">
        <v>1997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/>
      <c r="N35" s="20"/>
    </row>
    <row r="36" spans="2:14" ht="17.45" customHeight="1" x14ac:dyDescent="0.2">
      <c r="B36" s="17">
        <v>1998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9"/>
      <c r="N36" s="20"/>
    </row>
    <row r="37" spans="2:14" ht="17.45" customHeight="1" x14ac:dyDescent="0.2">
      <c r="B37" s="17">
        <v>1999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9"/>
      <c r="N37" s="20"/>
    </row>
    <row r="38" spans="2:14" ht="17.45" customHeight="1" x14ac:dyDescent="0.2">
      <c r="B38" s="17">
        <v>2000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9"/>
      <c r="N38" s="20"/>
    </row>
    <row r="39" spans="2:14" ht="17.45" customHeight="1" x14ac:dyDescent="0.2">
      <c r="B39" s="17">
        <v>2001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9"/>
      <c r="N39" s="20"/>
    </row>
    <row r="40" spans="2:14" ht="17.45" customHeight="1" x14ac:dyDescent="0.2">
      <c r="B40" s="17">
        <v>2002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9"/>
      <c r="N40" s="20"/>
    </row>
    <row r="41" spans="2:14" ht="17.45" customHeight="1" x14ac:dyDescent="0.2">
      <c r="B41" s="17">
        <v>2003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</row>
    <row r="42" spans="2:14" ht="17.45" customHeight="1" x14ac:dyDescent="0.2">
      <c r="B42" s="17">
        <v>2004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</row>
    <row r="43" spans="2:14" ht="17.45" customHeight="1" x14ac:dyDescent="0.2">
      <c r="B43" s="17">
        <v>2005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</row>
    <row r="44" spans="2:14" ht="17.45" customHeight="1" x14ac:dyDescent="0.2">
      <c r="B44" s="17">
        <v>2006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</row>
    <row r="45" spans="2:14" ht="17.45" customHeight="1" x14ac:dyDescent="0.2">
      <c r="B45" s="17">
        <v>2007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</row>
    <row r="46" spans="2:14" ht="17.45" customHeight="1" x14ac:dyDescent="0.2">
      <c r="B46" s="17">
        <v>2008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</row>
    <row r="47" spans="2:14" ht="17.45" customHeight="1" x14ac:dyDescent="0.2">
      <c r="B47" s="17">
        <v>2009</v>
      </c>
      <c r="C47" s="18">
        <v>2468.4210527599007</v>
      </c>
      <c r="D47" s="18">
        <v>6083.3333319999983</v>
      </c>
      <c r="E47" s="18">
        <v>15249.999999999147</v>
      </c>
      <c r="F47" s="18">
        <v>16487.500000002987</v>
      </c>
      <c r="G47" s="18">
        <v>16450.000000002987</v>
      </c>
      <c r="H47" s="18">
        <v>16412.500000002987</v>
      </c>
      <c r="I47" s="18">
        <v>16750.000000000851</v>
      </c>
      <c r="J47" s="18">
        <v>16525.000000002987</v>
      </c>
      <c r="K47" s="18">
        <v>16075.000000001706</v>
      </c>
      <c r="L47" s="18">
        <v>15399.999999999147</v>
      </c>
      <c r="M47" s="19">
        <v>15212.499999997868</v>
      </c>
      <c r="N47" s="20">
        <v>15212.499999997868</v>
      </c>
    </row>
    <row r="48" spans="2:14" ht="17.45" customHeight="1" x14ac:dyDescent="0.2">
      <c r="B48" s="17">
        <v>2010</v>
      </c>
      <c r="C48" s="18">
        <v>17274.999999998723</v>
      </c>
      <c r="D48" s="18">
        <v>21734.285716000006</v>
      </c>
      <c r="E48" s="18">
        <v>24574.999999998665</v>
      </c>
      <c r="F48" s="18">
        <v>24926.428573998674</v>
      </c>
      <c r="G48" s="18">
        <v>14024.999999999432</v>
      </c>
      <c r="H48" s="18">
        <v>3467.7631580801099</v>
      </c>
      <c r="I48" s="18">
        <v>1146.7105264397901</v>
      </c>
      <c r="J48" s="18">
        <v>1906.578947440003</v>
      </c>
      <c r="K48" s="18">
        <v>2542.105263319902</v>
      </c>
      <c r="L48" s="18">
        <v>2841.4473685202138</v>
      </c>
      <c r="M48" s="19">
        <v>2979.6052633202166</v>
      </c>
      <c r="N48" s="20">
        <v>3550</v>
      </c>
    </row>
    <row r="49" spans="2:14" ht="17.45" customHeight="1" x14ac:dyDescent="0.2">
      <c r="B49" s="17">
        <v>2011</v>
      </c>
      <c r="C49" s="18">
        <v>3352.6315790801104</v>
      </c>
      <c r="D49" s="18">
        <v>23901.428574002672</v>
      </c>
      <c r="E49" s="18">
        <v>25600</v>
      </c>
      <c r="F49" s="18">
        <v>25600</v>
      </c>
      <c r="G49" s="18">
        <v>25600</v>
      </c>
      <c r="H49" s="18">
        <v>25600</v>
      </c>
      <c r="I49" s="18">
        <v>25600</v>
      </c>
      <c r="J49" s="18">
        <v>25600</v>
      </c>
      <c r="K49" s="18">
        <v>25204.642857996674</v>
      </c>
      <c r="L49" s="18">
        <v>14762.5</v>
      </c>
      <c r="M49" s="19">
        <v>5212.5</v>
      </c>
      <c r="N49" s="20">
        <v>8800</v>
      </c>
    </row>
    <row r="50" spans="2:14" ht="17.45" customHeight="1" x14ac:dyDescent="0.2">
      <c r="B50" s="17">
        <v>2012</v>
      </c>
      <c r="C50" s="18">
        <v>24809.285715998671</v>
      </c>
      <c r="D50" s="18">
        <v>25263.214286996674</v>
      </c>
      <c r="E50" s="18">
        <v>27050</v>
      </c>
      <c r="F50" s="18">
        <v>26700</v>
      </c>
      <c r="G50" s="18">
        <v>26150</v>
      </c>
      <c r="H50" s="18">
        <v>26000</v>
      </c>
      <c r="I50" s="18">
        <v>25950</v>
      </c>
      <c r="J50" s="18">
        <v>25800</v>
      </c>
      <c r="K50" s="18">
        <v>24531.071432000674</v>
      </c>
      <c r="L50" s="18">
        <v>19440</v>
      </c>
      <c r="M50" s="19">
        <v>12550</v>
      </c>
      <c r="N50" s="20">
        <v>9024.9999999978681</v>
      </c>
    </row>
    <row r="51" spans="2:14" ht="17.45" customHeight="1" x14ac:dyDescent="0.2">
      <c r="B51" s="17">
        <v>2013</v>
      </c>
      <c r="C51" s="18">
        <v>20500</v>
      </c>
      <c r="D51" s="18">
        <v>25950</v>
      </c>
      <c r="E51" s="18">
        <v>26300</v>
      </c>
      <c r="F51" s="18">
        <v>17462.499999998723</v>
      </c>
      <c r="G51" s="18">
        <v>4775</v>
      </c>
      <c r="H51" s="18">
        <v>7333.333332000946</v>
      </c>
      <c r="I51" s="18">
        <v>10112.500000001706</v>
      </c>
      <c r="J51" s="18">
        <v>12074.999999999147</v>
      </c>
      <c r="K51" s="18">
        <v>12625</v>
      </c>
      <c r="L51" s="18">
        <v>13000</v>
      </c>
      <c r="M51" s="19">
        <v>13175</v>
      </c>
      <c r="N51" s="20">
        <v>8104.1666629995216</v>
      </c>
    </row>
    <row r="52" spans="2:14" ht="17.45" customHeight="1" x14ac:dyDescent="0.2">
      <c r="B52" s="17">
        <v>2014</v>
      </c>
      <c r="C52" s="18">
        <v>13600</v>
      </c>
      <c r="D52" s="18">
        <v>10112.500000001706</v>
      </c>
      <c r="E52" s="18">
        <v>12550</v>
      </c>
      <c r="F52" s="18">
        <v>13725.000000000284</v>
      </c>
      <c r="G52" s="18">
        <v>14099.999999999432</v>
      </c>
      <c r="H52" s="18">
        <v>14537.5</v>
      </c>
      <c r="I52" s="18">
        <v>15099.999999997868</v>
      </c>
      <c r="J52" s="18">
        <v>5887.5</v>
      </c>
      <c r="K52" s="18">
        <v>2169.0789475600081</v>
      </c>
      <c r="L52" s="18">
        <v>3103.9473684401055</v>
      </c>
      <c r="M52" s="19">
        <v>3325.0000001201097</v>
      </c>
      <c r="N52" s="20">
        <v>133.55263164000004</v>
      </c>
    </row>
    <row r="53" spans="2:14" ht="17.45" customHeight="1" x14ac:dyDescent="0.2">
      <c r="B53" s="17">
        <v>2015</v>
      </c>
      <c r="C53" s="18">
        <v>3163.8157895201066</v>
      </c>
      <c r="D53" s="18">
        <v>7083.3333310016551</v>
      </c>
      <c r="E53" s="18">
        <v>16000.000000001706</v>
      </c>
      <c r="F53" s="18">
        <v>19040</v>
      </c>
      <c r="G53" s="18">
        <v>19620</v>
      </c>
      <c r="H53" s="18">
        <v>13175</v>
      </c>
      <c r="I53" s="18">
        <v>5375</v>
      </c>
      <c r="J53" s="18">
        <v>6125</v>
      </c>
      <c r="K53" s="18">
        <v>6520.8333299992855</v>
      </c>
      <c r="L53" s="18">
        <v>7020.8333320016563</v>
      </c>
      <c r="M53" s="19">
        <v>7208.3333290016526</v>
      </c>
      <c r="N53" s="20">
        <v>4525</v>
      </c>
    </row>
    <row r="54" spans="2:14" ht="17.45" customHeight="1" x14ac:dyDescent="0.2">
      <c r="B54" s="17">
        <v>2016</v>
      </c>
      <c r="C54" s="18">
        <v>4875</v>
      </c>
      <c r="D54" s="18">
        <v>13275</v>
      </c>
      <c r="E54" s="18">
        <v>14274.999999998579</v>
      </c>
      <c r="F54" s="18">
        <v>16487.500000002987</v>
      </c>
      <c r="G54" s="18">
        <v>16675.000000002987</v>
      </c>
      <c r="H54" s="18">
        <v>17050.000000000851</v>
      </c>
      <c r="I54" s="18">
        <v>17462.499999998723</v>
      </c>
      <c r="J54" s="18">
        <v>15099.999999997868</v>
      </c>
      <c r="K54" s="18">
        <v>14912.499999997868</v>
      </c>
      <c r="L54" s="18">
        <v>9437.4999999991469</v>
      </c>
      <c r="M54" s="19">
        <v>4050</v>
      </c>
      <c r="N54" s="20">
        <v>2947.3684212002158</v>
      </c>
    </row>
    <row r="55" spans="2:14" ht="17.45" customHeight="1" x14ac:dyDescent="0.2">
      <c r="B55" s="17">
        <v>2017</v>
      </c>
      <c r="C55" s="18">
        <v>7374.9999980009452</v>
      </c>
      <c r="D55" s="18">
        <v>11387.499999998721</v>
      </c>
      <c r="E55" s="18">
        <v>17900</v>
      </c>
      <c r="F55" s="18">
        <v>21040</v>
      </c>
      <c r="G55" s="18">
        <v>22305.357144998012</v>
      </c>
      <c r="H55" s="18">
        <v>22935.000003001343</v>
      </c>
      <c r="I55" s="18">
        <v>23447.500003004669</v>
      </c>
      <c r="J55" s="18">
        <v>22363.928573998011</v>
      </c>
      <c r="K55" s="18">
        <v>19580</v>
      </c>
      <c r="L55" s="18">
        <v>16487.500000002987</v>
      </c>
      <c r="M55" s="19">
        <v>3562.5</v>
      </c>
      <c r="N55" s="20">
        <v>4825</v>
      </c>
    </row>
    <row r="56" spans="2:14" ht="17.45" customHeight="1" x14ac:dyDescent="0.2">
      <c r="B56" s="17">
        <v>2018</v>
      </c>
      <c r="C56" s="18">
        <v>13175</v>
      </c>
      <c r="D56" s="18">
        <v>21040</v>
      </c>
      <c r="E56" s="18">
        <v>26350</v>
      </c>
      <c r="F56" s="18">
        <v>26100</v>
      </c>
      <c r="G56" s="18">
        <v>25750</v>
      </c>
      <c r="H56" s="18">
        <v>25750</v>
      </c>
      <c r="I56" s="18">
        <v>25800</v>
      </c>
      <c r="J56" s="18">
        <v>25263.214286996674</v>
      </c>
      <c r="K56" s="18">
        <v>15512.499999999147</v>
      </c>
      <c r="L56" s="18">
        <v>5187.5</v>
      </c>
      <c r="M56" s="19">
        <v>101.31578952000004</v>
      </c>
      <c r="N56" s="20">
        <v>105.92105268000003</v>
      </c>
    </row>
    <row r="57" spans="2:14" ht="17.45" customHeight="1" x14ac:dyDescent="0.2">
      <c r="B57" s="17">
        <v>2019</v>
      </c>
      <c r="C57" s="18">
        <v>3712.5</v>
      </c>
      <c r="D57" s="18">
        <v>26650</v>
      </c>
      <c r="E57" s="18">
        <v>27300</v>
      </c>
      <c r="F57" s="18">
        <v>26050</v>
      </c>
      <c r="G57" s="18">
        <v>25556.071431996679</v>
      </c>
      <c r="H57" s="18">
        <v>6833.3333300004697</v>
      </c>
      <c r="I57" s="18">
        <v>3787.5</v>
      </c>
      <c r="J57" s="18">
        <v>4450</v>
      </c>
      <c r="K57" s="18">
        <v>4787.5</v>
      </c>
      <c r="L57" s="18">
        <v>4925</v>
      </c>
      <c r="M57" s="19">
        <v>5162.5</v>
      </c>
      <c r="N57" s="20">
        <v>5137.5</v>
      </c>
    </row>
    <row r="58" spans="2:14" ht="17.45" customHeight="1" x14ac:dyDescent="0.2">
      <c r="B58" s="17">
        <v>2020</v>
      </c>
      <c r="C58" s="18">
        <v>13799.999999999432</v>
      </c>
      <c r="D58" s="18">
        <v>28500</v>
      </c>
      <c r="E58" s="18">
        <v>27650</v>
      </c>
      <c r="F58" s="18">
        <v>25556.071431996679</v>
      </c>
      <c r="G58" s="18">
        <v>10225.000000001706</v>
      </c>
      <c r="H58" s="18">
        <v>4500</v>
      </c>
      <c r="I58" s="18">
        <v>5737.5</v>
      </c>
      <c r="J58" s="18">
        <v>6458.3333309992868</v>
      </c>
      <c r="K58" s="18">
        <v>6812.4999970004701</v>
      </c>
      <c r="L58" s="18">
        <v>7437.4999970009439</v>
      </c>
      <c r="M58" s="19">
        <v>7250.0000000009468</v>
      </c>
      <c r="N58" s="20">
        <v>11500</v>
      </c>
    </row>
    <row r="59" spans="2:14" ht="17.45" customHeight="1" x14ac:dyDescent="0.2">
      <c r="B59" s="17">
        <v>2021</v>
      </c>
      <c r="C59" s="18">
        <v>22305.357144998012</v>
      </c>
      <c r="D59" s="18">
        <v>21968.571432000012</v>
      </c>
      <c r="E59" s="18">
        <v>20500</v>
      </c>
      <c r="F59" s="18">
        <v>26150</v>
      </c>
      <c r="G59" s="18">
        <v>25950</v>
      </c>
      <c r="H59" s="18">
        <v>25800</v>
      </c>
      <c r="I59" s="18">
        <v>21360</v>
      </c>
      <c r="J59" s="18">
        <v>14650</v>
      </c>
      <c r="K59" s="18">
        <v>5900</v>
      </c>
      <c r="L59" s="18">
        <v>1897.3684211200029</v>
      </c>
      <c r="M59" s="19">
        <v>3108.5526316001055</v>
      </c>
      <c r="N59" s="20">
        <v>4875</v>
      </c>
    </row>
    <row r="60" spans="2:14" ht="17.45" customHeight="1" x14ac:dyDescent="0.2">
      <c r="B60" s="17">
        <v>2022</v>
      </c>
      <c r="C60" s="18">
        <v>11874.999999999147</v>
      </c>
      <c r="D60" s="18">
        <v>15399.999999999147</v>
      </c>
      <c r="E60" s="18">
        <v>18700</v>
      </c>
      <c r="F60" s="18">
        <v>20440</v>
      </c>
      <c r="G60" s="18">
        <v>20860</v>
      </c>
      <c r="H60" s="18">
        <v>15249.999999999147</v>
      </c>
      <c r="I60" s="18">
        <v>1197.3684211997925</v>
      </c>
      <c r="J60" s="18">
        <v>138.15789480000004</v>
      </c>
      <c r="K60" s="18">
        <v>124.34210532000004</v>
      </c>
      <c r="L60" s="18">
        <v>110.52631584</v>
      </c>
      <c r="M60" s="19">
        <v>110.52631584</v>
      </c>
      <c r="N60" s="20">
        <v>2703.28947372021</v>
      </c>
    </row>
    <row r="61" spans="2:14" ht="17.45" customHeight="1" x14ac:dyDescent="0.2">
      <c r="B61" s="17">
        <v>2023</v>
      </c>
      <c r="C61" s="18">
        <v>4275</v>
      </c>
      <c r="D61" s="18">
        <v>11949.9999999991</v>
      </c>
      <c r="E61" s="18">
        <v>18000</v>
      </c>
      <c r="F61" s="18">
        <v>20900</v>
      </c>
      <c r="G61" s="18">
        <v>22012.499999997999</v>
      </c>
      <c r="H61" s="18">
        <v>22700.714287001301</v>
      </c>
      <c r="I61" s="18">
        <v>23271.785716004666</v>
      </c>
      <c r="J61" s="18">
        <v>23447.500003004701</v>
      </c>
      <c r="K61" s="18">
        <v>19620</v>
      </c>
      <c r="L61" s="18">
        <v>13050</v>
      </c>
      <c r="M61" s="19">
        <v>13075</v>
      </c>
      <c r="N61" s="20">
        <v>13625</v>
      </c>
    </row>
    <row r="62" spans="2:14" ht="17.45" customHeight="1" x14ac:dyDescent="0.2">
      <c r="B62" s="17">
        <v>2024</v>
      </c>
      <c r="C62" s="18">
        <v>15587.499999999147</v>
      </c>
      <c r="D62" s="18">
        <v>19240</v>
      </c>
      <c r="E62" s="18">
        <v>26700</v>
      </c>
      <c r="F62" s="18">
        <v>25900</v>
      </c>
      <c r="G62" s="18">
        <v>25750</v>
      </c>
      <c r="H62" s="18">
        <v>25750</v>
      </c>
      <c r="I62" s="18">
        <v>25650</v>
      </c>
      <c r="J62" s="18">
        <v>25380.357144996677</v>
      </c>
      <c r="K62" s="18">
        <v>18660</v>
      </c>
      <c r="L62" s="18">
        <v>11525</v>
      </c>
      <c r="M62" s="19">
        <v>4937.5</v>
      </c>
      <c r="N62" s="20">
        <v>5312.5</v>
      </c>
    </row>
    <row r="63" spans="2:14" ht="17.45" customHeight="1" thickBot="1" x14ac:dyDescent="0.25">
      <c r="B63" s="26">
        <v>2025</v>
      </c>
      <c r="C63" s="37">
        <v>9287.4999999991469</v>
      </c>
      <c r="D63" s="37">
        <v>26000</v>
      </c>
      <c r="E63" s="37">
        <v>26900</v>
      </c>
      <c r="F63" s="37">
        <v>26150</v>
      </c>
      <c r="G63" s="37">
        <v>25900</v>
      </c>
      <c r="H63" s="37">
        <v>25950</v>
      </c>
      <c r="I63" s="37">
        <v>25900</v>
      </c>
      <c r="J63" s="37">
        <v>25700</v>
      </c>
      <c r="K63" s="37">
        <v>25750</v>
      </c>
      <c r="L63" s="37">
        <v>25556.071431996679</v>
      </c>
      <c r="M63" s="38">
        <v>18000</v>
      </c>
      <c r="N63" s="39"/>
    </row>
    <row r="64" spans="2:14" ht="17.45" customHeight="1" thickTop="1" x14ac:dyDescent="0.2"/>
    <row r="67" spans="13:13" ht="17.45" customHeight="1" x14ac:dyDescent="0.2">
      <c r="M67" s="4"/>
    </row>
  </sheetData>
  <printOptions horizontalCentered="1" verticalCentered="1"/>
  <pageMargins left="0.19685039370078741" right="0.19685039370078741" top="1.1811023622047245" bottom="0.35433070866141736" header="0.51181102362204722" footer="0.19685039370078741"/>
  <pageSetup paperSize="9" scale="4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078D-C016-4227-84D0-3B81A79D41BA}">
  <sheetPr>
    <pageSetUpPr fitToPage="1"/>
  </sheetPr>
  <dimension ref="B1:N66"/>
  <sheetViews>
    <sheetView zoomScale="86" zoomScaleNormal="86" workbookViewId="0">
      <pane xSplit="2" ySplit="9" topLeftCell="C57" activePane="bottomRight" state="frozen"/>
      <selection pane="topRight"/>
      <selection pane="bottomLeft"/>
      <selection pane="bottomRight" activeCell="B4" sqref="B4"/>
    </sheetView>
  </sheetViews>
  <sheetFormatPr baseColWidth="10" defaultColWidth="15.7109375" defaultRowHeight="17.45" customHeight="1" x14ac:dyDescent="0.2"/>
  <cols>
    <col min="1" max="12" width="15.7109375" style="4" customWidth="1"/>
    <col min="13" max="13" width="15.7109375" style="25" customWidth="1"/>
    <col min="14" max="16384" width="15.7109375" style="4"/>
  </cols>
  <sheetData>
    <row r="1" spans="2:14" ht="17.45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</row>
    <row r="2" spans="2:14" ht="17.45" customHeight="1" x14ac:dyDescent="0.25">
      <c r="B2" s="1" t="s">
        <v>34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2"/>
    </row>
    <row r="3" spans="2:14" ht="17.45" customHeight="1" x14ac:dyDescent="0.25">
      <c r="B3" s="1" t="s">
        <v>17</v>
      </c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</row>
    <row r="4" spans="2:14" ht="17.45" customHeight="1" thickBot="1" x14ac:dyDescent="0.25">
      <c r="B4" s="2"/>
    </row>
    <row r="5" spans="2:14" ht="17.45" customHeight="1" thickTop="1" x14ac:dyDescent="0.25">
      <c r="B5" s="30" t="s">
        <v>3</v>
      </c>
      <c r="C5" s="31" t="s">
        <v>4</v>
      </c>
      <c r="D5" s="31" t="s">
        <v>5</v>
      </c>
      <c r="E5" s="31" t="s">
        <v>6</v>
      </c>
      <c r="F5" s="31" t="s">
        <v>7</v>
      </c>
      <c r="G5" s="31" t="s">
        <v>8</v>
      </c>
      <c r="H5" s="31" t="s">
        <v>9</v>
      </c>
      <c r="I5" s="31" t="s">
        <v>10</v>
      </c>
      <c r="J5" s="31" t="s">
        <v>11</v>
      </c>
      <c r="K5" s="31" t="s">
        <v>12</v>
      </c>
      <c r="L5" s="31" t="s">
        <v>13</v>
      </c>
      <c r="M5" s="32" t="s">
        <v>14</v>
      </c>
      <c r="N5" s="33" t="s">
        <v>15</v>
      </c>
    </row>
    <row r="6" spans="2:14" ht="17.45" customHeight="1" x14ac:dyDescent="0.2">
      <c r="B6" s="17">
        <v>1968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5"/>
      <c r="N6" s="36"/>
    </row>
    <row r="7" spans="2:14" ht="17.45" customHeight="1" x14ac:dyDescent="0.2">
      <c r="B7" s="17">
        <v>1969</v>
      </c>
      <c r="C7" s="18">
        <v>33600</v>
      </c>
      <c r="D7" s="18">
        <v>46760</v>
      </c>
      <c r="E7" s="18">
        <v>53820</v>
      </c>
      <c r="F7" s="18">
        <v>55600</v>
      </c>
      <c r="G7" s="18">
        <v>53500</v>
      </c>
      <c r="H7" s="18">
        <v>51800</v>
      </c>
      <c r="I7" s="18">
        <v>51300</v>
      </c>
      <c r="J7" s="18">
        <v>50400</v>
      </c>
      <c r="K7" s="18">
        <v>45100</v>
      </c>
      <c r="L7" s="18">
        <v>34000</v>
      </c>
      <c r="M7" s="19">
        <v>21400</v>
      </c>
      <c r="N7" s="20">
        <v>9540</v>
      </c>
    </row>
    <row r="8" spans="2:14" ht="17.45" customHeight="1" x14ac:dyDescent="0.2">
      <c r="B8" s="17">
        <v>1970</v>
      </c>
      <c r="C8" s="18">
        <v>37000</v>
      </c>
      <c r="D8" s="18">
        <v>58300</v>
      </c>
      <c r="E8" s="18">
        <v>79400</v>
      </c>
      <c r="F8" s="18">
        <v>85700</v>
      </c>
      <c r="G8" s="18">
        <v>86580</v>
      </c>
      <c r="H8" s="18">
        <v>86580</v>
      </c>
      <c r="I8" s="18">
        <v>85460</v>
      </c>
      <c r="J8" s="18">
        <v>78440</v>
      </c>
      <c r="K8" s="18">
        <v>73120</v>
      </c>
      <c r="L8" s="18">
        <v>65380</v>
      </c>
      <c r="M8" s="19">
        <v>53400</v>
      </c>
      <c r="N8" s="20">
        <v>36600</v>
      </c>
    </row>
    <row r="9" spans="2:14" ht="17.45" customHeight="1" x14ac:dyDescent="0.2">
      <c r="B9" s="17">
        <v>1971</v>
      </c>
      <c r="C9" s="18">
        <v>38760</v>
      </c>
      <c r="D9" s="18">
        <v>77460</v>
      </c>
      <c r="E9" s="18">
        <v>94520</v>
      </c>
      <c r="F9" s="18">
        <v>94260</v>
      </c>
      <c r="G9" s="18">
        <v>87040</v>
      </c>
      <c r="H9" s="18">
        <v>71300</v>
      </c>
      <c r="I9" s="18">
        <v>57740</v>
      </c>
      <c r="J9" s="18">
        <v>44000</v>
      </c>
      <c r="K9" s="18">
        <v>31100</v>
      </c>
      <c r="L9" s="18">
        <v>17680</v>
      </c>
      <c r="M9" s="19">
        <v>6580</v>
      </c>
      <c r="N9" s="20">
        <v>0</v>
      </c>
    </row>
    <row r="10" spans="2:14" ht="17.45" customHeight="1" x14ac:dyDescent="0.2">
      <c r="B10" s="17">
        <v>1972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/>
      <c r="N10" s="20"/>
    </row>
    <row r="11" spans="2:14" ht="17.45" customHeight="1" x14ac:dyDescent="0.2">
      <c r="B11" s="17">
        <v>1973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9"/>
      <c r="N11" s="20"/>
    </row>
    <row r="12" spans="2:14" ht="17.45" customHeight="1" x14ac:dyDescent="0.2">
      <c r="B12" s="17">
        <v>1974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9"/>
      <c r="N12" s="20"/>
    </row>
    <row r="13" spans="2:14" ht="17.45" customHeight="1" x14ac:dyDescent="0.2">
      <c r="B13" s="17">
        <v>1975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9"/>
      <c r="N13" s="20"/>
    </row>
    <row r="14" spans="2:14" ht="17.45" customHeight="1" x14ac:dyDescent="0.2">
      <c r="B14" s="17">
        <v>1976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9"/>
      <c r="N14" s="20"/>
    </row>
    <row r="15" spans="2:14" ht="17.45" customHeight="1" x14ac:dyDescent="0.2">
      <c r="B15" s="17">
        <v>1977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9"/>
      <c r="N15" s="20"/>
    </row>
    <row r="16" spans="2:14" ht="17.45" customHeight="1" x14ac:dyDescent="0.2">
      <c r="B16" s="17">
        <v>1978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</row>
    <row r="17" spans="2:14" ht="17.45" customHeight="1" x14ac:dyDescent="0.2">
      <c r="B17" s="17">
        <v>1979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20"/>
    </row>
    <row r="18" spans="2:14" ht="17.45" customHeight="1" x14ac:dyDescent="0.2">
      <c r="B18" s="17">
        <v>1980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</row>
    <row r="19" spans="2:14" ht="17.45" customHeight="1" x14ac:dyDescent="0.2">
      <c r="B19" s="17">
        <v>1981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9"/>
      <c r="N19" s="20"/>
    </row>
    <row r="20" spans="2:14" ht="17.45" customHeight="1" x14ac:dyDescent="0.2">
      <c r="B20" s="17">
        <v>1982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9"/>
      <c r="N20" s="20"/>
    </row>
    <row r="21" spans="2:14" ht="17.45" customHeight="1" x14ac:dyDescent="0.2">
      <c r="B21" s="17">
        <v>1983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9"/>
      <c r="N21" s="20"/>
    </row>
    <row r="22" spans="2:14" ht="17.45" customHeight="1" x14ac:dyDescent="0.2">
      <c r="B22" s="17">
        <v>1984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9"/>
      <c r="N22" s="20"/>
    </row>
    <row r="23" spans="2:14" ht="17.45" customHeight="1" x14ac:dyDescent="0.2">
      <c r="B23" s="17">
        <v>1985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9"/>
      <c r="N23" s="20"/>
    </row>
    <row r="24" spans="2:14" ht="17.45" customHeight="1" x14ac:dyDescent="0.2">
      <c r="B24" s="17">
        <v>1986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9"/>
      <c r="N24" s="20"/>
    </row>
    <row r="25" spans="2:14" ht="17.45" customHeight="1" x14ac:dyDescent="0.2">
      <c r="B25" s="17">
        <v>1987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9"/>
      <c r="N25" s="20"/>
    </row>
    <row r="26" spans="2:14" ht="17.45" customHeight="1" x14ac:dyDescent="0.2">
      <c r="B26" s="17">
        <v>1988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9"/>
      <c r="N26" s="20"/>
    </row>
    <row r="27" spans="2:14" ht="17.45" customHeight="1" x14ac:dyDescent="0.2">
      <c r="B27" s="17">
        <v>1989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9"/>
      <c r="N27" s="20"/>
    </row>
    <row r="28" spans="2:14" ht="17.45" customHeight="1" x14ac:dyDescent="0.2">
      <c r="B28" s="17">
        <v>1990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9"/>
      <c r="N28" s="20"/>
    </row>
    <row r="29" spans="2:14" ht="17.45" customHeight="1" x14ac:dyDescent="0.2">
      <c r="B29" s="17">
        <v>1991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9"/>
      <c r="N29" s="20"/>
    </row>
    <row r="30" spans="2:14" ht="17.45" customHeight="1" x14ac:dyDescent="0.2">
      <c r="B30" s="17">
        <v>1992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9"/>
      <c r="N30" s="20"/>
    </row>
    <row r="31" spans="2:14" ht="17.45" customHeight="1" x14ac:dyDescent="0.2">
      <c r="B31" s="17">
        <v>1993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/>
      <c r="N31" s="20"/>
    </row>
    <row r="32" spans="2:14" ht="17.45" customHeight="1" x14ac:dyDescent="0.2">
      <c r="B32" s="17">
        <v>1994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9"/>
      <c r="N32" s="20"/>
    </row>
    <row r="33" spans="2:14" ht="17.45" customHeight="1" x14ac:dyDescent="0.2">
      <c r="B33" s="17">
        <v>1995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9"/>
      <c r="N33" s="20"/>
    </row>
    <row r="34" spans="2:14" ht="17.45" customHeight="1" x14ac:dyDescent="0.2">
      <c r="B34" s="17">
        <v>1996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9"/>
      <c r="N34" s="20"/>
    </row>
    <row r="35" spans="2:14" ht="17.45" customHeight="1" x14ac:dyDescent="0.2">
      <c r="B35" s="17">
        <v>1997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/>
      <c r="N35" s="20"/>
    </row>
    <row r="36" spans="2:14" ht="17.45" customHeight="1" x14ac:dyDescent="0.2">
      <c r="B36" s="17">
        <v>1998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9"/>
      <c r="N36" s="20"/>
    </row>
    <row r="37" spans="2:14" ht="17.45" customHeight="1" x14ac:dyDescent="0.2">
      <c r="B37" s="17">
        <v>1999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9"/>
      <c r="N37" s="20"/>
    </row>
    <row r="38" spans="2:14" ht="17.45" customHeight="1" x14ac:dyDescent="0.2">
      <c r="B38" s="17">
        <v>2000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9"/>
      <c r="N38" s="20"/>
    </row>
    <row r="39" spans="2:14" ht="17.45" customHeight="1" x14ac:dyDescent="0.2">
      <c r="B39" s="17">
        <v>2001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9"/>
      <c r="N39" s="20"/>
    </row>
    <row r="40" spans="2:14" ht="17.45" customHeight="1" x14ac:dyDescent="0.2">
      <c r="B40" s="17">
        <v>2002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9"/>
      <c r="N40" s="20"/>
    </row>
    <row r="41" spans="2:14" ht="17.45" customHeight="1" x14ac:dyDescent="0.2">
      <c r="B41" s="17">
        <v>2003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9"/>
      <c r="N41" s="20"/>
    </row>
    <row r="42" spans="2:14" ht="17.45" customHeight="1" x14ac:dyDescent="0.2">
      <c r="B42" s="17">
        <v>2004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9"/>
      <c r="N42" s="20"/>
    </row>
    <row r="43" spans="2:14" ht="17.45" customHeight="1" x14ac:dyDescent="0.2">
      <c r="B43" s="17">
        <v>2005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9"/>
      <c r="N43" s="20"/>
    </row>
    <row r="44" spans="2:14" ht="17.45" customHeight="1" x14ac:dyDescent="0.2">
      <c r="B44" s="17">
        <v>2006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9"/>
      <c r="N44" s="20"/>
    </row>
    <row r="45" spans="2:14" ht="17.45" customHeight="1" x14ac:dyDescent="0.2">
      <c r="B45" s="17">
        <v>2007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9"/>
      <c r="N45" s="20"/>
    </row>
    <row r="46" spans="2:14" ht="17.45" customHeight="1" x14ac:dyDescent="0.2">
      <c r="B46" s="17">
        <v>2008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9"/>
      <c r="N46" s="20"/>
    </row>
    <row r="47" spans="2:14" ht="17.45" customHeight="1" x14ac:dyDescent="0.2">
      <c r="B47" s="17">
        <v>2009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9"/>
      <c r="N47" s="20">
        <v>5506.4036104378247</v>
      </c>
    </row>
    <row r="48" spans="2:14" ht="17.45" customHeight="1" x14ac:dyDescent="0.2">
      <c r="B48" s="17">
        <v>2010</v>
      </c>
      <c r="C48" s="18">
        <v>21680.354347426804</v>
      </c>
      <c r="D48" s="18">
        <v>31824.357539756522</v>
      </c>
      <c r="E48" s="18">
        <v>36980.957694541212</v>
      </c>
      <c r="F48" s="18">
        <v>37864.960982341589</v>
      </c>
      <c r="G48" s="18">
        <v>37396.959241740828</v>
      </c>
      <c r="H48" s="18">
        <v>36876.9573077389</v>
      </c>
      <c r="I48" s="18">
        <v>36460.955760539298</v>
      </c>
      <c r="J48" s="18">
        <v>35940.953826542151</v>
      </c>
      <c r="K48" s="18">
        <v>31824.357539756522</v>
      </c>
      <c r="L48" s="18">
        <v>22555.492473426009</v>
      </c>
      <c r="M48" s="19">
        <v>7313.7536539051816</v>
      </c>
      <c r="N48" s="20">
        <v>7630.8326089034499</v>
      </c>
    </row>
    <row r="49" spans="2:14" ht="17.45" customHeight="1" x14ac:dyDescent="0.2">
      <c r="B49" s="17">
        <v>2011</v>
      </c>
      <c r="C49" s="18">
        <v>13475.773964317847</v>
      </c>
      <c r="D49" s="18">
        <v>28560.796249804895</v>
      </c>
      <c r="E49" s="18">
        <v>39414.486769729927</v>
      </c>
      <c r="F49" s="18">
        <v>42301.674177711488</v>
      </c>
      <c r="G49" s="18">
        <v>37656.960208741773</v>
      </c>
      <c r="H49" s="18">
        <v>37240.958661542158</v>
      </c>
      <c r="I49" s="18">
        <v>36824.957114337805</v>
      </c>
      <c r="J49" s="18">
        <v>29827.252869757227</v>
      </c>
      <c r="K49" s="18">
        <v>15951.925328775438</v>
      </c>
      <c r="L49" s="18">
        <v>1157.0261923674263</v>
      </c>
      <c r="M49" s="19">
        <v>1125.1054831681813</v>
      </c>
      <c r="N49" s="20">
        <v>4053.6548179515144</v>
      </c>
    </row>
    <row r="50" spans="2:14" ht="17.45" customHeight="1" x14ac:dyDescent="0.2">
      <c r="B50" s="17">
        <v>2012</v>
      </c>
      <c r="C50" s="18">
        <v>19113.772457934723</v>
      </c>
      <c r="D50" s="18">
        <v>36408.955567138182</v>
      </c>
      <c r="E50" s="18">
        <v>41267.243366515038</v>
      </c>
      <c r="F50" s="18">
        <v>40880.772259727361</v>
      </c>
      <c r="G50" s="18">
        <v>39848.941729729522</v>
      </c>
      <c r="H50" s="18">
        <v>39523.100509727359</v>
      </c>
      <c r="I50" s="18">
        <v>39034.33867972657</v>
      </c>
      <c r="J50" s="18">
        <v>38491.269979729535</v>
      </c>
      <c r="K50" s="18">
        <v>31629.518059756698</v>
      </c>
      <c r="L50" s="18">
        <v>19155.375709631844</v>
      </c>
      <c r="M50" s="19">
        <v>7313.7536539051816</v>
      </c>
      <c r="N50" s="20">
        <v>8997.2833254901798</v>
      </c>
    </row>
    <row r="51" spans="2:14" ht="17.45" customHeight="1" x14ac:dyDescent="0.2">
      <c r="B51" s="17">
        <v>2013</v>
      </c>
      <c r="C51" s="18">
        <v>18198.500920533665</v>
      </c>
      <c r="D51" s="18">
        <v>26761.111947814836</v>
      </c>
      <c r="E51" s="18">
        <v>32408.875979755987</v>
      </c>
      <c r="F51" s="18">
        <v>32214.036499756166</v>
      </c>
      <c r="G51" s="18">
        <v>31824.357539756522</v>
      </c>
      <c r="H51" s="18">
        <v>31532.098319754572</v>
      </c>
      <c r="I51" s="18">
        <v>31191.129229755985</v>
      </c>
      <c r="J51" s="18">
        <v>30801.450269756344</v>
      </c>
      <c r="K51" s="18">
        <v>30265.641699757936</v>
      </c>
      <c r="L51" s="18">
        <v>29924.672609754925</v>
      </c>
      <c r="M51" s="19">
        <v>29583.703519756342</v>
      </c>
      <c r="N51" s="20">
        <v>31970.487149755281</v>
      </c>
    </row>
    <row r="52" spans="2:14" ht="17.45" customHeight="1" x14ac:dyDescent="0.2">
      <c r="B52" s="17">
        <v>2014</v>
      </c>
      <c r="C52" s="18">
        <v>36044.954213339704</v>
      </c>
      <c r="D52" s="18">
        <v>27127.933621414504</v>
      </c>
      <c r="E52" s="18">
        <v>29924.672609754925</v>
      </c>
      <c r="F52" s="18">
        <v>31824.357539756522</v>
      </c>
      <c r="G52" s="18">
        <v>31532.098319754572</v>
      </c>
      <c r="H52" s="18">
        <v>31093.70948975829</v>
      </c>
      <c r="I52" s="18">
        <v>28999.185079790986</v>
      </c>
      <c r="J52" s="18">
        <v>19623.779751325688</v>
      </c>
      <c r="K52" s="18">
        <v>15327.876553182568</v>
      </c>
      <c r="L52" s="18">
        <v>12728.906728238262</v>
      </c>
      <c r="M52" s="19">
        <v>1603.9161211684716</v>
      </c>
      <c r="N52" s="20">
        <v>933.58122796835539</v>
      </c>
    </row>
    <row r="53" spans="2:14" ht="17.45" customHeight="1" x14ac:dyDescent="0.2">
      <c r="B53" s="17">
        <v>2015</v>
      </c>
      <c r="C53" s="18">
        <v>5157.6167599359796</v>
      </c>
      <c r="D53" s="18">
        <v>13357.847558622389</v>
      </c>
      <c r="E53" s="18">
        <v>18531.326934133362</v>
      </c>
      <c r="F53" s="18">
        <v>23168.089161623462</v>
      </c>
      <c r="G53" s="18">
        <v>23780.685849824898</v>
      </c>
      <c r="H53" s="18">
        <v>23430.630599425214</v>
      </c>
      <c r="I53" s="18">
        <v>19363.391968132604</v>
      </c>
      <c r="J53" s="18">
        <v>15166.052</v>
      </c>
      <c r="K53" s="18">
        <v>11277.594445290575</v>
      </c>
      <c r="L53" s="18">
        <v>8671.5245940929472</v>
      </c>
      <c r="M53" s="19">
        <v>4872.2457004355183</v>
      </c>
      <c r="N53" s="20">
        <v>5189.3246554366715</v>
      </c>
    </row>
    <row r="54" spans="2:14" ht="17.45" customHeight="1" x14ac:dyDescent="0.2">
      <c r="B54" s="17">
        <v>2016</v>
      </c>
      <c r="C54" s="18">
        <v>5982.0220429366718</v>
      </c>
      <c r="D54" s="18">
        <v>20236.376439523141</v>
      </c>
      <c r="E54" s="18">
        <v>22861.790817524736</v>
      </c>
      <c r="F54" s="18">
        <v>24239.212941818179</v>
      </c>
      <c r="G54" s="18">
        <v>23826.53855901751</v>
      </c>
      <c r="H54" s="18">
        <v>23518.144412023146</v>
      </c>
      <c r="I54" s="18">
        <v>23211.846067924416</v>
      </c>
      <c r="J54" s="18">
        <v>13790.244379508124</v>
      </c>
      <c r="K54" s="18">
        <v>7535.7089224042575</v>
      </c>
      <c r="L54" s="18">
        <v>3534.397729951424</v>
      </c>
      <c r="M54" s="19">
        <v>3212.9528659511548</v>
      </c>
      <c r="N54" s="20">
        <v>3138.7732819495354</v>
      </c>
    </row>
    <row r="55" spans="2:14" ht="17.45" customHeight="1" x14ac:dyDescent="0.2">
      <c r="B55" s="17">
        <v>2017</v>
      </c>
      <c r="C55" s="18">
        <v>10698.467811691102</v>
      </c>
      <c r="D55" s="18">
        <v>15743.909070274682</v>
      </c>
      <c r="E55" s="18">
        <v>34016.946670737991</v>
      </c>
      <c r="F55" s="18">
        <v>38599.883719726968</v>
      </c>
      <c r="G55" s="18">
        <v>33964.946477341582</v>
      </c>
      <c r="H55" s="18">
        <v>30704.030529754215</v>
      </c>
      <c r="I55" s="18">
        <v>30314.35156975457</v>
      </c>
      <c r="J55" s="18">
        <v>29437.573909757586</v>
      </c>
      <c r="K55" s="18">
        <v>28804.345599805783</v>
      </c>
      <c r="L55" s="18">
        <v>28414.666639806135</v>
      </c>
      <c r="M55" s="19">
        <v>28044.987805417841</v>
      </c>
      <c r="N55" s="20">
        <v>29194.024559771318</v>
      </c>
    </row>
    <row r="56" spans="2:14" ht="17.45" customHeight="1" x14ac:dyDescent="0.2">
      <c r="B56" s="17">
        <v>2018</v>
      </c>
      <c r="C56" s="18">
        <v>37240.958661542158</v>
      </c>
      <c r="D56" s="18">
        <v>39577.407379728538</v>
      </c>
      <c r="E56" s="18">
        <v>39305.873029727554</v>
      </c>
      <c r="F56" s="18">
        <v>39848.941729729522</v>
      </c>
      <c r="G56" s="18">
        <v>36772.956920941397</v>
      </c>
      <c r="H56" s="18">
        <v>27540.608004215173</v>
      </c>
      <c r="I56" s="18">
        <v>17200.022879734574</v>
      </c>
      <c r="J56" s="18">
        <v>5791.7746699354038</v>
      </c>
      <c r="K56" s="18">
        <v>1667.7575395684134</v>
      </c>
      <c r="L56" s="18">
        <v>1619.8764757673684</v>
      </c>
      <c r="M56" s="19">
        <v>1556.0350573674264</v>
      </c>
      <c r="N56" s="20">
        <v>1603.9161211684716</v>
      </c>
    </row>
    <row r="57" spans="2:14" ht="17.45" customHeight="1" x14ac:dyDescent="0.2">
      <c r="B57" s="17">
        <v>2019</v>
      </c>
      <c r="C57" s="18">
        <v>7730.443814492156</v>
      </c>
      <c r="D57" s="18">
        <v>24468.476487814842</v>
      </c>
      <c r="E57" s="18">
        <v>28365.956769816508</v>
      </c>
      <c r="F57" s="18">
        <v>31775.647669755457</v>
      </c>
      <c r="G57" s="18">
        <v>32360.166109754922</v>
      </c>
      <c r="H57" s="18">
        <v>28320.104060615507</v>
      </c>
      <c r="I57" s="18">
        <v>24376.771069417013</v>
      </c>
      <c r="J57" s="18">
        <v>20148.862626925213</v>
      </c>
      <c r="K57" s="18">
        <v>16159.941587276195</v>
      </c>
      <c r="L57" s="18">
        <v>13790.244379508124</v>
      </c>
      <c r="M57" s="19">
        <v>13436.46516241817</v>
      </c>
      <c r="N57" s="20">
        <v>6172.2694159379407</v>
      </c>
    </row>
    <row r="58" spans="2:14" ht="17.45" customHeight="1" x14ac:dyDescent="0.2">
      <c r="B58" s="17">
        <v>2020</v>
      </c>
      <c r="C58" s="18">
        <v>11241.399030689785</v>
      </c>
      <c r="D58" s="18">
        <v>22555.492473426009</v>
      </c>
      <c r="E58" s="18">
        <v>34536.948604739882</v>
      </c>
      <c r="F58" s="18">
        <v>37344.959048339697</v>
      </c>
      <c r="G58" s="18">
        <v>32408.875979755987</v>
      </c>
      <c r="H58" s="18">
        <v>27540.608004215173</v>
      </c>
      <c r="I58" s="18">
        <v>22599.249379722987</v>
      </c>
      <c r="J58" s="18">
        <v>17574.452145035179</v>
      </c>
      <c r="K58" s="18">
        <v>12728.906728238262</v>
      </c>
      <c r="L58" s="18">
        <v>12610.980322542802</v>
      </c>
      <c r="M58" s="19">
        <v>11982.03949216225</v>
      </c>
      <c r="N58" s="20">
        <v>14065.405992798722</v>
      </c>
    </row>
    <row r="59" spans="2:14" ht="17.45" customHeight="1" x14ac:dyDescent="0.2">
      <c r="B59" s="17">
        <v>2021</v>
      </c>
      <c r="C59" s="18">
        <v>27861.57696861801</v>
      </c>
      <c r="D59" s="18">
        <v>31678.227929757762</v>
      </c>
      <c r="E59" s="18">
        <v>39414.486769729927</v>
      </c>
      <c r="F59" s="18">
        <v>39848.941729729522</v>
      </c>
      <c r="G59" s="18">
        <v>37864.960982341589</v>
      </c>
      <c r="H59" s="18">
        <v>32749.845000000001</v>
      </c>
      <c r="I59" s="18">
        <v>27219.639039816499</v>
      </c>
      <c r="J59" s="18">
        <v>21899.138878923597</v>
      </c>
      <c r="K59" s="18">
        <v>16617.577355962345</v>
      </c>
      <c r="L59" s="18">
        <v>13633.009171912985</v>
      </c>
      <c r="M59" s="19">
        <v>9431.6283006897847</v>
      </c>
      <c r="N59" s="20">
        <v>8345.7658626924203</v>
      </c>
    </row>
    <row r="60" spans="2:14" ht="17.45" customHeight="1" x14ac:dyDescent="0.2">
      <c r="B60" s="17">
        <v>2022</v>
      </c>
      <c r="C60" s="18">
        <v>23255.60297422537</v>
      </c>
      <c r="D60" s="18">
        <v>33188.23389975528</v>
      </c>
      <c r="E60" s="18">
        <v>38545.576849730714</v>
      </c>
      <c r="F60" s="18">
        <v>38980.031809730324</v>
      </c>
      <c r="G60" s="18">
        <v>33496.944736740828</v>
      </c>
      <c r="H60" s="18">
        <v>28755.635729804722</v>
      </c>
      <c r="I60" s="18">
        <v>28274.251351414507</v>
      </c>
      <c r="J60" s="18">
        <v>23124.332255326488</v>
      </c>
      <c r="K60" s="18">
        <v>17948.881410332</v>
      </c>
      <c r="L60" s="18">
        <v>12610.9803225428</v>
      </c>
      <c r="M60" s="19">
        <v>7567.4168179049502</v>
      </c>
      <c r="N60" s="20">
        <v>3336.5855059516002</v>
      </c>
    </row>
    <row r="61" spans="2:14" ht="17.45" customHeight="1" x14ac:dyDescent="0.2">
      <c r="B61" s="17">
        <v>2023</v>
      </c>
      <c r="C61" s="18">
        <v>3336.5855059516002</v>
      </c>
      <c r="D61" s="18">
        <v>12571.6715206431</v>
      </c>
      <c r="E61" s="18">
        <v>21505.326722222999</v>
      </c>
      <c r="F61" s="18">
        <v>22818.0339112238</v>
      </c>
      <c r="G61" s="18">
        <v>22599.249379723002</v>
      </c>
      <c r="H61" s="18">
        <v>22205.437223026303</v>
      </c>
      <c r="I61" s="18">
        <v>21899.138878923623</v>
      </c>
      <c r="J61" s="18">
        <v>18988.962702831999</v>
      </c>
      <c r="K61" s="18">
        <v>13908.1707852036</v>
      </c>
      <c r="L61" s="18">
        <v>8816.3062524928155</v>
      </c>
      <c r="M61" s="19">
        <v>4251.467041951335</v>
      </c>
      <c r="N61" s="20">
        <v>2545.3366099500699</v>
      </c>
    </row>
    <row r="62" spans="2:14" ht="17.45" customHeight="1" x14ac:dyDescent="0.2">
      <c r="B62" s="17">
        <v>2024</v>
      </c>
      <c r="C62" s="18">
        <v>11549.642671276515</v>
      </c>
      <c r="D62" s="18">
        <v>18697.73994093321</v>
      </c>
      <c r="E62" s="18">
        <v>33236.943769756341</v>
      </c>
      <c r="F62" s="18">
        <v>37292.958854938559</v>
      </c>
      <c r="G62" s="18">
        <v>37344.959048339697</v>
      </c>
      <c r="H62" s="18">
        <v>36876.957307738936</v>
      </c>
      <c r="I62" s="18">
        <v>36304.955180340643</v>
      </c>
      <c r="J62" s="18">
        <v>35732.953052937613</v>
      </c>
      <c r="K62" s="18">
        <v>29096.604819778939</v>
      </c>
      <c r="L62" s="18">
        <v>22599.249379722987</v>
      </c>
      <c r="M62" s="19">
        <v>11628.260275072294</v>
      </c>
      <c r="N62" s="20">
        <v>3484.9446739503446</v>
      </c>
    </row>
    <row r="63" spans="2:14" ht="17.45" customHeight="1" thickBot="1" x14ac:dyDescent="0.25">
      <c r="B63" s="26">
        <v>2025</v>
      </c>
      <c r="C63" s="37">
        <v>13986.788389002939</v>
      </c>
      <c r="D63" s="37">
        <v>23474.387505726168</v>
      </c>
      <c r="E63" s="37">
        <v>38817.111199726765</v>
      </c>
      <c r="F63" s="37">
        <v>39577.407379728538</v>
      </c>
      <c r="G63" s="37">
        <v>39848.941729729522</v>
      </c>
      <c r="H63" s="37">
        <v>39414.486769729927</v>
      </c>
      <c r="I63" s="37">
        <v>38925.724939729138</v>
      </c>
      <c r="J63" s="37">
        <v>38384.962916338751</v>
      </c>
      <c r="K63" s="37">
        <v>35212.951118940451</v>
      </c>
      <c r="L63" s="37">
        <v>23430.630599425214</v>
      </c>
      <c r="M63" s="38">
        <v>20586.431689926801</v>
      </c>
      <c r="N63" s="39"/>
    </row>
    <row r="64" spans="2:14" ht="17.45" customHeight="1" thickTop="1" x14ac:dyDescent="0.2"/>
    <row r="66" spans="13:13" ht="17.45" customHeight="1" x14ac:dyDescent="0.2">
      <c r="M66" s="4"/>
    </row>
  </sheetData>
  <printOptions horizontalCentered="1" verticalCentered="1"/>
  <pageMargins left="0.19685039370078741" right="0.19685039370078741" top="1.1811023622047245" bottom="0.35433070866141736" header="0.51181102362204722" footer="0.19685039370078741"/>
  <pageSetup paperSize="9" scale="4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9955-CD9A-432E-9E73-39B07B3C0547}">
  <sheetPr codeName="Hoja17">
    <pageSetUpPr fitToPage="1"/>
  </sheetPr>
  <dimension ref="A1:N68"/>
  <sheetViews>
    <sheetView zoomScale="86" zoomScaleNormal="86" workbookViewId="0">
      <pane xSplit="2" ySplit="9" topLeftCell="C50" activePane="bottomRight" state="frozen"/>
      <selection activeCell="B66" sqref="B66"/>
      <selection pane="topRight" activeCell="B66" sqref="B66"/>
      <selection pane="bottomLeft" activeCell="B66" sqref="B66"/>
      <selection pane="bottomRight" activeCell="B70" sqref="B70"/>
    </sheetView>
  </sheetViews>
  <sheetFormatPr baseColWidth="10" defaultColWidth="15.7109375" defaultRowHeight="17.45" customHeight="1" x14ac:dyDescent="0.2"/>
  <cols>
    <col min="1" max="16384" width="15.7109375" style="4"/>
  </cols>
  <sheetData>
    <row r="1" spans="2:14" ht="17.45" customHeight="1" x14ac:dyDescent="0.25"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4" ht="17.45" customHeight="1" x14ac:dyDescent="0.25">
      <c r="B2" s="1" t="s">
        <v>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ht="17.45" customHeight="1" x14ac:dyDescent="0.25">
      <c r="B3" s="1" t="s">
        <v>20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ht="17.45" customHeight="1" thickBot="1" x14ac:dyDescent="0.25">
      <c r="B4" s="2"/>
    </row>
    <row r="5" spans="2:14" ht="17.45" customHeight="1" thickTop="1" thickBot="1" x14ac:dyDescent="0.3">
      <c r="B5" s="7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40" t="s">
        <v>14</v>
      </c>
      <c r="N5" s="10" t="s">
        <v>15</v>
      </c>
    </row>
    <row r="6" spans="2:14" ht="17.45" customHeight="1" thickTop="1" x14ac:dyDescent="0.2">
      <c r="B6" s="12">
        <v>1968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2"/>
    </row>
    <row r="7" spans="2:14" ht="17.45" customHeight="1" x14ac:dyDescent="0.2">
      <c r="B7" s="17">
        <v>1969</v>
      </c>
      <c r="C7" s="18">
        <f>+AB!C7+EF!C7+EP!C7</f>
        <v>33600</v>
      </c>
      <c r="D7" s="18">
        <f>+AB!D7+EF!D7+EP!D7</f>
        <v>46760</v>
      </c>
      <c r="E7" s="18">
        <f>+AB!E7+EF!E7+EP!E7</f>
        <v>53820</v>
      </c>
      <c r="F7" s="18">
        <f>+AB!F7+EF!F7+EP!F7</f>
        <v>55600</v>
      </c>
      <c r="G7" s="18">
        <f>+AB!G7+EF!G7+EP!G7</f>
        <v>53500</v>
      </c>
      <c r="H7" s="18">
        <f>+AB!H7+EF!H7+EP!H7</f>
        <v>51800</v>
      </c>
      <c r="I7" s="18">
        <f>+AB!I7+EF!I7+EP!I7</f>
        <v>51300</v>
      </c>
      <c r="J7" s="18">
        <f>+AB!J7+EF!J7+EP!J7</f>
        <v>50400</v>
      </c>
      <c r="K7" s="18">
        <f>+AB!K7+EF!K7+EP!K7</f>
        <v>45100</v>
      </c>
      <c r="L7" s="18">
        <f>+AB!L7+EF!L7+EP!L7</f>
        <v>34000</v>
      </c>
      <c r="M7" s="18">
        <f>+AB!M7+EF!M7+EP!M7</f>
        <v>21400</v>
      </c>
      <c r="N7" s="20">
        <f>+AB!N7+EF!N7+EP!N7</f>
        <v>9540</v>
      </c>
    </row>
    <row r="8" spans="2:14" ht="17.45" customHeight="1" x14ac:dyDescent="0.2">
      <c r="B8" s="17">
        <v>1970</v>
      </c>
      <c r="C8" s="18">
        <f>+AB!C8+EF!C8+EP!C8</f>
        <v>80960</v>
      </c>
      <c r="D8" s="18">
        <f>+AB!D8+EF!D8+EP!D8</f>
        <v>116500</v>
      </c>
      <c r="E8" s="18">
        <f>+AB!E8+EF!E8+EP!E8</f>
        <v>154960</v>
      </c>
      <c r="F8" s="18">
        <f>+AB!F8+EF!F8+EP!F8</f>
        <v>159300</v>
      </c>
      <c r="G8" s="18">
        <f>+AB!G8+EF!G8+EP!G8</f>
        <v>148500</v>
      </c>
      <c r="H8" s="18">
        <f>+AB!H8+EF!H8+EP!H8</f>
        <v>137640</v>
      </c>
      <c r="I8" s="18">
        <f>+AB!I8+EF!I8+EP!I8</f>
        <v>126710</v>
      </c>
      <c r="J8" s="18">
        <f>+AB!J8+EF!J8+EP!J8</f>
        <v>110160</v>
      </c>
      <c r="K8" s="18">
        <f>+AB!K8+EF!K8+EP!K8</f>
        <v>91930</v>
      </c>
      <c r="L8" s="18">
        <f>+AB!L8+EF!L8+EP!L8</f>
        <v>75740</v>
      </c>
      <c r="M8" s="18">
        <f>+AB!M8+EF!M8+EP!M8</f>
        <v>59421</v>
      </c>
      <c r="N8" s="20">
        <f>+AB!N8+EF!N8+EP!N8</f>
        <v>38510</v>
      </c>
    </row>
    <row r="9" spans="2:14" ht="17.45" customHeight="1" x14ac:dyDescent="0.2">
      <c r="B9" s="17">
        <v>1971</v>
      </c>
      <c r="C9" s="18">
        <f>+AB!C9+EF!C9+EP!C9</f>
        <v>51740</v>
      </c>
      <c r="D9" s="18">
        <f>+AB!D9+EF!D9+EP!D9</f>
        <v>112660</v>
      </c>
      <c r="E9" s="18">
        <f>+AB!E9+EF!E9+EP!E9</f>
        <v>148820</v>
      </c>
      <c r="F9" s="18">
        <f>+AB!F9+EF!F9+EP!F9</f>
        <v>151920</v>
      </c>
      <c r="G9" s="18">
        <f>+AB!G9+EF!G9+EP!G9</f>
        <v>138220</v>
      </c>
      <c r="H9" s="18">
        <f>+AB!H9+EF!H9+EP!H9</f>
        <v>103540</v>
      </c>
      <c r="I9" s="18">
        <f>+AB!I9+EF!I9+EP!I9</f>
        <v>80075</v>
      </c>
      <c r="J9" s="18">
        <f>+AB!J9+EF!J9+EP!J9</f>
        <v>50460</v>
      </c>
      <c r="K9" s="18">
        <f>+AB!K9+EF!K9+EP!K9</f>
        <v>37380</v>
      </c>
      <c r="L9" s="18">
        <f>+AB!L9+EF!L9+EP!L9</f>
        <v>25780</v>
      </c>
      <c r="M9" s="18">
        <f>+AB!M9+EF!M9+EP!M9</f>
        <v>16320</v>
      </c>
      <c r="N9" s="20">
        <f>+AB!N9+EF!N9+EP!N9</f>
        <v>7480</v>
      </c>
    </row>
    <row r="10" spans="2:14" ht="17.45" customHeight="1" x14ac:dyDescent="0.2">
      <c r="B10" s="17">
        <v>1972</v>
      </c>
      <c r="C10" s="18">
        <f>+AB!C10+EF!C10+EP!C10</f>
        <v>102100</v>
      </c>
      <c r="D10" s="18">
        <f>+AB!D10+EF!D10+EP!D10</f>
        <v>152915</v>
      </c>
      <c r="E10" s="18">
        <f>+AB!E10+EF!E10+EP!E10</f>
        <v>238605</v>
      </c>
      <c r="F10" s="18">
        <f>+AB!F10+EF!F10+EP!F10</f>
        <v>262400</v>
      </c>
      <c r="G10" s="18">
        <f>+AB!G10+EF!G10+EP!G10</f>
        <v>253600</v>
      </c>
      <c r="H10" s="18">
        <f>+AB!H10+EF!H10+EP!H10</f>
        <v>237322</v>
      </c>
      <c r="I10" s="18">
        <f>+AB!I10+EF!I10+EP!I10</f>
        <v>210270</v>
      </c>
      <c r="J10" s="18">
        <f>+AB!J10+EF!J10+EP!J10</f>
        <v>193220</v>
      </c>
      <c r="K10" s="18">
        <f>+AB!K10+EF!K10+EP!K10</f>
        <v>176820</v>
      </c>
      <c r="L10" s="18">
        <f>+AB!L10+EF!L10+EP!L10</f>
        <v>158410</v>
      </c>
      <c r="M10" s="18">
        <f>+AB!M10+EF!M10+EP!M10</f>
        <v>169479</v>
      </c>
      <c r="N10" s="20">
        <f>+AB!N10+EF!N10+EP!N10</f>
        <v>128270</v>
      </c>
    </row>
    <row r="11" spans="2:14" ht="17.45" customHeight="1" x14ac:dyDescent="0.2">
      <c r="B11" s="17">
        <v>1973</v>
      </c>
      <c r="C11" s="18">
        <f>+AB!C11+EF!C11+EP!C11</f>
        <v>193500</v>
      </c>
      <c r="D11" s="18">
        <f>+AB!D11+EF!D11+EP!D11</f>
        <v>281625</v>
      </c>
      <c r="E11" s="18">
        <f>+AB!E11+EF!E11+EP!E11</f>
        <v>288415</v>
      </c>
      <c r="F11" s="18">
        <f>+AB!F11+EF!F11+EP!F11</f>
        <v>283601</v>
      </c>
      <c r="G11" s="18">
        <f>+AB!G11+EF!G11+EP!G11</f>
        <v>282016</v>
      </c>
      <c r="H11" s="18">
        <f>+AB!H11+EF!H11+EP!H11</f>
        <v>251481</v>
      </c>
      <c r="I11" s="18">
        <f>+AB!I11+EF!I11+EP!I11</f>
        <v>221273</v>
      </c>
      <c r="J11" s="18">
        <f>+AB!J11+EF!J11+EP!J11</f>
        <v>204200</v>
      </c>
      <c r="K11" s="18">
        <f>+AB!K11+EF!K11+EP!K11</f>
        <v>201080</v>
      </c>
      <c r="L11" s="18">
        <f>+AB!L11+EF!L11+EP!L11</f>
        <v>172042</v>
      </c>
      <c r="M11" s="18">
        <f>+AB!M11+EF!M11+EP!M11</f>
        <v>139946</v>
      </c>
      <c r="N11" s="20">
        <f>+AB!N11+EF!N11+EP!N11</f>
        <v>121077</v>
      </c>
    </row>
    <row r="12" spans="2:14" ht="17.45" customHeight="1" x14ac:dyDescent="0.2">
      <c r="B12" s="17">
        <v>1974</v>
      </c>
      <c r="C12" s="18">
        <f>+AB!C12+EF!C12+EP!C12</f>
        <v>218573</v>
      </c>
      <c r="D12" s="18">
        <f>+AB!D12+EF!D12+EP!D12</f>
        <v>273254</v>
      </c>
      <c r="E12" s="18">
        <f>+AB!E12+EF!E12+EP!E12</f>
        <v>303645</v>
      </c>
      <c r="F12" s="18">
        <f>+AB!F12+EF!F12+EP!F12</f>
        <v>302862</v>
      </c>
      <c r="G12" s="18">
        <f>+AB!G12+EF!G12+EP!G12</f>
        <v>285980</v>
      </c>
      <c r="H12" s="18">
        <f>+AB!H12+EF!H12+EP!H12</f>
        <v>257935</v>
      </c>
      <c r="I12" s="18">
        <f>+AB!I12+EF!I12+EP!I12</f>
        <v>219367</v>
      </c>
      <c r="J12" s="18">
        <f>+AB!J12+EF!J12+EP!J12</f>
        <v>197470</v>
      </c>
      <c r="K12" s="18">
        <f>+AB!K12+EF!K12+EP!K12</f>
        <v>176392</v>
      </c>
      <c r="L12" s="18">
        <f>+AB!L12+EF!L12+EP!L12</f>
        <v>151042</v>
      </c>
      <c r="M12" s="18">
        <f>+AB!M12+EF!M12+EP!M12</f>
        <v>138777</v>
      </c>
      <c r="N12" s="20">
        <f>+AB!N12+EF!N12+EP!N12</f>
        <v>107595</v>
      </c>
    </row>
    <row r="13" spans="2:14" s="25" customFormat="1" ht="17.45" customHeight="1" x14ac:dyDescent="0.2">
      <c r="B13" s="22">
        <v>1975</v>
      </c>
      <c r="C13" s="19">
        <f>+AB!C13+EF!C13+EP!C13</f>
        <v>125296</v>
      </c>
      <c r="D13" s="19">
        <f>+AB!D13+EF!D13+EP!D13</f>
        <v>246950</v>
      </c>
      <c r="E13" s="19">
        <f>+AB!E13+EF!E13+EP!E13</f>
        <v>307412</v>
      </c>
      <c r="F13" s="19">
        <f>+AB!F13+EF!F13+EP!F13</f>
        <v>292418</v>
      </c>
      <c r="G13" s="19">
        <f>+AB!G13+EF!G13+EP!G13</f>
        <v>271674</v>
      </c>
      <c r="H13" s="19">
        <f>+AB!H13+EF!H13+EP!H13</f>
        <v>246688</v>
      </c>
      <c r="I13" s="19">
        <f>+AB!I13+EF!I13+EP!I13</f>
        <v>215076</v>
      </c>
      <c r="J13" s="19">
        <f>+AB!J13+EF!J13+EP!J13</f>
        <v>183750</v>
      </c>
      <c r="K13" s="19">
        <f>+AB!K13+EF!K13+EP!K13</f>
        <v>147300</v>
      </c>
      <c r="L13" s="19">
        <f>+AB!L13+EF!L13+EP!L13</f>
        <v>116540</v>
      </c>
      <c r="M13" s="19">
        <f>+AB!M13+EF!M13+EP!M13</f>
        <v>96349</v>
      </c>
      <c r="N13" s="23">
        <f>+AB!N13+EF!N13+EP!N13</f>
        <v>83857</v>
      </c>
    </row>
    <row r="14" spans="2:14" ht="17.45" customHeight="1" x14ac:dyDescent="0.2">
      <c r="B14" s="17">
        <v>1976</v>
      </c>
      <c r="C14" s="18">
        <f>+AB!C14+EF!C14+EP!C14</f>
        <v>154310</v>
      </c>
      <c r="D14" s="18">
        <f>+AB!D14+EF!D14+EP!D14</f>
        <v>187570</v>
      </c>
      <c r="E14" s="18">
        <f>+AB!E14+EF!E14+EP!E14</f>
        <v>230288</v>
      </c>
      <c r="F14" s="18">
        <f>+AB!F14+EF!F14+EP!F14</f>
        <v>215880</v>
      </c>
      <c r="G14" s="18">
        <f>+AB!G14+EF!G14+EP!G14</f>
        <v>191820</v>
      </c>
      <c r="H14" s="18">
        <f>+AB!H14+EF!H14+EP!H14</f>
        <v>165864</v>
      </c>
      <c r="I14" s="18">
        <f>+AB!I14+EF!I14+EP!I14</f>
        <v>142476</v>
      </c>
      <c r="J14" s="18">
        <f>+AB!J14+EF!J14+EP!J14</f>
        <v>119540</v>
      </c>
      <c r="K14" s="18">
        <f>+AB!K14+EF!K14+EP!K14</f>
        <v>103720</v>
      </c>
      <c r="L14" s="18">
        <f>+AB!L14+EF!L14+EP!L14</f>
        <v>83220</v>
      </c>
      <c r="M14" s="18">
        <f>+AB!M14+EF!M14+EP!M14</f>
        <v>59068</v>
      </c>
      <c r="N14" s="20">
        <f>+AB!N14+EF!N14+EP!N14</f>
        <v>35556</v>
      </c>
    </row>
    <row r="15" spans="2:14" ht="17.45" customHeight="1" x14ac:dyDescent="0.2">
      <c r="B15" s="17">
        <v>1977</v>
      </c>
      <c r="C15" s="18">
        <f>+AB!C15+EF!C15+EP!C15</f>
        <v>29502</v>
      </c>
      <c r="D15" s="18">
        <f>+AB!D15+EF!D15+EP!D15</f>
        <v>110220</v>
      </c>
      <c r="E15" s="18">
        <f>+AB!E15+EF!E15+EP!E15</f>
        <v>189525</v>
      </c>
      <c r="F15" s="18">
        <f>+AB!F15+EF!F15+EP!F15</f>
        <v>185360</v>
      </c>
      <c r="G15" s="18">
        <f>+AB!G15+EF!G15+EP!G15</f>
        <v>170760</v>
      </c>
      <c r="H15" s="18">
        <f>+AB!H15+EF!H15+EP!H15</f>
        <v>159820</v>
      </c>
      <c r="I15" s="18">
        <f>+AB!I15+EF!I15+EP!I15</f>
        <v>146160</v>
      </c>
      <c r="J15" s="18">
        <f>+AB!J15+EF!J15+EP!J15</f>
        <v>129320</v>
      </c>
      <c r="K15" s="18">
        <f>+AB!K15+EF!K15+EP!K15</f>
        <v>111380</v>
      </c>
      <c r="L15" s="18">
        <f>+AB!L15+EF!L15+EP!L15</f>
        <v>87750</v>
      </c>
      <c r="M15" s="18">
        <f>+AB!M15+EF!M15+EP!M15</f>
        <v>73100</v>
      </c>
      <c r="N15" s="20">
        <f>+AB!N15+EF!N15+EP!N15</f>
        <v>53124</v>
      </c>
    </row>
    <row r="16" spans="2:14" ht="17.45" customHeight="1" x14ac:dyDescent="0.2">
      <c r="B16" s="17">
        <v>1978</v>
      </c>
      <c r="C16" s="18">
        <f>+AB!C16+EF!C16+EP!C16</f>
        <v>113280</v>
      </c>
      <c r="D16" s="18">
        <f>+AB!D16+EF!D16+EP!D16</f>
        <v>137700</v>
      </c>
      <c r="E16" s="18">
        <f>+AB!E16+EF!E16+EP!E16</f>
        <v>135590</v>
      </c>
      <c r="F16" s="18">
        <f>+AB!F16+EF!F16+EP!F16</f>
        <v>141830</v>
      </c>
      <c r="G16" s="18">
        <f>+AB!G16+EF!G16+EP!G16</f>
        <v>128392</v>
      </c>
      <c r="H16" s="18">
        <f>+AB!H16+EF!H16+EP!H16</f>
        <v>118966</v>
      </c>
      <c r="I16" s="18">
        <f>+AB!I16+EF!I16+EP!I16</f>
        <v>107372</v>
      </c>
      <c r="J16" s="18">
        <f>+AB!J16+EF!J16+EP!J16</f>
        <v>94358</v>
      </c>
      <c r="K16" s="18">
        <f>+AB!K16+EF!K16+EP!K16</f>
        <v>80932</v>
      </c>
      <c r="L16" s="18">
        <f>+AB!L16+EF!L16+EP!L16</f>
        <v>65278</v>
      </c>
      <c r="M16" s="18">
        <f>+AB!M16+EF!M16+EP!M16</f>
        <v>54995</v>
      </c>
      <c r="N16" s="20">
        <f>+AB!N16+EF!N16+EP!N16</f>
        <v>53225</v>
      </c>
    </row>
    <row r="17" spans="2:14" ht="17.45" customHeight="1" x14ac:dyDescent="0.2">
      <c r="B17" s="17">
        <v>1979</v>
      </c>
      <c r="C17" s="18">
        <f>+AB!C17+EF!C17+EP!C17</f>
        <v>78146</v>
      </c>
      <c r="D17" s="18">
        <f>+AB!D17+EF!D17+EP!D17</f>
        <v>89660</v>
      </c>
      <c r="E17" s="18">
        <f>+AB!E17+EF!E17+EP!E17</f>
        <v>144590</v>
      </c>
      <c r="F17" s="18">
        <f>+AB!F17+EF!F17+EP!F17</f>
        <v>140680</v>
      </c>
      <c r="G17" s="18">
        <f>+AB!G17+EF!G17+EP!G17</f>
        <v>129060</v>
      </c>
      <c r="H17" s="18">
        <f>+AB!H17+EF!H17+EP!H17</f>
        <v>119289</v>
      </c>
      <c r="I17" s="18">
        <f>+AB!I17+EF!I17+EP!I17</f>
        <v>110312</v>
      </c>
      <c r="J17" s="18">
        <f>+AB!J17+EF!J17+EP!J17</f>
        <v>99339</v>
      </c>
      <c r="K17" s="18">
        <f>+AB!K17+EF!K17+EP!K17</f>
        <v>80880</v>
      </c>
      <c r="L17" s="18">
        <f>+AB!L17+EF!L17+EP!L17</f>
        <v>64592</v>
      </c>
      <c r="M17" s="18">
        <f>+AB!M17+EF!M17+EP!M17</f>
        <v>51062</v>
      </c>
      <c r="N17" s="20">
        <f>+AB!N17+EF!N17+EP!N17</f>
        <v>44485</v>
      </c>
    </row>
    <row r="18" spans="2:14" ht="17.45" customHeight="1" x14ac:dyDescent="0.2">
      <c r="B18" s="17">
        <v>1980</v>
      </c>
      <c r="C18" s="18">
        <f>+AB!C18+EF!C18+EP!C18</f>
        <v>41542</v>
      </c>
      <c r="D18" s="18">
        <f>+AB!D18+EF!D18+EP!D18</f>
        <v>40001</v>
      </c>
      <c r="E18" s="18">
        <f>+AB!E18+EF!E18+EP!E18</f>
        <v>73253</v>
      </c>
      <c r="F18" s="18">
        <f>+AB!F18+EF!F18+EP!F18</f>
        <v>75810</v>
      </c>
      <c r="G18" s="18">
        <f>+AB!G18+EF!G18+EP!G18</f>
        <v>69696</v>
      </c>
      <c r="H18" s="18">
        <f>+AB!H18+EF!H18+EP!H18</f>
        <v>64069</v>
      </c>
      <c r="I18" s="18">
        <f>+AB!I18+EF!I18+EP!I18</f>
        <v>58653</v>
      </c>
      <c r="J18" s="18">
        <f>+AB!J18+EF!J18+EP!J18</f>
        <v>50232</v>
      </c>
      <c r="K18" s="18">
        <f>+AB!K18+EF!K18+EP!K18</f>
        <v>44642</v>
      </c>
      <c r="L18" s="18">
        <f>+AB!L18+EF!L18+EP!L18</f>
        <v>48060</v>
      </c>
      <c r="M18" s="18">
        <f>+AB!M18+EF!M18+EP!M18</f>
        <v>42277</v>
      </c>
      <c r="N18" s="20">
        <f>+AB!N18+EF!N18+EP!N18</f>
        <v>30890</v>
      </c>
    </row>
    <row r="19" spans="2:14" ht="17.45" customHeight="1" x14ac:dyDescent="0.2">
      <c r="B19" s="17">
        <v>1981</v>
      </c>
      <c r="C19" s="18">
        <f>+AB!C19+EF!C19+EP!C19</f>
        <v>65312</v>
      </c>
      <c r="D19" s="18">
        <f>+AB!D19+EF!D19+EP!D19</f>
        <v>156410</v>
      </c>
      <c r="E19" s="18">
        <f>+AB!E19+EF!E19+EP!E19</f>
        <v>199760</v>
      </c>
      <c r="F19" s="18">
        <f>+AB!F19+EF!F19+EP!F19</f>
        <v>218160</v>
      </c>
      <c r="G19" s="18">
        <f>+AB!G19+EF!G19+EP!G19</f>
        <v>201772</v>
      </c>
      <c r="H19" s="18">
        <f>+AB!H19+EF!H19+EP!H19</f>
        <v>178600</v>
      </c>
      <c r="I19" s="18">
        <f>+AB!I19+EF!I19+EP!I19</f>
        <v>160196</v>
      </c>
      <c r="J19" s="18">
        <f>+AB!J19+EF!J19+EP!J19</f>
        <v>143936</v>
      </c>
      <c r="K19" s="18">
        <f>+AB!K19+EF!K19+EP!K19</f>
        <v>124940</v>
      </c>
      <c r="L19" s="18">
        <f>+AB!L19+EF!L19+EP!L19</f>
        <v>100494</v>
      </c>
      <c r="M19" s="18">
        <f>+AB!M19+EF!M19+EP!M19</f>
        <v>72142</v>
      </c>
      <c r="N19" s="20">
        <f>+AB!N19+EF!N19+EP!N19</f>
        <v>52626</v>
      </c>
    </row>
    <row r="20" spans="2:14" ht="17.45" customHeight="1" x14ac:dyDescent="0.2">
      <c r="B20" s="17">
        <v>1982</v>
      </c>
      <c r="C20" s="18">
        <f>+AB!C20+EF!C20+EP!C20</f>
        <v>107700</v>
      </c>
      <c r="D20" s="18">
        <f>+AB!D20+EF!D20+EP!D20</f>
        <v>106787</v>
      </c>
      <c r="E20" s="18">
        <f>+AB!E20+EF!E20+EP!E20</f>
        <v>133564</v>
      </c>
      <c r="F20" s="18">
        <f>+AB!F20+EF!F20+EP!F20</f>
        <v>145984</v>
      </c>
      <c r="G20" s="18">
        <f>+AB!G20+EF!G20+EP!G20</f>
        <v>132726</v>
      </c>
      <c r="H20" s="18">
        <f>+AB!H20+EF!H20+EP!H20</f>
        <v>119780</v>
      </c>
      <c r="I20" s="18">
        <f>+AB!I20+EF!I20+EP!I20</f>
        <v>108550</v>
      </c>
      <c r="J20" s="18">
        <f>+AB!J20+EF!J20+EP!J20</f>
        <v>91600</v>
      </c>
      <c r="K20" s="18">
        <f>+AB!K20+EF!K20+EP!K20</f>
        <v>77320</v>
      </c>
      <c r="L20" s="18">
        <f>+AB!L20+EF!L20+EP!L20</f>
        <v>66820</v>
      </c>
      <c r="M20" s="18">
        <f>+AB!M20+EF!M20+EP!M20</f>
        <v>68120</v>
      </c>
      <c r="N20" s="20">
        <f>+AB!N20+EF!N20+EP!N20</f>
        <v>58378</v>
      </c>
    </row>
    <row r="21" spans="2:14" s="25" customFormat="1" ht="17.45" customHeight="1" x14ac:dyDescent="0.2">
      <c r="B21" s="22">
        <v>1983</v>
      </c>
      <c r="C21" s="19">
        <f>+AB!C21+EF!C21+EP!C21</f>
        <v>40885</v>
      </c>
      <c r="D21" s="19">
        <f>+AB!D21+EF!D21+EP!D21</f>
        <v>28237</v>
      </c>
      <c r="E21" s="19">
        <f>+AB!E21+EF!E21+EP!E21</f>
        <v>19760</v>
      </c>
      <c r="F21" s="19">
        <f>+AB!F21+EF!F21+EP!F21</f>
        <v>14858</v>
      </c>
      <c r="G21" s="19">
        <f>+AB!G21+EF!G21+EP!G21</f>
        <v>12264</v>
      </c>
      <c r="H21" s="19">
        <f>+AB!H21+EF!H21+EP!H21</f>
        <v>12916</v>
      </c>
      <c r="I21" s="19">
        <f>+AB!I21+EF!I21+EP!I21</f>
        <v>11588</v>
      </c>
      <c r="J21" s="19">
        <f>+AB!J21+EF!J21+EP!J21</f>
        <v>11528</v>
      </c>
      <c r="K21" s="19">
        <f>+AB!K21+EF!K21+EP!K21</f>
        <v>11396</v>
      </c>
      <c r="L21" s="19">
        <f>+AB!L21+EF!L21+EP!L21</f>
        <v>8950</v>
      </c>
      <c r="M21" s="19">
        <f>+AB!M21+EF!M21+EP!M21</f>
        <v>5655</v>
      </c>
      <c r="N21" s="23">
        <f>+AB!N21+EF!N21+EP!N21</f>
        <v>4305</v>
      </c>
    </row>
    <row r="22" spans="2:14" ht="17.45" customHeight="1" x14ac:dyDescent="0.2">
      <c r="B22" s="17">
        <v>1984</v>
      </c>
      <c r="C22" s="18">
        <f>+AB!C22+EF!C22+EP!C22</f>
        <v>76350</v>
      </c>
      <c r="D22" s="18">
        <f>+AB!D22+EF!D22+EP!D22</f>
        <v>208615</v>
      </c>
      <c r="E22" s="18">
        <f>+AB!E22+EF!E22+EP!E22</f>
        <v>267080</v>
      </c>
      <c r="F22" s="18">
        <f>+AB!F22+EF!F22+EP!F22</f>
        <v>259709</v>
      </c>
      <c r="G22" s="18">
        <f>+AB!G22+EF!G22+EP!G22</f>
        <v>240880</v>
      </c>
      <c r="H22" s="18">
        <f>+AB!H22+EF!H22+EP!H22</f>
        <v>224640</v>
      </c>
      <c r="I22" s="18">
        <f>+AB!I22+EF!I22+EP!I22</f>
        <v>206004</v>
      </c>
      <c r="J22" s="18">
        <f>+AB!J22+EF!J22+EP!J22</f>
        <v>186504</v>
      </c>
      <c r="K22" s="18">
        <f>+AB!K22+EF!K22+EP!K22</f>
        <v>163808</v>
      </c>
      <c r="L22" s="18">
        <f>+AB!L22+EF!L22+EP!L22</f>
        <v>149658</v>
      </c>
      <c r="M22" s="18">
        <f>+AB!M22+EF!M22+EP!M22</f>
        <v>150536</v>
      </c>
      <c r="N22" s="20">
        <f>+AB!N22+EF!N22+EP!N22</f>
        <v>167406</v>
      </c>
    </row>
    <row r="23" spans="2:14" s="25" customFormat="1" ht="17.45" customHeight="1" x14ac:dyDescent="0.2">
      <c r="B23" s="22">
        <v>1985</v>
      </c>
      <c r="C23" s="19">
        <f>+AB!C23+EF!C23+EP!C23</f>
        <v>172853</v>
      </c>
      <c r="D23" s="19">
        <f>+AB!D23+EF!D23+EP!D23</f>
        <v>265566</v>
      </c>
      <c r="E23" s="19">
        <f>+AB!E23+EF!E23+EP!E23</f>
        <v>287587</v>
      </c>
      <c r="F23" s="19">
        <f>+AB!F23+EF!F23+EP!F23</f>
        <v>298237</v>
      </c>
      <c r="G23" s="19">
        <f>+AB!G23+EF!G23+EP!G23</f>
        <v>283610</v>
      </c>
      <c r="H23" s="19">
        <f>+AB!H23+EF!H23+EP!H23</f>
        <v>266690</v>
      </c>
      <c r="I23" s="19">
        <f>+AB!I23+EF!I23+EP!I23</f>
        <v>240358</v>
      </c>
      <c r="J23" s="19">
        <f>+AB!J23+EF!J23+EP!J23</f>
        <v>216000</v>
      </c>
      <c r="K23" s="19">
        <f>+AB!K23+EF!K23+EP!K23</f>
        <v>193098</v>
      </c>
      <c r="L23" s="19">
        <f>+AB!L23+EF!L23+EP!L23</f>
        <v>166320</v>
      </c>
      <c r="M23" s="19">
        <f>+AB!M23+EF!M23+EP!M23</f>
        <v>149325</v>
      </c>
      <c r="N23" s="23">
        <f>+AB!N23+EF!N23+EP!N23</f>
        <v>147210</v>
      </c>
    </row>
    <row r="24" spans="2:14" ht="17.45" customHeight="1" x14ac:dyDescent="0.2">
      <c r="B24" s="17">
        <v>1986</v>
      </c>
      <c r="C24" s="18">
        <f>+AB!C24+EF!C24+EP!C24</f>
        <v>213810</v>
      </c>
      <c r="D24" s="18">
        <f>+AB!D24+EF!D24+EP!D24</f>
        <v>283065</v>
      </c>
      <c r="E24" s="18">
        <f>+AB!E24+EF!E24+EP!E24</f>
        <v>276138</v>
      </c>
      <c r="F24" s="18">
        <f>+AB!F24+EF!F24+EP!F24</f>
        <v>279073</v>
      </c>
      <c r="G24" s="18">
        <f>+AB!G24+EF!G24+EP!G24</f>
        <v>259000</v>
      </c>
      <c r="H24" s="18">
        <f>+AB!H24+EF!H24+EP!H24</f>
        <v>238046</v>
      </c>
      <c r="I24" s="18">
        <f>+AB!I24+EF!I24+EP!I24</f>
        <v>217500</v>
      </c>
      <c r="J24" s="18">
        <f>+AB!J24+EF!J24+EP!J24</f>
        <v>195360</v>
      </c>
      <c r="K24" s="18">
        <f>+AB!K24+EF!K24+EP!K24</f>
        <v>169530</v>
      </c>
      <c r="L24" s="18">
        <f>+AB!L24+EF!L24+EP!L24</f>
        <v>144930</v>
      </c>
      <c r="M24" s="18">
        <f>+AB!M24+EF!M24+EP!M24</f>
        <v>117466</v>
      </c>
      <c r="N24" s="20">
        <f>+AB!N24+EF!N24+EP!N24</f>
        <v>113798</v>
      </c>
    </row>
    <row r="25" spans="2:14" ht="17.45" customHeight="1" x14ac:dyDescent="0.2">
      <c r="B25" s="17">
        <v>1987</v>
      </c>
      <c r="C25" s="18">
        <f>+AB!C25+EF!C25+EP!C25</f>
        <v>212615</v>
      </c>
      <c r="D25" s="18">
        <f>+AB!D25+EF!D25+EP!D25</f>
        <v>213360</v>
      </c>
      <c r="E25" s="18">
        <f>+AB!E25+EF!E25+EP!E25</f>
        <v>198324</v>
      </c>
      <c r="F25" s="18">
        <f>+AB!F25+EF!F25+EP!F25</f>
        <v>177520</v>
      </c>
      <c r="G25" s="18">
        <f>+AB!G25+EF!G25+EP!G25</f>
        <v>163700</v>
      </c>
      <c r="H25" s="18">
        <f>+AB!H25+EF!H25+EP!H25</f>
        <v>150260</v>
      </c>
      <c r="I25" s="18">
        <f>+AB!I25+EF!I25+EP!I25</f>
        <v>136340</v>
      </c>
      <c r="J25" s="18">
        <f>+AB!J25+EF!J25+EP!J25</f>
        <v>122990</v>
      </c>
      <c r="K25" s="18">
        <f>+AB!K25+EF!K25+EP!K25</f>
        <v>107020</v>
      </c>
      <c r="L25" s="18">
        <f>+AB!L25+EF!L25+EP!L25</f>
        <v>89477</v>
      </c>
      <c r="M25" s="18">
        <f>+AB!M25+EF!M25+EP!M25</f>
        <v>70667</v>
      </c>
      <c r="N25" s="20">
        <f>+AB!N25+EF!N25+EP!N25</f>
        <v>45207</v>
      </c>
    </row>
    <row r="26" spans="2:14" ht="17.45" customHeight="1" x14ac:dyDescent="0.2">
      <c r="B26" s="17">
        <v>1988</v>
      </c>
      <c r="C26" s="18">
        <f>+AB!C26+EF!C26+EP!C26</f>
        <v>119080</v>
      </c>
      <c r="D26" s="18">
        <f>+AB!D26+EF!D26+EP!D26</f>
        <v>152430</v>
      </c>
      <c r="E26" s="18">
        <f>+AB!E26+EF!E26+EP!E26</f>
        <v>195120</v>
      </c>
      <c r="F26" s="18">
        <f>+AB!F26+EF!F26+EP!F26</f>
        <v>202930</v>
      </c>
      <c r="G26" s="18">
        <f>+AB!G26+EF!G26+EP!G26</f>
        <v>193580</v>
      </c>
      <c r="H26" s="18">
        <f>+AB!H26+EF!H26+EP!H26</f>
        <v>178240</v>
      </c>
      <c r="I26" s="18">
        <f>+AB!I26+EF!I26+EP!I26</f>
        <v>162310</v>
      </c>
      <c r="J26" s="18">
        <f>+AB!J26+EF!J26+EP!J26</f>
        <v>140520</v>
      </c>
      <c r="K26" s="18">
        <f>+AB!K26+EF!K26+EP!K26</f>
        <v>119760</v>
      </c>
      <c r="L26" s="18">
        <f>+AB!L26+EF!L26+EP!L26</f>
        <v>93590</v>
      </c>
      <c r="M26" s="18">
        <f>+AB!M26+EF!M26+EP!M26</f>
        <v>67580</v>
      </c>
      <c r="N26" s="20">
        <f>+AB!N26+EF!N26+EP!N26</f>
        <v>49593</v>
      </c>
    </row>
    <row r="27" spans="2:14" ht="17.45" customHeight="1" x14ac:dyDescent="0.2">
      <c r="B27" s="17">
        <v>1989</v>
      </c>
      <c r="C27" s="18">
        <f>+AB!C27+EF!C27+EP!C27</f>
        <v>57546</v>
      </c>
      <c r="D27" s="18">
        <f>+AB!D27+EF!D27+EP!D27</f>
        <v>97140</v>
      </c>
      <c r="E27" s="18">
        <f>+AB!E27+EF!E27+EP!E27</f>
        <v>145020</v>
      </c>
      <c r="F27" s="18">
        <f>+AB!F27+EF!F27+EP!F27</f>
        <v>180130</v>
      </c>
      <c r="G27" s="18">
        <f>+AB!G27+EF!G27+EP!G27</f>
        <v>168190</v>
      </c>
      <c r="H27" s="18">
        <f>+AB!H27+EF!H27+EP!H27</f>
        <v>153336</v>
      </c>
      <c r="I27" s="18">
        <f>+AB!I27+EF!I27+EP!I27</f>
        <v>138314</v>
      </c>
      <c r="J27" s="18">
        <f>+AB!J27+EF!J27+EP!J27</f>
        <v>126254</v>
      </c>
      <c r="K27" s="18">
        <f>+AB!K27+EF!K27+EP!K27</f>
        <v>96372</v>
      </c>
      <c r="L27" s="18">
        <f>+AB!L27+EF!L27+EP!L27</f>
        <v>77900</v>
      </c>
      <c r="M27" s="18">
        <f>+AB!M27+EF!M27+EP!M27</f>
        <v>55050</v>
      </c>
      <c r="N27" s="20">
        <f>+AB!N27+EF!N27+EP!N27</f>
        <v>31710</v>
      </c>
    </row>
    <row r="28" spans="2:14" ht="17.45" customHeight="1" x14ac:dyDescent="0.2">
      <c r="B28" s="17">
        <v>1990</v>
      </c>
      <c r="C28" s="18">
        <f>+AB!C28+EF!C28+EP!C28</f>
        <v>32940</v>
      </c>
      <c r="D28" s="18">
        <f>+AB!D28+EF!D28+EP!D28</f>
        <v>30843</v>
      </c>
      <c r="E28" s="18">
        <f>+AB!E28+EF!E28+EP!E28</f>
        <v>29140</v>
      </c>
      <c r="F28" s="18">
        <f>+AB!F28+EF!F28+EP!F28</f>
        <v>28570</v>
      </c>
      <c r="G28" s="18">
        <f>+AB!G28+EF!G28+EP!G28</f>
        <v>24890</v>
      </c>
      <c r="H28" s="18">
        <f>+AB!H28+EF!H28+EP!H28</f>
        <v>28252</v>
      </c>
      <c r="I28" s="18">
        <f>+AB!I28+EF!I28+EP!I28</f>
        <v>25450</v>
      </c>
      <c r="J28" s="18">
        <f>+AB!J28+EF!J28+EP!J28</f>
        <v>22242</v>
      </c>
      <c r="K28" s="18">
        <f>+AB!K28+EF!K28+EP!K28</f>
        <v>17814</v>
      </c>
      <c r="L28" s="18">
        <f>+AB!L28+EF!L28+EP!L28</f>
        <v>14248</v>
      </c>
      <c r="M28" s="18">
        <f>+AB!M28+EF!M28+EP!M28</f>
        <v>22670</v>
      </c>
      <c r="N28" s="20">
        <f>+AB!N28+EF!N28+EP!N28</f>
        <v>33324</v>
      </c>
    </row>
    <row r="29" spans="2:14" ht="17.45" customHeight="1" x14ac:dyDescent="0.2">
      <c r="B29" s="17">
        <v>1991</v>
      </c>
      <c r="C29" s="18">
        <f>+AB!C29+EF!C29+EP!C29</f>
        <v>80915</v>
      </c>
      <c r="D29" s="18">
        <f>+AB!D29+EF!D29+EP!D29</f>
        <v>117740</v>
      </c>
      <c r="E29" s="18">
        <f>+AB!E29+EF!E29+EP!E29</f>
        <v>186530</v>
      </c>
      <c r="F29" s="18">
        <f>+AB!F29+EF!F29+EP!F29</f>
        <v>177610</v>
      </c>
      <c r="G29" s="18">
        <f>+AB!G29+EF!G29+EP!G29</f>
        <v>158996</v>
      </c>
      <c r="H29" s="18">
        <f>+AB!H29+EF!H29+EP!H29</f>
        <v>145750</v>
      </c>
      <c r="I29" s="18">
        <f>+AB!I29+EF!I29+EP!I29</f>
        <v>130826</v>
      </c>
      <c r="J29" s="18">
        <f>+AB!J29+EF!J29+EP!J29</f>
        <v>110108</v>
      </c>
      <c r="K29" s="18">
        <f>+AB!K29+EF!K29+EP!K29</f>
        <v>92880</v>
      </c>
      <c r="L29" s="18">
        <f>+AB!L29+EF!L29+EP!L29</f>
        <v>72610</v>
      </c>
      <c r="M29" s="18">
        <f>+AB!M29+EF!M29+EP!M29</f>
        <v>50459</v>
      </c>
      <c r="N29" s="20">
        <f>+AB!N29+EF!N29+EP!N29</f>
        <v>29743</v>
      </c>
    </row>
    <row r="30" spans="2:14" ht="17.45" customHeight="1" x14ac:dyDescent="0.2">
      <c r="B30" s="17">
        <v>1992</v>
      </c>
      <c r="C30" s="18">
        <f>+AB!C30+EF!C30+EP!C30</f>
        <v>23693</v>
      </c>
      <c r="D30" s="18">
        <f>+AB!D30+EF!D30+EP!D30</f>
        <v>26259</v>
      </c>
      <c r="E30" s="18">
        <f>+AB!E30+EF!E30+EP!E30</f>
        <v>28996</v>
      </c>
      <c r="F30" s="18">
        <f>+AB!F30+EF!F30+EP!F30</f>
        <v>27070</v>
      </c>
      <c r="G30" s="18">
        <f>+AB!G30+EF!G30+EP!G30</f>
        <v>22952</v>
      </c>
      <c r="H30" s="18">
        <f>+AB!H30+EF!H30+EP!H30</f>
        <v>20120</v>
      </c>
      <c r="I30" s="18">
        <f>+AB!I30+EF!I30+EP!I30</f>
        <v>17976</v>
      </c>
      <c r="J30" s="18">
        <f>+AB!J30+EF!J30+EP!J30</f>
        <v>16880</v>
      </c>
      <c r="K30" s="18">
        <f>+AB!K30+EF!K30+EP!K30</f>
        <v>11341</v>
      </c>
      <c r="L30" s="18">
        <f>+AB!L30+EF!L30+EP!L30</f>
        <v>9387</v>
      </c>
      <c r="M30" s="18">
        <f>+AB!M30+EF!M30+EP!M30</f>
        <v>7069</v>
      </c>
      <c r="N30" s="20">
        <f>+AB!N30+EF!N30+EP!N30</f>
        <v>20942</v>
      </c>
    </row>
    <row r="31" spans="2:14" ht="17.45" customHeight="1" x14ac:dyDescent="0.2">
      <c r="B31" s="17">
        <v>1993</v>
      </c>
      <c r="C31" s="18">
        <f>+AB!C31+EF!C31+EP!C31</f>
        <v>102340</v>
      </c>
      <c r="D31" s="18">
        <f>+AB!D31+EF!D31+EP!D31</f>
        <v>102260</v>
      </c>
      <c r="E31" s="18">
        <f>+AB!E31+EF!E31+EP!E31</f>
        <v>149490</v>
      </c>
      <c r="F31" s="18">
        <f>+AB!F31+EF!F31+EP!F31</f>
        <v>147420</v>
      </c>
      <c r="G31" s="18">
        <f>+AB!G31+EF!G31+EP!G31</f>
        <v>138420</v>
      </c>
      <c r="H31" s="18">
        <f>+AB!H31+EF!H31+EP!H31</f>
        <v>128312</v>
      </c>
      <c r="I31" s="18">
        <f>+AB!I31+EF!I31+EP!I31</f>
        <v>113755</v>
      </c>
      <c r="J31" s="18">
        <f>+AB!J31+EF!J31+EP!J31</f>
        <v>99150</v>
      </c>
      <c r="K31" s="18">
        <f>+AB!K31+EF!K31+EP!K31</f>
        <v>84746</v>
      </c>
      <c r="L31" s="18">
        <f>+AB!L31+EF!L31+EP!L31</f>
        <v>71360</v>
      </c>
      <c r="M31" s="18">
        <f>+AB!M31+EF!M31+EP!M31</f>
        <v>61100</v>
      </c>
      <c r="N31" s="20">
        <f>+AB!N31+EF!N31+EP!N31</f>
        <v>73761</v>
      </c>
    </row>
    <row r="32" spans="2:14" s="25" customFormat="1" ht="17.45" customHeight="1" x14ac:dyDescent="0.2">
      <c r="B32" s="22">
        <v>1994</v>
      </c>
      <c r="C32" s="35">
        <f>+AB!C32+EF!C32+EP!C32</f>
        <v>161350</v>
      </c>
      <c r="D32" s="35">
        <f>+AB!D32+EF!D32+EP!D32</f>
        <v>277463</v>
      </c>
      <c r="E32" s="35">
        <f>+AB!E32+EF!E32+EP!E32</f>
        <v>280680</v>
      </c>
      <c r="F32" s="35">
        <f>+AB!F32+EF!F32+EP!F32</f>
        <v>274587</v>
      </c>
      <c r="G32" s="35">
        <f>+AB!G32+EF!G32+EP!G32</f>
        <v>261038</v>
      </c>
      <c r="H32" s="35">
        <f>+AB!H32+EF!H32+EP!H32</f>
        <v>240498</v>
      </c>
      <c r="I32" s="35">
        <f>+AB!I32+EF!I32+EP!I32</f>
        <v>216180</v>
      </c>
      <c r="J32" s="35">
        <f>+AB!J32+EF!J32+EP!J32</f>
        <v>192320</v>
      </c>
      <c r="K32" s="35">
        <f>+AB!K32+EF!K32+EP!K32</f>
        <v>170300</v>
      </c>
      <c r="L32" s="35">
        <f>+AB!L32+EF!L32+EP!L32</f>
        <v>142386</v>
      </c>
      <c r="M32" s="35">
        <f>+AB!M32+EF!M32+EP!M32</f>
        <v>116188</v>
      </c>
      <c r="N32" s="43">
        <f>+AB!N32+EF!N32+EP!N32</f>
        <v>95656</v>
      </c>
    </row>
    <row r="33" spans="1:14" ht="17.45" customHeight="1" x14ac:dyDescent="0.2">
      <c r="B33" s="17">
        <v>1995</v>
      </c>
      <c r="C33" s="34">
        <f>+AB!C33+EF!C33+EP!C33</f>
        <v>94418</v>
      </c>
      <c r="D33" s="34">
        <f>+AB!D33+EF!D33+EP!D33</f>
        <v>98836</v>
      </c>
      <c r="E33" s="34">
        <f>+AB!E33+EF!E33+EP!E33</f>
        <v>165240</v>
      </c>
      <c r="F33" s="34">
        <f>+AB!F33+EF!F33+EP!F33</f>
        <v>161240</v>
      </c>
      <c r="G33" s="34">
        <f>+AB!G33+EF!G33+EP!G33</f>
        <v>141176</v>
      </c>
      <c r="H33" s="34">
        <f>+AB!H33+EF!H33+EP!H33</f>
        <v>124080</v>
      </c>
      <c r="I33" s="34">
        <f>+AB!I33+EF!I33+EP!I33</f>
        <v>106975</v>
      </c>
      <c r="J33" s="34">
        <f>+AB!J33+EF!J33+EP!J33</f>
        <v>88300</v>
      </c>
      <c r="K33" s="34">
        <f>+AB!K33+EF!K33+EP!K33</f>
        <v>70037</v>
      </c>
      <c r="L33" s="34">
        <f>+AB!L33+EF!L33+EP!L33</f>
        <v>48830</v>
      </c>
      <c r="M33" s="34">
        <f>+AB!M33+EF!M33+EP!M33</f>
        <v>33722</v>
      </c>
      <c r="N33" s="36">
        <f>+AB!N33+EF!N33+EP!N33</f>
        <v>16410</v>
      </c>
    </row>
    <row r="34" spans="1:14" ht="17.45" customHeight="1" x14ac:dyDescent="0.2">
      <c r="B34" s="17">
        <v>1996</v>
      </c>
      <c r="C34" s="34">
        <f>+AB!C34+EF!C34+EP!C34</f>
        <v>43340</v>
      </c>
      <c r="D34" s="34">
        <f>+AB!D34+EF!D34+EP!D34</f>
        <v>112355</v>
      </c>
      <c r="E34" s="34">
        <f>+AB!E34+EF!E34+EP!E34</f>
        <v>126610</v>
      </c>
      <c r="F34" s="34">
        <f>+AB!F34+EF!F34+EP!F34</f>
        <v>145610</v>
      </c>
      <c r="G34" s="34">
        <f>+AB!G34+EF!G34+EP!G34</f>
        <v>146400</v>
      </c>
      <c r="H34" s="34">
        <f>+AB!H34+EF!H34+EP!H34</f>
        <v>136560</v>
      </c>
      <c r="I34" s="34">
        <f>+AB!I34+EF!I34+EP!I34</f>
        <v>124700</v>
      </c>
      <c r="J34" s="34">
        <f>+AB!J34+EF!J34+EP!J34</f>
        <v>111180</v>
      </c>
      <c r="K34" s="34">
        <f>+AB!K34+EF!K34+EP!K34</f>
        <v>95820</v>
      </c>
      <c r="L34" s="34">
        <f>+AB!L34+EF!L34+EP!L34</f>
        <v>79380</v>
      </c>
      <c r="M34" s="34">
        <f>+AB!M34+EF!M34+EP!M34</f>
        <v>65180</v>
      </c>
      <c r="N34" s="36">
        <f>+AB!N34+EF!N34+EP!N34</f>
        <v>65136</v>
      </c>
    </row>
    <row r="35" spans="1:14" ht="17.45" customHeight="1" x14ac:dyDescent="0.2">
      <c r="B35" s="17">
        <v>1997</v>
      </c>
      <c r="C35" s="34">
        <f>+AB!C35+EF!C35+EP!C35</f>
        <v>110460</v>
      </c>
      <c r="D35" s="34">
        <f>+AB!D35+EF!D35+EP!D35</f>
        <v>217435</v>
      </c>
      <c r="E35" s="34">
        <f>+AB!E35+EF!E35+EP!E35</f>
        <v>236660</v>
      </c>
      <c r="F35" s="34">
        <f>+AB!F35+EF!F35+EP!F35</f>
        <v>239460</v>
      </c>
      <c r="G35" s="34">
        <f>+AB!G35+EF!G35+EP!G35</f>
        <v>222600</v>
      </c>
      <c r="H35" s="34">
        <f>+AB!H35+EF!H35+EP!H35</f>
        <v>206430</v>
      </c>
      <c r="I35" s="34">
        <f>+AB!I35+EF!I35+EP!I35</f>
        <v>196804</v>
      </c>
      <c r="J35" s="34">
        <f>+AB!J35+EF!J35+EP!J35</f>
        <v>187376</v>
      </c>
      <c r="K35" s="34">
        <f>+AB!K35+EF!K35+EP!K35</f>
        <v>174916</v>
      </c>
      <c r="L35" s="34">
        <f>+AB!L35+EF!L35+EP!L35</f>
        <v>157612</v>
      </c>
      <c r="M35" s="34">
        <f>+AB!M35+EF!M35+EP!M35</f>
        <v>147784</v>
      </c>
      <c r="N35" s="36">
        <f>+AB!N35+EF!N35+EP!N35</f>
        <v>142992</v>
      </c>
    </row>
    <row r="36" spans="1:14" ht="17.45" customHeight="1" x14ac:dyDescent="0.2">
      <c r="B36" s="17">
        <v>1998</v>
      </c>
      <c r="C36" s="34">
        <f>+AB!C36+EF!C36+EP!C36</f>
        <v>196540</v>
      </c>
      <c r="D36" s="34">
        <f>+AB!D36+EF!D36+EP!D36</f>
        <v>242880</v>
      </c>
      <c r="E36" s="34">
        <f>+AB!E36+EF!E36+EP!E36</f>
        <v>240134</v>
      </c>
      <c r="F36" s="34">
        <f>+AB!F36+EF!F36+EP!F36</f>
        <v>224740</v>
      </c>
      <c r="G36" s="34">
        <f>+AB!G36+EF!G36+EP!G36</f>
        <v>209140</v>
      </c>
      <c r="H36" s="34">
        <f>+AB!H36+EF!H36+EP!H36</f>
        <v>195420</v>
      </c>
      <c r="I36" s="34">
        <f>+AB!I36+EF!I36+EP!I36</f>
        <v>181380</v>
      </c>
      <c r="J36" s="34">
        <f>+AB!J36+EF!J36+EP!J36</f>
        <v>161670</v>
      </c>
      <c r="K36" s="34">
        <f>+AB!K36+EF!K36+EP!K36</f>
        <v>139300</v>
      </c>
      <c r="L36" s="34">
        <f>+AB!L36+EF!L36+EP!L36</f>
        <v>116122</v>
      </c>
      <c r="M36" s="34">
        <f>+AB!M36+EF!M36+EP!M36</f>
        <v>94156</v>
      </c>
      <c r="N36" s="36">
        <f>+AB!N36+EF!N36+EP!N36</f>
        <v>78242</v>
      </c>
    </row>
    <row r="37" spans="1:14" ht="17.45" customHeight="1" x14ac:dyDescent="0.2">
      <c r="B37" s="17">
        <v>1999</v>
      </c>
      <c r="C37" s="34">
        <f>+AB!C37+EF!C37+EP!C37</f>
        <v>56070</v>
      </c>
      <c r="D37" s="34">
        <f>+AB!D37+EF!D37+EP!D37</f>
        <v>170448</v>
      </c>
      <c r="E37" s="34">
        <f>+AB!E37+EF!E37+EP!E37</f>
        <v>276783</v>
      </c>
      <c r="F37" s="34">
        <f>+AB!F37+EF!F37+EP!F37</f>
        <v>293257.06700000004</v>
      </c>
      <c r="G37" s="34">
        <f>+AB!G37+EF!G37+EP!G37</f>
        <v>280213.45999999996</v>
      </c>
      <c r="H37" s="34">
        <f>+AB!H37+EF!H37+EP!H37</f>
        <v>268619</v>
      </c>
      <c r="I37" s="34">
        <f>+AB!I37+EF!I37+EP!I37</f>
        <v>255812.66800000001</v>
      </c>
      <c r="J37" s="34">
        <f>+AB!J37+EF!J37+EP!J37</f>
        <v>235050.046</v>
      </c>
      <c r="K37" s="34">
        <f>+AB!K37+EF!K37+EP!K37</f>
        <v>210512.7</v>
      </c>
      <c r="L37" s="34">
        <f>+AB!L37+EF!L37+EP!L37</f>
        <v>192953.845</v>
      </c>
      <c r="M37" s="34">
        <f>+AB!M37+EF!M37+EP!M37</f>
        <v>164448.6</v>
      </c>
      <c r="N37" s="36">
        <f>+AB!N37+EF!N37+EP!N37</f>
        <v>137589.21299999999</v>
      </c>
    </row>
    <row r="38" spans="1:14" ht="17.45" customHeight="1" x14ac:dyDescent="0.2">
      <c r="B38" s="17">
        <v>2000</v>
      </c>
      <c r="C38" s="34">
        <f>+AB!C38+EF!C38+EP!C38</f>
        <v>183143.45199999999</v>
      </c>
      <c r="D38" s="34">
        <f>+AB!D38+EF!D38+EP!D38</f>
        <v>263850.3</v>
      </c>
      <c r="E38" s="34">
        <f>+AB!E38+EF!E38+EP!E38</f>
        <v>276019.337</v>
      </c>
      <c r="F38" s="34">
        <f>+AB!F38+EF!F38+EP!F38</f>
        <v>254825.29300000001</v>
      </c>
      <c r="G38" s="34">
        <f>+AB!G38+EF!G38+EP!G38</f>
        <v>241985.3</v>
      </c>
      <c r="H38" s="34">
        <f>+AB!H38+EF!H38+EP!H38</f>
        <v>224413.50599999999</v>
      </c>
      <c r="I38" s="34">
        <f>+AB!I38+EF!I38+EP!I38</f>
        <v>210190.03599999999</v>
      </c>
      <c r="J38" s="34">
        <f>+AB!J38+EF!J38+EP!J38</f>
        <v>191420.524</v>
      </c>
      <c r="K38" s="34">
        <f>+AB!K38+EF!K38+EP!K38</f>
        <v>166899.6</v>
      </c>
      <c r="L38" s="34">
        <f>+AB!L38+EF!L38+EP!L38</f>
        <v>144633.78</v>
      </c>
      <c r="M38" s="34">
        <f>+AB!M38+EF!M38+EP!M38</f>
        <v>115898.25599999999</v>
      </c>
      <c r="N38" s="36">
        <f>+AB!N38+EF!N38+EP!N38</f>
        <v>94211.271000000008</v>
      </c>
    </row>
    <row r="39" spans="1:14" ht="17.45" customHeight="1" x14ac:dyDescent="0.2">
      <c r="B39" s="17">
        <v>2001</v>
      </c>
      <c r="C39" s="34">
        <f>+AB!C39+EF!C39+EP!C39</f>
        <v>168745</v>
      </c>
      <c r="D39" s="34">
        <f>+AB!D39+EF!D39+EP!D39</f>
        <v>271896.81799999997</v>
      </c>
      <c r="E39" s="34">
        <f>+AB!E39+EF!E39+EP!E39</f>
        <v>286712.97400000005</v>
      </c>
      <c r="F39" s="34">
        <f>+AB!F39+EF!F39+EP!F39</f>
        <v>270016.163</v>
      </c>
      <c r="G39" s="34">
        <f>+AB!G39+EF!G39+EP!G39</f>
        <v>239518.17300000001</v>
      </c>
      <c r="H39" s="34">
        <f>+AB!H39+EF!H39+EP!H39</f>
        <v>216603.29</v>
      </c>
      <c r="I39" s="34">
        <f>+AB!I39+EF!I39+EP!I39</f>
        <v>187195.06599999999</v>
      </c>
      <c r="J39" s="34">
        <f>+AB!J39+EF!J39+EP!J39</f>
        <v>160218.43799999999</v>
      </c>
      <c r="K39" s="34">
        <f>+AB!K39+EF!K39+EP!K39</f>
        <v>129657.83900000001</v>
      </c>
      <c r="L39" s="34">
        <f>+AB!L39+EF!L39+EP!L39</f>
        <v>112620</v>
      </c>
      <c r="M39" s="34">
        <f>+AB!M39+EF!M39+EP!M39</f>
        <v>93020</v>
      </c>
      <c r="N39" s="36">
        <f>+AB!N39+EF!N39+EP!N39</f>
        <v>73520</v>
      </c>
    </row>
    <row r="40" spans="1:14" ht="17.45" customHeight="1" x14ac:dyDescent="0.2">
      <c r="B40" s="17">
        <v>2002</v>
      </c>
      <c r="C40" s="34">
        <f>+AB!C40+EF!C40+EP!C40</f>
        <v>66546.404999999999</v>
      </c>
      <c r="D40" s="34">
        <f>+AB!D40+EF!D40+EP!D40</f>
        <v>171115.8</v>
      </c>
      <c r="E40" s="34">
        <f>+AB!E40+EF!E40+EP!E40</f>
        <v>262120</v>
      </c>
      <c r="F40" s="34">
        <f>+AB!F40+EF!F40+EP!F40</f>
        <v>281759.44099999999</v>
      </c>
      <c r="G40" s="34">
        <f>+AB!G40+EF!G40+EP!G40</f>
        <v>276069.08400000003</v>
      </c>
      <c r="H40" s="34">
        <f>+AB!H40+EF!H40+EP!H40</f>
        <v>262946.91599999997</v>
      </c>
      <c r="I40" s="34">
        <f>+AB!I40+EF!I40+EP!I40</f>
        <v>262160.38400000002</v>
      </c>
      <c r="J40" s="34">
        <f>+AB!J40+EF!J40+EP!J40</f>
        <v>253464.00400000002</v>
      </c>
      <c r="K40" s="34">
        <f>+AB!K40+EF!K40+EP!K40</f>
        <v>233151.93700000001</v>
      </c>
      <c r="L40" s="34">
        <f>+AB!L40+EF!L40+EP!L40</f>
        <v>214172.35800000001</v>
      </c>
      <c r="M40" s="34">
        <f>+AB!M40+EF!M40+EP!M40</f>
        <v>197839.24800000002</v>
      </c>
      <c r="N40" s="36">
        <f>+AB!N40+EF!N40+EP!N40</f>
        <v>191539.09899999999</v>
      </c>
    </row>
    <row r="41" spans="1:14" ht="17.45" customHeight="1" x14ac:dyDescent="0.2">
      <c r="B41" s="17">
        <v>2003</v>
      </c>
      <c r="C41" s="34">
        <f>+AB!C41+EF!C41+EP!C41</f>
        <v>205878.51500000001</v>
      </c>
      <c r="D41" s="34">
        <f>+AB!D41+EF!D41+EP!D41</f>
        <v>241843.84100000001</v>
      </c>
      <c r="E41" s="34">
        <f>+AB!E41+EF!E41+EP!E41</f>
        <v>276177.5</v>
      </c>
      <c r="F41" s="34">
        <f>+AB!F41+EF!F41+EP!F41</f>
        <v>266588.75299999997</v>
      </c>
      <c r="G41" s="34">
        <f>+AB!G41+EF!G41+EP!G41</f>
        <v>249411.37599999999</v>
      </c>
      <c r="H41" s="34">
        <f>+AB!H41+EF!H41+EP!H41</f>
        <v>232790.80100000001</v>
      </c>
      <c r="I41" s="34">
        <f>+AB!I41+EF!I41+EP!I41</f>
        <v>217268.12099999998</v>
      </c>
      <c r="J41" s="34">
        <f>+AB!J41+EF!J41+EP!J41</f>
        <v>198157.364</v>
      </c>
      <c r="K41" s="34">
        <f>+AB!K41+EF!K41+EP!K41</f>
        <v>176988.65299999999</v>
      </c>
      <c r="L41" s="34">
        <f>+AB!L41+EF!L41+EP!L41</f>
        <v>157013.505</v>
      </c>
      <c r="M41" s="34">
        <f>+AB!M41+EF!M41+EP!M41</f>
        <v>129692.56600000001</v>
      </c>
      <c r="N41" s="36">
        <f>+AB!N41+EF!N41+EP!N41</f>
        <v>116592.22500000001</v>
      </c>
    </row>
    <row r="42" spans="1:14" ht="17.45" customHeight="1" x14ac:dyDescent="0.2">
      <c r="B42" s="17">
        <v>2004</v>
      </c>
      <c r="C42" s="34">
        <f>+AB!C42+EF!C42+EP!C42</f>
        <v>151820.321</v>
      </c>
      <c r="D42" s="34">
        <f>+AB!D42+EF!D42+EP!D42</f>
        <v>207780.40700000001</v>
      </c>
      <c r="E42" s="34">
        <f>+AB!E42+EF!E42+EP!E42</f>
        <v>221356.09100000001</v>
      </c>
      <c r="F42" s="34">
        <f>+AB!F42+EF!F42+EP!F42</f>
        <v>232208.02300000002</v>
      </c>
      <c r="G42" s="34">
        <f>+AB!G42+EF!G42+EP!G42</f>
        <v>217938.53200000001</v>
      </c>
      <c r="H42" s="34">
        <f>+AB!H42+EF!H42+EP!H42</f>
        <v>201609.40099999998</v>
      </c>
      <c r="I42" s="34">
        <f>+AB!I42+EF!I42+EP!I42</f>
        <v>185239.027</v>
      </c>
      <c r="J42" s="34">
        <f>+AB!J42+EF!J42+EP!J42</f>
        <v>166134.48499999999</v>
      </c>
      <c r="K42" s="34">
        <f>+AB!K42+EF!K42+EP!K42</f>
        <v>145121.986</v>
      </c>
      <c r="L42" s="34">
        <f>+AB!L42+EF!L42+EP!L42</f>
        <v>123100.936</v>
      </c>
      <c r="M42" s="34">
        <f>+AB!M42+EF!M42+EP!M42</f>
        <v>99842.301000000007</v>
      </c>
      <c r="N42" s="36">
        <f>+AB!N42+EF!N42+EP!N42</f>
        <v>77153.351999999999</v>
      </c>
    </row>
    <row r="43" spans="1:14" ht="17.45" customHeight="1" x14ac:dyDescent="0.2">
      <c r="B43" s="17">
        <v>2005</v>
      </c>
      <c r="C43" s="34">
        <f>+AB!C43+EF!C43+EP!C43</f>
        <v>69576.036999999997</v>
      </c>
      <c r="D43" s="34">
        <f>+AB!D43+EF!D43+EP!D43</f>
        <v>140218.59700000001</v>
      </c>
      <c r="E43" s="34">
        <f>+AB!E43+EF!E43+EP!E43</f>
        <v>154457.86300000001</v>
      </c>
      <c r="F43" s="34">
        <f>+AB!F43+EF!F43+EP!F43</f>
        <v>161912.133</v>
      </c>
      <c r="G43" s="34">
        <f>+AB!G43+EF!G43+EP!G43</f>
        <v>147453.39500000002</v>
      </c>
      <c r="H43" s="34">
        <f>+AB!H43+EF!H43+EP!H43</f>
        <v>135190.00599999999</v>
      </c>
      <c r="I43" s="34">
        <f>+AB!I43+EF!I43+EP!I43</f>
        <v>124175.92499999999</v>
      </c>
      <c r="J43" s="34">
        <f>+AB!J43+EF!J43+EP!J43</f>
        <v>113024.591</v>
      </c>
      <c r="K43" s="34">
        <f>+AB!K43+EF!K43+EP!K43</f>
        <v>103003.65299999999</v>
      </c>
      <c r="L43" s="34">
        <f>+AB!L43+EF!L43+EP!L43</f>
        <v>88172.293000000005</v>
      </c>
      <c r="M43" s="34">
        <f>+AB!M43+EF!M43+EP!M43</f>
        <v>72732.995999999999</v>
      </c>
      <c r="N43" s="36">
        <f>+AB!N43+EF!N43+EP!N43</f>
        <v>64023.584999999999</v>
      </c>
    </row>
    <row r="44" spans="1:14" ht="17.45" customHeight="1" x14ac:dyDescent="0.2">
      <c r="A44" s="4" t="s">
        <v>31</v>
      </c>
      <c r="B44" s="17">
        <v>2006</v>
      </c>
      <c r="C44" s="34">
        <f>+AB!C44+EF!C44+EP!C44+PI!C44</f>
        <v>128553.681</v>
      </c>
      <c r="D44" s="34">
        <f>+AB!D44+EF!D44+EP!D44+PI!D44</f>
        <v>220980.19999999998</v>
      </c>
      <c r="E44" s="34">
        <f>+AB!E44+EF!E44+EP!E44+PI!E44</f>
        <v>325479.272</v>
      </c>
      <c r="F44" s="34">
        <f>+AB!F44+EF!F44+EP!F44+PI!F44</f>
        <v>327506.08399999997</v>
      </c>
      <c r="G44" s="34">
        <f>+AB!G44+EF!G44+EP!G44+PI!G44</f>
        <v>310295.98151000001</v>
      </c>
      <c r="H44" s="34">
        <f>+AB!H44+EF!H44+EP!H44+PI!H44</f>
        <v>294366.56800000003</v>
      </c>
      <c r="I44" s="34">
        <f>+AB!I44+EF!I44+EP!I44+PI!I44</f>
        <v>273718.03168000001</v>
      </c>
      <c r="J44" s="34">
        <f>+AB!J44+EF!J44+EP!J44+PI!J44</f>
        <v>249124.60425</v>
      </c>
      <c r="K44" s="34">
        <f>+AB!K44+EF!K44+EP!K44+PI!K44</f>
        <v>223394.016</v>
      </c>
      <c r="L44" s="34">
        <f>+AB!L44+EF!L44+EP!L44+PI!L44</f>
        <v>195877.00567000001</v>
      </c>
      <c r="M44" s="34">
        <f>+AB!M44+EF!M44+EP!M44+PI!M44</f>
        <v>169698.95629999999</v>
      </c>
      <c r="N44" s="36">
        <f>+AB!N44+EF!N44+EP!N44+PI!N44</f>
        <v>147725.413</v>
      </c>
    </row>
    <row r="45" spans="1:14" ht="17.45" customHeight="1" x14ac:dyDescent="0.2">
      <c r="B45" s="17">
        <v>2007</v>
      </c>
      <c r="C45" s="34">
        <f>+AB!C45+EF!C45+EP!C45+PI!C45</f>
        <v>181885.34930435129</v>
      </c>
      <c r="D45" s="34">
        <f>+AB!D45+EF!D45+EP!D45+PI!D45</f>
        <v>211765.57418000003</v>
      </c>
      <c r="E45" s="34">
        <f>+AB!E45+EF!E45+EP!E45+PI!E45</f>
        <v>303355.91100000002</v>
      </c>
      <c r="F45" s="34">
        <f>+AB!F45+EF!F45+EP!F45+PI!F45</f>
        <v>311633.96600000001</v>
      </c>
      <c r="G45" s="34">
        <f>+AB!G45+EF!G45+EP!G45+PI!G45</f>
        <v>293759.6339472027</v>
      </c>
      <c r="H45" s="34">
        <f>+AB!H45+EF!H45+EP!H45+PI!H45</f>
        <v>271101.908</v>
      </c>
      <c r="I45" s="34">
        <f>+AB!I45+EF!I45+EP!I45+PI!I45</f>
        <v>247682.49100000001</v>
      </c>
      <c r="J45" s="34">
        <f>+AB!J45+EF!J45+EP!J45+PI!J45</f>
        <v>222780.44050000003</v>
      </c>
      <c r="K45" s="34">
        <f>+AB!K45+EF!K45+EP!K45+PI!K45</f>
        <v>198035.55</v>
      </c>
      <c r="L45" s="34">
        <f>+AB!L45+EF!L45+EP!L45+PI!L45</f>
        <v>171598.78205000001</v>
      </c>
      <c r="M45" s="34">
        <f>+AB!M45+EF!M45+EP!M45+PI!M45</f>
        <v>139118.64522000001</v>
      </c>
      <c r="N45" s="36">
        <f>+AB!N45+EF!N45+EP!N45+PI!N45</f>
        <v>114652.67095</v>
      </c>
    </row>
    <row r="46" spans="1:14" ht="17.45" customHeight="1" x14ac:dyDescent="0.2">
      <c r="B46" s="17">
        <v>2008</v>
      </c>
      <c r="C46" s="34">
        <f>+AB!C46+EF!C46+EP!C46+PI!C46</f>
        <v>183662.47200000001</v>
      </c>
      <c r="D46" s="34">
        <f>+AB!D46+EF!D46+EP!D46+PI!D46</f>
        <v>216896.98500000002</v>
      </c>
      <c r="E46" s="34">
        <f>+AB!E46+EF!E46+EP!E46+PI!E46</f>
        <v>227522.367</v>
      </c>
      <c r="F46" s="34">
        <f>+AB!F46+EF!F46+EP!F46+PI!F46</f>
        <v>212307.28399999999</v>
      </c>
      <c r="G46" s="34">
        <f>+AB!G46+EF!G46+EP!G46+PI!G46</f>
        <v>193508.77000000002</v>
      </c>
      <c r="H46" s="34">
        <f>+AB!H46+EF!H46+EP!H46+PI!H46</f>
        <v>176336.823</v>
      </c>
      <c r="I46" s="34">
        <f>+AB!I46+EF!I46+EP!I46+PI!I46</f>
        <v>156975.43600000002</v>
      </c>
      <c r="J46" s="34">
        <f>+AB!J46+EF!J46+EP!J46+PI!J46</f>
        <v>137592.09099999999</v>
      </c>
      <c r="K46" s="34">
        <f>+AB!K46+EF!K46+EP!K46+PI!K46</f>
        <v>114085.481</v>
      </c>
      <c r="L46" s="34">
        <f>+AB!L46+EF!L46+EP!L46+PI!L46</f>
        <v>95592.91399999999</v>
      </c>
      <c r="M46" s="34">
        <f>+AB!M46+EF!M46+EP!M46+PI!M46</f>
        <v>75128.47099999999</v>
      </c>
      <c r="N46" s="36">
        <f>+AB!N46+EF!N46+EP!N46+PI!N46</f>
        <v>62049.915000000001</v>
      </c>
    </row>
    <row r="47" spans="1:14" ht="17.45" customHeight="1" x14ac:dyDescent="0.2">
      <c r="A47" s="4" t="s">
        <v>33</v>
      </c>
      <c r="B47" s="17">
        <v>2009</v>
      </c>
      <c r="C47" s="34">
        <f>+AB!C47+EF!C47+EP!C47+PI!C47+CH!C47+BA!C47</f>
        <v>68187.105052759915</v>
      </c>
      <c r="D47" s="34">
        <f>+AB!D47+EF!D47+EP!D47+PI!D47+CH!D47+BA!D47</f>
        <v>121563.92796708965</v>
      </c>
      <c r="E47" s="34">
        <f>+AB!E47+EF!E47+EP!E47+PI!E47+CH!E47+BA!E47</f>
        <v>208512.00494743694</v>
      </c>
      <c r="F47" s="34">
        <f>+AB!F47+EF!F47+EP!F47+PI!F47+CH!F47+BA!F47</f>
        <v>224517.88749728128</v>
      </c>
      <c r="G47" s="34">
        <f>+AB!G47+EF!G47+EP!G47+PI!G47+CH!G47+BA!G47</f>
        <v>208792.91200000301</v>
      </c>
      <c r="H47" s="34">
        <f>+AB!H47+EF!H47+EP!H47+PI!H47+CH!H47+BA!H47</f>
        <v>192084.69213032126</v>
      </c>
      <c r="I47" s="34">
        <f>+AB!I47+EF!I47+EP!I47+PI!I47+CH!I47+BA!I47</f>
        <v>179353.47700000083</v>
      </c>
      <c r="J47" s="34">
        <f>+AB!J47+EF!J47+EP!J47+PI!J47+CH!J47+BA!J47</f>
        <v>163021.25738004415</v>
      </c>
      <c r="K47" s="34">
        <f>+AB!K47+EF!K47+EP!K47+PI!K47+CH!K47+BA!K47</f>
        <v>145007.3878870011</v>
      </c>
      <c r="L47" s="34">
        <f>+AB!L47+EF!L47+EP!L47+PI!L47+CH!L47+BA!L47</f>
        <v>126304.1403543591</v>
      </c>
      <c r="M47" s="34">
        <f>+AB!M47+EF!M47+EP!M47+PI!M47+CH!M47+BA!M47</f>
        <v>114413.64645139835</v>
      </c>
      <c r="N47" s="36">
        <f>+AB!N47+EF!N47+EP!N47+PI!N47+CH!N47+BA!N47</f>
        <v>109641.6938840349</v>
      </c>
    </row>
    <row r="48" spans="1:14" ht="17.45" customHeight="1" x14ac:dyDescent="0.2">
      <c r="A48" s="4" t="s">
        <v>32</v>
      </c>
      <c r="B48" s="17">
        <v>2010</v>
      </c>
      <c r="C48" s="34">
        <f>+AB!C48+EF!C48+EP!C48+PI!C48+CH!C48+BA!C48</f>
        <v>170963.68273398661</v>
      </c>
      <c r="D48" s="34">
        <f>+AB!D48+EF!D48+EP!D48+PI!D48+CH!D48+BA!D48</f>
        <v>269181.13925575651</v>
      </c>
      <c r="E48" s="34">
        <f>+AB!E48+EF!E48+EP!E48+PI!E48+CH!E48+BA!E48</f>
        <v>310364.53245338367</v>
      </c>
      <c r="F48" s="34">
        <f>+AB!F48+EF!F48+EP!F48+PI!F48+CH!F48+BA!F48</f>
        <v>304106.84574905358</v>
      </c>
      <c r="G48" s="34">
        <f>+AB!G48+EF!G48+EP!G48+PI!G48+CH!G48+BA!G48</f>
        <v>281524.93552591774</v>
      </c>
      <c r="H48" s="34">
        <f>+AB!H48+EF!H48+EP!H48+PI!H48+CH!H48+BA!H48</f>
        <v>260566.21389214002</v>
      </c>
      <c r="I48" s="34">
        <f>+AB!I48+EF!I48+EP!I48+PI!I48+CH!I48+BA!I48</f>
        <v>239860.07150466091</v>
      </c>
      <c r="J48" s="34">
        <f>+AB!J48+EF!J48+EP!J48+PI!J48+CH!J48+BA!J48</f>
        <v>216424.75595774094</v>
      </c>
      <c r="K48" s="34">
        <f>+AB!K48+EF!K48+EP!K48+PI!K48+CH!K48+BA!K48</f>
        <v>192593.06843387417</v>
      </c>
      <c r="L48" s="34">
        <f>+AB!L48+EF!L48+EP!L48+PI!L48+CH!L48+BA!L48</f>
        <v>166442.16273269511</v>
      </c>
      <c r="M48" s="34">
        <f>+AB!M48+EF!M48+EP!M48+PI!M48+CH!M48+BA!M48</f>
        <v>137804.09758646582</v>
      </c>
      <c r="N48" s="36">
        <f>+AB!N48+EF!N48+EP!N48+PI!N48+CH!N48+BA!N48</f>
        <v>135044.14453005436</v>
      </c>
    </row>
    <row r="49" spans="2:14" ht="17.45" customHeight="1" x14ac:dyDescent="0.2">
      <c r="B49" s="17">
        <v>2011</v>
      </c>
      <c r="C49" s="34">
        <f>+AB!C49+EF!C49+EP!C49+PI!C49+CH!C49+BA!C49</f>
        <v>164989.92567623808</v>
      </c>
      <c r="D49" s="34">
        <f>+AB!D49+EF!D49+EP!D49+PI!D49+CH!D49+BA!D49</f>
        <v>358363.37400059815</v>
      </c>
      <c r="E49" s="34">
        <f>+AB!E49+EF!E49+EP!E49+PI!E49+CH!E49+BA!E49</f>
        <v>399631.3615316379</v>
      </c>
      <c r="F49" s="34">
        <f>+AB!F49+EF!F49+EP!F49+PI!F49+CH!F49+BA!F49</f>
        <v>401024.1836947634</v>
      </c>
      <c r="G49" s="34">
        <f>+AB!G49+EF!G49+EP!G49+PI!G49+CH!G49+BA!G49</f>
        <v>380611.30788965337</v>
      </c>
      <c r="H49" s="34">
        <f>+AB!H49+EF!H49+EP!H49+PI!H49+CH!H49+BA!H49</f>
        <v>356403.4355063134</v>
      </c>
      <c r="I49" s="34">
        <f>+AB!I49+EF!I49+EP!I49+PI!I49+CH!I49+BA!I49</f>
        <v>328792.43657187547</v>
      </c>
      <c r="J49" s="34">
        <f>+AB!J49+EF!J49+EP!J49+PI!J49+CH!J49+BA!J49</f>
        <v>299191.0521791153</v>
      </c>
      <c r="K49" s="34">
        <f>+AB!K49+EF!K49+EP!K49+PI!K49+CH!K49+BA!K49</f>
        <v>270349.71122509975</v>
      </c>
      <c r="L49" s="34">
        <f>+AB!L49+EF!L49+EP!L49+PI!L49+CH!L49+BA!L49</f>
        <v>232613.36962708546</v>
      </c>
      <c r="M49" s="34">
        <f>+AB!M49+EF!M49+EP!M49+PI!M49+CH!M49+BA!M49</f>
        <v>203004.36964717016</v>
      </c>
      <c r="N49" s="36">
        <f>+AB!N49+EF!N49+EP!N49+PI!N49+CH!N49+BA!N49</f>
        <v>213046.98209284974</v>
      </c>
    </row>
    <row r="50" spans="2:14" ht="17.45" customHeight="1" x14ac:dyDescent="0.2">
      <c r="B50" s="17">
        <v>2012</v>
      </c>
      <c r="C50" s="34">
        <f>+AB!C50+EF!C50+EP!C50+PI!C50+CH!C50+BA!C50</f>
        <v>317344.13809889153</v>
      </c>
      <c r="D50" s="34">
        <f>+AB!D50+EF!D50+EP!D50+PI!D50+CH!D50+BA!D50</f>
        <v>369298.06469828589</v>
      </c>
      <c r="E50" s="34">
        <f>+AB!E50+EF!E50+EP!E50+PI!E50+CH!E50+BA!E50</f>
        <v>382344.41886238288</v>
      </c>
      <c r="F50" s="34">
        <f>+AB!F50+EF!F50+EP!F50+PI!F50+CH!F50+BA!F50</f>
        <v>403123.25061198918</v>
      </c>
      <c r="G50" s="34">
        <f>+AB!G50+EF!G50+EP!G50+PI!G50+CH!G50+BA!G50</f>
        <v>388876.04426640872</v>
      </c>
      <c r="H50" s="34">
        <f>+AB!H50+EF!H50+EP!H50+PI!H50+CH!H50+BA!H50</f>
        <v>370611.12625107757</v>
      </c>
      <c r="I50" s="34">
        <f>+AB!I50+EF!I50+EP!I50+PI!I50+CH!I50+BA!I50</f>
        <v>347924.37838088576</v>
      </c>
      <c r="J50" s="34">
        <f>+AB!J50+EF!J50+EP!J50+PI!J50+CH!J50+BA!J50</f>
        <v>322104.72555908095</v>
      </c>
      <c r="K50" s="34">
        <f>+AB!K50+EF!K50+EP!K50+PI!K50+CH!K50+BA!K50</f>
        <v>293567.95841229794</v>
      </c>
      <c r="L50" s="34">
        <f>+AB!L50+EF!L50+EP!L50+PI!L50+CH!L50+BA!L50</f>
        <v>259870.24103974178</v>
      </c>
      <c r="M50" s="34">
        <f>+AB!M50+EF!M50+EP!M50+PI!M50+CH!M50+BA!M50</f>
        <v>226208.76462764025</v>
      </c>
      <c r="N50" s="36">
        <f>+AB!N50+EF!N50+EP!N50+PI!N50+CH!N50+BA!N50</f>
        <v>254658.07062948617</v>
      </c>
    </row>
    <row r="51" spans="2:14" ht="17.45" customHeight="1" x14ac:dyDescent="0.2">
      <c r="B51" s="17">
        <v>2013</v>
      </c>
      <c r="C51" s="34">
        <f>+AB!C51+EF!C51+EP!C51+PI!C51+CH!C51+BA!C51</f>
        <v>317772.93000931176</v>
      </c>
      <c r="D51" s="34">
        <f>+AB!D51+EF!D51+EP!D51+PI!D51+CH!D51+BA!D51</f>
        <v>358743.72540318751</v>
      </c>
      <c r="E51" s="34">
        <f>+AB!E51+EF!E51+EP!E51+PI!E51+CH!E51+BA!E51</f>
        <v>387630.52253668883</v>
      </c>
      <c r="F51" s="34">
        <f>+AB!F51+EF!F51+EP!F51+PI!F51+CH!F51+BA!F51</f>
        <v>358190.26407786575</v>
      </c>
      <c r="G51" s="34">
        <f>+AB!G51+EF!G51+EP!G51+PI!G51+CH!G51+BA!G51</f>
        <v>340279.9139754959</v>
      </c>
      <c r="H51" s="34">
        <f>+AB!H51+EF!H51+EP!H51+PI!H51+CH!H51+BA!H51</f>
        <v>317780.11365945602</v>
      </c>
      <c r="I51" s="34">
        <f>+AB!I51+EF!I51+EP!I51+PI!I51+CH!I51+BA!I51</f>
        <v>292839.23197265866</v>
      </c>
      <c r="J51" s="34">
        <f>+AB!J51+EF!J51+EP!J51+PI!J51+CH!J51+BA!J51</f>
        <v>263489.68937839312</v>
      </c>
      <c r="K51" s="34">
        <f>+AB!K51+EF!K51+EP!K51+PI!K51+CH!K51+BA!K51</f>
        <v>235808.87612607889</v>
      </c>
      <c r="L51" s="34">
        <f>+AB!L51+EF!L51+EP!L51+PI!L51+CH!L51+BA!L51</f>
        <v>207669.84891759511</v>
      </c>
      <c r="M51" s="34">
        <f>+AB!M51+EF!M51+EP!M51+PI!M51+CH!M51+BA!M51</f>
        <v>177091.82796033102</v>
      </c>
      <c r="N51" s="36">
        <f>+AB!N51+EF!N51+EP!N51+PI!N51+CH!N51+BA!N51</f>
        <v>162251.49581275479</v>
      </c>
    </row>
    <row r="52" spans="2:14" ht="17.45" customHeight="1" x14ac:dyDescent="0.2">
      <c r="B52" s="17">
        <v>2014</v>
      </c>
      <c r="C52" s="34">
        <f>+AB!C52+EF!C52+EP!C52+PI!C52+CH!C52+BA!C52</f>
        <v>232044.291694479</v>
      </c>
      <c r="D52" s="34">
        <f>+AB!D52+EF!D52+EP!D52+PI!D52+CH!D52+BA!D52</f>
        <v>220413.52480288761</v>
      </c>
      <c r="E52" s="34">
        <f>+AB!E52+EF!E52+EP!E52+PI!E52+CH!E52+BA!E52</f>
        <v>221688.1352089954</v>
      </c>
      <c r="F52" s="34">
        <f>+AB!F52+EF!F52+EP!F52+PI!F52+CH!F52+BA!F52</f>
        <v>218503.71315113729</v>
      </c>
      <c r="G52" s="34">
        <f>+AB!G52+EF!G52+EP!G52+PI!G52+CH!G52+BA!G52</f>
        <v>203282.99260828266</v>
      </c>
      <c r="H52" s="34">
        <f>+AB!H52+EF!H52+EP!H52+PI!H52+CH!H52+BA!H52</f>
        <v>192281.33969660944</v>
      </c>
      <c r="I52" s="34">
        <f>+AB!I52+EF!I52+EP!I52+PI!I52+CH!I52+BA!I52</f>
        <v>175599.28462048899</v>
      </c>
      <c r="J52" s="34">
        <f>+AB!J52+EF!J52+EP!J52+PI!J52+CH!J52+BA!J52</f>
        <v>149516.16591824475</v>
      </c>
      <c r="K52" s="34">
        <f>+AB!K52+EF!K52+EP!K52+PI!K52+CH!K52+BA!K52</f>
        <v>132913.64476571241</v>
      </c>
      <c r="L52" s="34">
        <f>+AB!L52+EF!L52+EP!L52+PI!L52+CH!L52+BA!L52</f>
        <v>112508.91312476835</v>
      </c>
      <c r="M52" s="34">
        <f>+AB!M52+EF!M52+EP!M52+PI!M52+CH!M52+BA!M52</f>
        <v>91653.983270718483</v>
      </c>
      <c r="N52" s="36">
        <f>+AB!N52+EF!N52+EP!N52+PI!N52+CH!N52+BA!N52</f>
        <v>74177.031915678584</v>
      </c>
    </row>
    <row r="53" spans="2:14" ht="17.45" customHeight="1" x14ac:dyDescent="0.2">
      <c r="B53" s="17">
        <v>2015</v>
      </c>
      <c r="C53" s="34">
        <f>+AB!C53+EF!C53+EP!C53+PI!C53+CH!C53+BA!C53</f>
        <v>85569.197710555862</v>
      </c>
      <c r="D53" s="34">
        <f>+AB!D53+EF!D53+EP!D53+PI!D53+CH!D53+BA!D53</f>
        <v>173810.31697947378</v>
      </c>
      <c r="E53" s="34">
        <f>+AB!E53+EF!E53+EP!E53+PI!E53+CH!E53+BA!E53</f>
        <v>262257.43136995763</v>
      </c>
      <c r="F53" s="34">
        <f>+AB!F53+EF!F53+EP!F53+PI!F53+CH!F53+BA!F53</f>
        <v>292441.79835634149</v>
      </c>
      <c r="G53" s="34">
        <f>+AB!G53+EF!G53+EP!G53+PI!G53+CH!G53+BA!G53</f>
        <v>288450.88005862449</v>
      </c>
      <c r="H53" s="34">
        <f>+AB!H53+EF!H53+EP!H53+PI!H53+CH!H53+BA!H53</f>
        <v>274357.36147386912</v>
      </c>
      <c r="I53" s="34">
        <f>+AB!I53+EF!I53+EP!I53+PI!I53+CH!I53+BA!I53</f>
        <v>252711.50606359827</v>
      </c>
      <c r="J53" s="34">
        <f>+AB!J53+EF!J53+EP!J53+PI!J53+CH!J53+BA!J53</f>
        <v>232656.35399999999</v>
      </c>
      <c r="K53" s="34">
        <f>+AB!K53+EF!K53+EP!K53+PI!K53+CH!K53+BA!K53</f>
        <v>211679.19809465169</v>
      </c>
      <c r="L53" s="34">
        <f>+AB!L53+EF!L53+EP!L53+PI!L53+CH!L53+BA!L53</f>
        <v>191872.31869653653</v>
      </c>
      <c r="M53" s="34">
        <f>+AB!M53+EF!M53+EP!M53+PI!M53+CH!M53+BA!M53</f>
        <v>172221.80835773656</v>
      </c>
      <c r="N53" s="36">
        <f>+AB!N53+EF!N53+EP!N53+PI!N53+CH!N53+BA!N53</f>
        <v>155433.15047423792</v>
      </c>
    </row>
    <row r="54" spans="2:14" ht="17.45" customHeight="1" x14ac:dyDescent="0.2">
      <c r="B54" s="17">
        <v>2016</v>
      </c>
      <c r="C54" s="34">
        <f>+AB!C54+EF!C54+EP!C54+PI!C54+CH!C54+BA!C54</f>
        <v>138002.16508575637</v>
      </c>
      <c r="D54" s="34">
        <f>+AB!D54+EF!D54+EP!D54+PI!D54+CH!D54+BA!D54</f>
        <v>271661.08691720496</v>
      </c>
      <c r="E54" s="34">
        <f>+AB!E54+EF!E54+EP!E54+PI!E54+CH!E54+BA!E54</f>
        <v>279779.5868500233</v>
      </c>
      <c r="F54" s="34">
        <f>+AB!F54+EF!F54+EP!F54+PI!F54+CH!F54+BA!F54</f>
        <v>292394.75776900887</v>
      </c>
      <c r="G54" s="34">
        <f>+AB!G54+EF!G54+EP!G54+PI!G54+CH!G54+BA!G54</f>
        <v>271803.11302312941</v>
      </c>
      <c r="H54" s="34">
        <f>+AB!H54+EF!H54+EP!H54+PI!H54+CH!H54+BA!H54</f>
        <v>253112.68057449494</v>
      </c>
      <c r="I54" s="34">
        <f>+AB!I54+EF!I54+EP!I54+PI!I54+CH!I54+BA!I54</f>
        <v>232817.35896086297</v>
      </c>
      <c r="J54" s="34">
        <f>+AB!J54+EF!J54+EP!J54+PI!J54+CH!J54+BA!J54</f>
        <v>210653.7377286212</v>
      </c>
      <c r="K54" s="34">
        <f>+AB!K54+EF!K54+EP!K54+PI!K54+CH!K54+BA!K54</f>
        <v>184441.79951769183</v>
      </c>
      <c r="L54" s="34">
        <f>+AB!L54+EF!L54+EP!L54+PI!L54+CH!L54+BA!L54</f>
        <v>158290.85279443205</v>
      </c>
      <c r="M54" s="34">
        <f>+AB!M54+EF!M54+EP!M54+PI!M54+CH!M54+BA!M54</f>
        <v>134674.95237345115</v>
      </c>
      <c r="N54" s="36">
        <f>+AB!N54+EF!N54+EP!N54+PI!N54+CH!N54+BA!N54</f>
        <v>116257.73108224853</v>
      </c>
    </row>
    <row r="55" spans="2:14" ht="17.45" customHeight="1" x14ac:dyDescent="0.2">
      <c r="B55" s="17">
        <v>2017</v>
      </c>
      <c r="C55" s="34">
        <f>+AB!C55+EF!C55+EP!C55+PI!C55+CH!C55+BA!C55</f>
        <v>202971.07369724161</v>
      </c>
      <c r="D55" s="34">
        <f>+AB!D55+EF!D55+EP!D55+PI!D55+CH!D55+BA!D55</f>
        <v>242069.35481327286</v>
      </c>
      <c r="E55" s="34">
        <f>+AB!E55+EF!E55+EP!E55+PI!E55+CH!E55+BA!E55</f>
        <v>366028.52486192546</v>
      </c>
      <c r="F55" s="34">
        <f>+AB!F55+EF!F55+EP!F55+PI!F55+CH!F55+BA!F55</f>
        <v>381726.31527665985</v>
      </c>
      <c r="G55" s="34">
        <f>+AB!G55+EF!G55+EP!G55+PI!G55+CH!G55+BA!G55</f>
        <v>374312.14091446687</v>
      </c>
      <c r="H55" s="34">
        <f>+AB!H55+EF!H55+EP!H55+PI!H55+CH!H55+BA!H55</f>
        <v>354774.49007036519</v>
      </c>
      <c r="I55" s="34">
        <f>+AB!I55+EF!I55+EP!I55+PI!I55+CH!I55+BA!I55</f>
        <v>330075.63798856124</v>
      </c>
      <c r="J55" s="34">
        <f>+AB!J55+EF!J55+EP!J55+PI!J55+CH!J55+BA!J55</f>
        <v>301781.82165531575</v>
      </c>
      <c r="K55" s="34">
        <f>+AB!K55+EF!K55+EP!K55+PI!K55+CH!K55+BA!K55</f>
        <v>274586.00036444562</v>
      </c>
      <c r="L55" s="34">
        <f>+AB!L55+EF!L55+EP!L55+PI!L55+CH!L55+BA!L55</f>
        <v>246202.35303585161</v>
      </c>
      <c r="M55" s="34">
        <f>+AB!M55+EF!M55+EP!M55+PI!M55+CH!M55+BA!M55</f>
        <v>217981.57652247592</v>
      </c>
      <c r="N55" s="36">
        <f>+AB!N55+EF!N55+EP!N55+PI!N55+CH!N55+BA!N55</f>
        <v>206792.91621793192</v>
      </c>
    </row>
    <row r="56" spans="2:14" ht="17.45" customHeight="1" x14ac:dyDescent="0.2">
      <c r="B56" s="17">
        <v>2018</v>
      </c>
      <c r="C56" s="34">
        <f>+AB!C56+EF!C56+EP!C56+PI!C56+CH!C56+BA!C56</f>
        <v>270320.0622562035</v>
      </c>
      <c r="D56" s="34">
        <f>+AB!D56+EF!D56+EP!D56+PI!D56+CH!D56+BA!D56</f>
        <v>339683.41625417245</v>
      </c>
      <c r="E56" s="34">
        <f>+AB!E56+EF!E56+EP!E56+PI!E56+CH!E56+BA!E56</f>
        <v>409602.23575020989</v>
      </c>
      <c r="F56" s="34">
        <f>+AB!F56+EF!F56+EP!F56+PI!F56+CH!F56+BA!F56</f>
        <v>391972.50373618945</v>
      </c>
      <c r="G56" s="34">
        <f>+AB!G56+EF!G56+EP!G56+PI!G56+CH!G56+BA!G56</f>
        <v>375639.79664235422</v>
      </c>
      <c r="H56" s="34">
        <f>+AB!H56+EF!H56+EP!H56+PI!H56+CH!H56+BA!H56</f>
        <v>360682.19719540258</v>
      </c>
      <c r="I56" s="34">
        <f>+AB!I56+EF!I56+EP!I56+PI!I56+CH!I56+BA!I56</f>
        <v>338361.21163114219</v>
      </c>
      <c r="J56" s="34">
        <f>+AB!J56+EF!J56+EP!J56+PI!J56+CH!J56+BA!J56</f>
        <v>311426.12461398082</v>
      </c>
      <c r="K56" s="34">
        <f>+AB!K56+EF!K56+EP!K56+PI!K56+CH!K56+BA!K56</f>
        <v>283828.17396276642</v>
      </c>
      <c r="L56" s="34">
        <f>+AB!L56+EF!L56+EP!L56+PI!L56+CH!L56+BA!L56</f>
        <v>252341.15511680915</v>
      </c>
      <c r="M56" s="34">
        <f>+AB!M56+EF!M56+EP!M56+PI!M56+CH!M56+BA!M56</f>
        <v>220014.47034308757</v>
      </c>
      <c r="N56" s="36">
        <f>+AB!N56+EF!N56+EP!N56+PI!N56+CH!N56+BA!N56</f>
        <v>190287.4557092473</v>
      </c>
    </row>
    <row r="57" spans="2:14" ht="17.45" customHeight="1" x14ac:dyDescent="0.2">
      <c r="B57" s="17">
        <v>2019</v>
      </c>
      <c r="C57" s="34">
        <f>+AB!C57+EF!C57+EP!C57+PI!C57+CH!C57+BA!C57</f>
        <v>211628.45262765276</v>
      </c>
      <c r="D57" s="34">
        <f>+AB!D57+EF!D57+EP!D57+PI!D57+CH!D57+BA!D57</f>
        <v>379575.96096730238</v>
      </c>
      <c r="E57" s="34">
        <f>+AB!E57+EF!E57+EP!E57+PI!E57+CH!E57+BA!E57</f>
        <v>393033.79969341919</v>
      </c>
      <c r="F57" s="34">
        <f>+AB!F57+EF!F57+EP!F57+PI!F57+CH!F57+BA!F57</f>
        <v>387634.52177715523</v>
      </c>
      <c r="G57" s="34">
        <f>+AB!G57+EF!G57+EP!G57+PI!G57+CH!G57+BA!G57</f>
        <v>370729.93397625035</v>
      </c>
      <c r="H57" s="34">
        <f>+AB!H57+EF!H57+EP!H57+PI!H57+CH!H57+BA!H57</f>
        <v>343529.43005003338</v>
      </c>
      <c r="I57" s="34">
        <f>+AB!I57+EF!I57+EP!I57+PI!I57+CH!I57+BA!I57</f>
        <v>319848.1287497083</v>
      </c>
      <c r="J57" s="34">
        <f>+AB!J57+EF!J57+EP!J57+PI!J57+CH!J57+BA!J57</f>
        <v>291731.50190066581</v>
      </c>
      <c r="K57" s="34">
        <f>+AB!K57+EF!K57+EP!K57+PI!K57+CH!K57+BA!K57</f>
        <v>264659.82354568486</v>
      </c>
      <c r="L57" s="34">
        <f>+AB!L57+EF!L57+EP!L57+PI!L57+CH!L57+BA!L57</f>
        <v>235435.81092910926</v>
      </c>
      <c r="M57" s="34">
        <f>+AB!M57+EF!M57+EP!M57+PI!M57+CH!M57+BA!M57</f>
        <v>209211.43609871692</v>
      </c>
      <c r="N57" s="36">
        <f>+AB!N57+EF!N57+EP!N57+PI!N57+CH!N57+BA!N57</f>
        <v>182111.23376825626</v>
      </c>
    </row>
    <row r="58" spans="2:14" ht="17.45" customHeight="1" x14ac:dyDescent="0.2">
      <c r="B58" s="17">
        <v>2020</v>
      </c>
      <c r="C58" s="34">
        <f>+AB!C58+EF!C58+EP!C58+PI!C58+CH!C58+BA!C58</f>
        <v>213719.6026748491</v>
      </c>
      <c r="D58" s="34">
        <f>+AB!D58+EF!D58+EP!D58+PI!D58+CH!D58+BA!D58</f>
        <v>358066.6736383246</v>
      </c>
      <c r="E58" s="34">
        <f>+AB!E58+EF!E58+EP!E58+PI!E58+CH!E58+BA!E58</f>
        <v>403844.92624390963</v>
      </c>
      <c r="F58" s="34">
        <f>+AB!F58+EF!F58+EP!F58+PI!F58+CH!F58+BA!F58</f>
        <v>382177.56597960432</v>
      </c>
      <c r="G58" s="34">
        <f>+AB!G58+EF!G58+EP!G58+PI!G58+CH!G58+BA!G58</f>
        <v>363534.93152847962</v>
      </c>
      <c r="H58" s="34">
        <f>+AB!H58+EF!H58+EP!H58+PI!H58+CH!H58+BA!H58</f>
        <v>340668.05871253461</v>
      </c>
      <c r="I58" s="34">
        <f>+AB!I58+EF!I58+EP!I58+PI!I58+CH!I58+BA!I58</f>
        <v>316396.13197296916</v>
      </c>
      <c r="J58" s="34">
        <f>+AB!J58+EF!J58+EP!J58+PI!J58+CH!J58+BA!J58</f>
        <v>290723.86693203251</v>
      </c>
      <c r="K58" s="34">
        <f>+AB!K58+EF!K58+EP!K58+PI!K58+CH!K58+BA!K58</f>
        <v>263404.21935494058</v>
      </c>
      <c r="L58" s="34">
        <f>+AB!L58+EF!L58+EP!L58+PI!L58+CH!L58+BA!L58</f>
        <v>244997.04081228431</v>
      </c>
      <c r="M58" s="34">
        <f>+AB!M58+EF!M58+EP!M58+PI!M58+CH!M58+BA!M58</f>
        <v>216399.02083902294</v>
      </c>
      <c r="N58" s="36">
        <f>+AB!N58+EF!N58+EP!N58+PI!N58+CH!N58+BA!N58</f>
        <v>214347.86475878977</v>
      </c>
    </row>
    <row r="59" spans="2:14" ht="17.45" customHeight="1" x14ac:dyDescent="0.2">
      <c r="B59" s="17">
        <v>2021</v>
      </c>
      <c r="C59" s="34">
        <f>+AB!C59+EF!C59+EP!C59+PI!C59+CH!C59+BA!C59</f>
        <v>282067.6586369648</v>
      </c>
      <c r="D59" s="34">
        <f>+AB!D59+EF!D59+EP!D59+PI!D59+CH!D59+BA!D59</f>
        <v>318904.73654767079</v>
      </c>
      <c r="E59" s="34">
        <f>+AB!E59+EF!E59+EP!E59+PI!E59+CH!E59+BA!E59</f>
        <v>389782.97920422867</v>
      </c>
      <c r="F59" s="34">
        <f>+AB!F59+EF!F59+EP!F59+PI!F59+CH!F59+BA!F59</f>
        <v>401207.51530690992</v>
      </c>
      <c r="G59" s="34">
        <f>+AB!G59+EF!G59+EP!G59+PI!G59+CH!G59+BA!G59</f>
        <v>386123.85071208264</v>
      </c>
      <c r="H59" s="34">
        <f>+AB!H59+EF!H59+EP!H59+PI!H59+CH!H59+BA!H59</f>
        <v>365537.96700000006</v>
      </c>
      <c r="I59" s="34">
        <f>+AB!I59+EF!I59+EP!I59+PI!I59+CH!I59+BA!I59</f>
        <v>339593.53659389802</v>
      </c>
      <c r="J59" s="34">
        <f>+AB!J59+EF!J59+EP!J59+PI!J59+CH!J59+BA!J59</f>
        <v>307940.56533252489</v>
      </c>
      <c r="K59" s="34">
        <f>+AB!K59+EF!K59+EP!K59+PI!K59+CH!K59+BA!K59</f>
        <v>275323.1237734051</v>
      </c>
      <c r="L59" s="34">
        <f>+AB!L59+EF!L59+EP!L59+PI!L59+CH!L59+BA!L59</f>
        <v>245821.78301822388</v>
      </c>
      <c r="M59" s="34">
        <f>+AB!M59+EF!M59+EP!M59+PI!M59+CH!M59+BA!M59</f>
        <v>218584.6622444485</v>
      </c>
      <c r="N59" s="36">
        <f>+AB!N59+EF!N59+EP!N59+PI!N59+CH!N59+BA!N59</f>
        <v>206535.77976869064</v>
      </c>
    </row>
    <row r="60" spans="2:14" ht="17.45" customHeight="1" x14ac:dyDescent="0.2">
      <c r="B60" s="17">
        <v>2022</v>
      </c>
      <c r="C60" s="34">
        <f>+AB!C60+EF!C60+EP!C60+PI!C60+CH!C60+BA!C60</f>
        <v>297833.28318701388</v>
      </c>
      <c r="D60" s="34">
        <f>+AB!D60+EF!D60+EP!D60+PI!D60+CH!D60+BA!D60</f>
        <v>366035.25407654495</v>
      </c>
      <c r="E60" s="34">
        <f>+AB!E60+EF!E60+EP!E60+PI!E60+CH!E60+BA!E60</f>
        <v>387386.53450883797</v>
      </c>
      <c r="F60" s="34">
        <f>+AB!F60+EF!F60+EP!F60+PI!F60+CH!F60+BA!F60</f>
        <v>380465.15942803223</v>
      </c>
      <c r="G60" s="34">
        <f>+AB!G60+EF!G60+EP!G60+PI!G60+CH!G60+BA!G60</f>
        <v>355629.80331516184</v>
      </c>
      <c r="H60" s="34">
        <f>+AB!H60+EF!H60+EP!H60+PI!H60+CH!H60+BA!H60</f>
        <v>331521.49442787247</v>
      </c>
      <c r="I60" s="34">
        <f>+AB!I60+EF!I60+EP!I60+PI!I60+CH!I60+BA!I60</f>
        <v>306516.18680005224</v>
      </c>
      <c r="J60" s="34">
        <f>+AB!J60+EF!J60+EP!J60+PI!J60+CH!J60+BA!J60</f>
        <v>272857.78972308576</v>
      </c>
      <c r="K60" s="34">
        <f>+AB!K60+EF!K60+EP!K60+PI!K60+CH!K60+BA!K60</f>
        <v>239020.14323742906</v>
      </c>
      <c r="L60" s="34">
        <f>+AB!L60+EF!L60+EP!L60+PI!L60+CH!L60+BA!L60</f>
        <v>203078.17614354269</v>
      </c>
      <c r="M60" s="34">
        <f>+AB!M60+EF!M60+EP!M60+PI!M60+CH!M60+BA!M60</f>
        <v>170008.92011930654</v>
      </c>
      <c r="N60" s="36">
        <f>+AB!N60+EF!N60+EP!N60+PI!N60+CH!N60+BA!N60</f>
        <v>151796.51059822022</v>
      </c>
    </row>
    <row r="61" spans="2:14" ht="17.45" customHeight="1" x14ac:dyDescent="0.2">
      <c r="B61" s="17">
        <v>2023</v>
      </c>
      <c r="C61" s="34">
        <f>+AB!C61+EF!C61+EP!C61+PI!C61+CH!C61+BA!C61</f>
        <v>144720.75221171201</v>
      </c>
      <c r="D61" s="34">
        <f>+AB!D61+EF!D61+EP!D61+PI!D61+CH!D61+BA!D61</f>
        <v>223806.9335206422</v>
      </c>
      <c r="E61" s="34">
        <f>+AB!E61+EF!E61+EP!E61+PI!E61+CH!E61+BA!E61</f>
        <v>287894.1782802238</v>
      </c>
      <c r="F61" s="34">
        <f>+AB!F61+EF!F61+EP!F61+PI!F61+CH!F61+BA!F61</f>
        <v>303018.27746082493</v>
      </c>
      <c r="G61" s="34">
        <f>+AB!G61+EF!G61+EP!G61+PI!G61+CH!G61+BA!G61</f>
        <v>285036.19460660039</v>
      </c>
      <c r="H61" s="34">
        <f>+AB!H61+EF!H61+EP!H61+PI!H61+CH!H61+BA!H61</f>
        <v>264095.0366590278</v>
      </c>
      <c r="I61" s="34">
        <f>+AB!I61+EF!I61+EP!I61+PI!I61+CH!I61+BA!I61</f>
        <v>243576.36684592732</v>
      </c>
      <c r="J61" s="34">
        <f>+AB!J61+EF!J61+EP!J61+PI!J61+CH!J61+BA!J61</f>
        <v>220401.1086023578</v>
      </c>
      <c r="K61" s="34">
        <f>+AB!K61+EF!K61+EP!K61+PI!K61+CH!K61+BA!K61</f>
        <v>192540.31037660391</v>
      </c>
      <c r="L61" s="34">
        <f>+AB!L61+EF!L61+EP!L61+PI!L61+CH!L61+BA!L61</f>
        <v>161705.77918560346</v>
      </c>
      <c r="M61" s="34">
        <f>+AB!M61+EF!M61+EP!M61+PI!M61+CH!M61+BA!M61</f>
        <v>134163.60883691019</v>
      </c>
      <c r="N61" s="36">
        <f>+AB!N61+EF!N61+EP!N61+PI!N61+CH!N61+BA!N61</f>
        <v>127439.21119897117</v>
      </c>
    </row>
    <row r="62" spans="2:14" ht="17.45" customHeight="1" x14ac:dyDescent="0.2">
      <c r="B62" s="17">
        <v>2024</v>
      </c>
      <c r="C62" s="34">
        <f>+AB!C62+EF!C62+EP!C62+PI!C62+CH!C62+BA!C62</f>
        <v>174825.65444282533</v>
      </c>
      <c r="D62" s="34">
        <f>+AB!D62+EF!D62+EP!D62+PI!D62+CH!D62+BA!D62</f>
        <v>251330.38407373134</v>
      </c>
      <c r="E62" s="34">
        <f>+AB!E62+EF!E62+EP!E62+PI!E62+CH!E62+BA!E62</f>
        <v>411631.06071608776</v>
      </c>
      <c r="F62" s="34">
        <f>+AB!F62+EF!F62+EP!F62+PI!F62+CH!F62+BA!F62</f>
        <v>395009.93759597867</v>
      </c>
      <c r="G62" s="34">
        <f>+AB!G62+EF!G62+EP!G62+PI!G62+CH!G62+BA!G62</f>
        <v>382248.75944295753</v>
      </c>
      <c r="H62" s="34">
        <f>+AB!H62+EF!H62+EP!H62+PI!H62+CH!H62+BA!H62</f>
        <v>362246.49902946188</v>
      </c>
      <c r="I62" s="34">
        <f>+AB!I62+EF!I62+EP!I62+PI!I62+CH!I62+BA!I62</f>
        <v>336716.13226996793</v>
      </c>
      <c r="J62" s="34">
        <f>+AB!J62+EF!J62+EP!J62+PI!J62+CH!J62+BA!J62</f>
        <v>311561.07369628333</v>
      </c>
      <c r="K62" s="34">
        <f>+AB!K62+EF!K62+EP!K62+PI!K62+CH!K62+BA!K62</f>
        <v>279917.58532982966</v>
      </c>
      <c r="L62" s="34">
        <f>+AB!L62+EF!L62+EP!L62+PI!L62+CH!L62+BA!L62</f>
        <v>250464.12760580337</v>
      </c>
      <c r="M62" s="34">
        <f>+AB!M62+EF!M62+EP!M62+PI!M62+CH!M62+BA!M62</f>
        <v>223780.33096863137</v>
      </c>
      <c r="N62" s="36">
        <f>+AB!N62+EF!N62+EP!N62+PI!N62+CH!N62+BA!N62</f>
        <v>205568.58212608838</v>
      </c>
    </row>
    <row r="63" spans="2:14" ht="17.45" customHeight="1" x14ac:dyDescent="0.2">
      <c r="B63" s="17">
        <v>2025</v>
      </c>
      <c r="C63" s="34">
        <f>+AB!C63+EF!C63+EP!C63+PI!C63+CH!C63+BA!C63</f>
        <v>250434.0579674019</v>
      </c>
      <c r="D63" s="34">
        <f>+AB!D63+EF!D63+EP!D63+PI!D63+CH!D63+BA!D63</f>
        <v>366824.64882027812</v>
      </c>
      <c r="E63" s="34">
        <f>+AB!E63+EF!E63+EP!E63+PI!E63+CH!E63+BA!E63</f>
        <v>408684.39547222672</v>
      </c>
      <c r="F63" s="34">
        <f>+AB!F63+EF!F63+EP!F63+PI!F63+CH!F63+BA!F63</f>
        <v>400776.13342793018</v>
      </c>
      <c r="G63" s="34">
        <f>+AB!G63+EF!G63+EP!G63+PI!G63+CH!G63+BA!G63</f>
        <v>390734.43951189111</v>
      </c>
      <c r="H63" s="34">
        <f>+AB!H63+EF!H63+EP!H63+PI!H63+CH!H63+BA!H63</f>
        <v>371866.81579736789</v>
      </c>
      <c r="I63" s="34">
        <f>+AB!I63+EF!I63+EP!I63+PI!I63+CH!I63+BA!I63</f>
        <v>348548.29080443783</v>
      </c>
      <c r="J63" s="34">
        <f>+AB!J63+EF!J63+EP!J63+PI!J63+CH!J63+BA!J63</f>
        <v>320840.64394490706</v>
      </c>
      <c r="K63" s="34">
        <f>+AB!K63+EF!K63+EP!K63+PI!K63+CH!K63+BA!K63</f>
        <v>293292.52363785327</v>
      </c>
      <c r="L63" s="34">
        <f>+AB!L63+EF!L63+EP!L63+PI!L63+CH!L63+BA!L63</f>
        <v>253543.57662070112</v>
      </c>
      <c r="M63" s="34">
        <f>+AB!M63+EF!M63+EP!M63+PI!M63+CH!M63+BA!M63</f>
        <v>220489.84283760408</v>
      </c>
      <c r="N63" s="36">
        <f>+AB!N63+EF!N63+EP!N63+PI!N63+CH!N63+BA!N63</f>
        <v>0</v>
      </c>
    </row>
    <row r="64" spans="2:14" ht="17.45" customHeight="1" x14ac:dyDescent="0.2">
      <c r="B64" s="17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6"/>
    </row>
    <row r="65" spans="1:14" ht="17.45" customHeight="1" x14ac:dyDescent="0.2">
      <c r="B65" s="17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6"/>
    </row>
    <row r="66" spans="1:14" ht="17.45" customHeight="1" thickBot="1" x14ac:dyDescent="0.25">
      <c r="A66" s="4" t="s">
        <v>36</v>
      </c>
      <c r="B66" s="4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0"/>
    </row>
    <row r="67" spans="1:14" ht="17.45" customHeight="1" thickTop="1" x14ac:dyDescent="0.2">
      <c r="B67" s="51" t="s">
        <v>29</v>
      </c>
      <c r="L67" s="53"/>
    </row>
    <row r="68" spans="1:14" ht="17.45" customHeight="1" x14ac:dyDescent="0.2">
      <c r="B68" s="51" t="s">
        <v>30</v>
      </c>
    </row>
  </sheetData>
  <phoneticPr fontId="0" type="noConversion"/>
  <printOptions horizontalCentered="1"/>
  <pageMargins left="0.43307086614173229" right="0.43307086614173229" top="1.3385826771653544" bottom="0.62992125984251968" header="0.74803149606299213" footer="0.51181102362204722"/>
  <pageSetup paperSize="9" scale="42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CD41-CA8D-4085-B695-C104318AE6F2}">
  <sheetPr codeName="Hoja18">
    <pageSetUpPr fitToPage="1"/>
  </sheetPr>
  <dimension ref="B1:O69"/>
  <sheetViews>
    <sheetView zoomScale="86" zoomScaleNormal="86" workbookViewId="0">
      <pane xSplit="2" ySplit="9" topLeftCell="C52" activePane="bottomRight" state="frozen"/>
      <selection activeCell="B66" sqref="B66"/>
      <selection pane="topRight" activeCell="B66" sqref="B66"/>
      <selection pane="bottomLeft" activeCell="B66" sqref="B66"/>
      <selection pane="bottomRight" activeCell="O26" sqref="O26"/>
    </sheetView>
  </sheetViews>
  <sheetFormatPr baseColWidth="10" defaultColWidth="15.7109375" defaultRowHeight="17.45" customHeight="1" x14ac:dyDescent="0.2"/>
  <cols>
    <col min="1" max="16384" width="15.7109375" style="4"/>
  </cols>
  <sheetData>
    <row r="1" spans="2:15" ht="17.45" customHeight="1" x14ac:dyDescent="0.25">
      <c r="B1" s="1" t="s">
        <v>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5" ht="17.45" customHeight="1" x14ac:dyDescent="0.25"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5" ht="17.45" customHeight="1" x14ac:dyDescent="0.25">
      <c r="B3" s="1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5" ht="17.45" customHeight="1" thickBot="1" x14ac:dyDescent="0.25">
      <c r="B4" s="2"/>
    </row>
    <row r="5" spans="2:15" ht="17.45" customHeight="1" thickTop="1" x14ac:dyDescent="0.25">
      <c r="B5" s="7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40" t="s">
        <v>14</v>
      </c>
      <c r="N5" s="10" t="s">
        <v>15</v>
      </c>
      <c r="O5" s="58" t="s">
        <v>35</v>
      </c>
    </row>
    <row r="6" spans="2:15" ht="17.45" hidden="1" customHeight="1" thickTop="1" x14ac:dyDescent="0.2">
      <c r="B6" s="12">
        <v>1968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2"/>
    </row>
    <row r="7" spans="2:15" ht="17.45" hidden="1" customHeight="1" x14ac:dyDescent="0.2">
      <c r="B7" s="17">
        <v>1969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20"/>
    </row>
    <row r="8" spans="2:15" ht="17.45" hidden="1" customHeight="1" x14ac:dyDescent="0.2">
      <c r="B8" s="17">
        <v>1970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0"/>
    </row>
    <row r="9" spans="2:15" ht="17.45" hidden="1" customHeight="1" x14ac:dyDescent="0.2">
      <c r="B9" s="17">
        <v>1971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0"/>
    </row>
    <row r="10" spans="2:15" ht="17.45" customHeight="1" x14ac:dyDescent="0.2">
      <c r="B10" s="17">
        <v>1972</v>
      </c>
      <c r="C10" s="18">
        <v>7.89</v>
      </c>
      <c r="D10" s="18">
        <v>35.28</v>
      </c>
      <c r="E10" s="18">
        <v>61.42</v>
      </c>
      <c r="F10" s="18">
        <v>16.07</v>
      </c>
      <c r="G10" s="18">
        <v>7.72</v>
      </c>
      <c r="H10" s="18">
        <v>7.47</v>
      </c>
      <c r="I10" s="18">
        <v>8.48</v>
      </c>
      <c r="J10" s="18">
        <v>8.32</v>
      </c>
      <c r="K10" s="18">
        <v>7.75</v>
      </c>
      <c r="L10" s="18">
        <v>8.48</v>
      </c>
      <c r="M10" s="18">
        <v>8.8699999999999992</v>
      </c>
      <c r="N10" s="20">
        <v>11.69</v>
      </c>
      <c r="O10" s="24">
        <f>AVERAGE(C10:N10)</f>
        <v>15.786666666666664</v>
      </c>
    </row>
    <row r="11" spans="2:15" ht="17.45" customHeight="1" x14ac:dyDescent="0.2">
      <c r="B11" s="17">
        <v>1973</v>
      </c>
      <c r="C11" s="18">
        <v>40.479999999999997</v>
      </c>
      <c r="D11" s="18">
        <v>53.16</v>
      </c>
      <c r="E11" s="18">
        <v>45.21</v>
      </c>
      <c r="F11" s="18">
        <v>18.2</v>
      </c>
      <c r="G11" s="18">
        <v>14.95</v>
      </c>
      <c r="H11" s="18">
        <v>14.47</v>
      </c>
      <c r="I11" s="18">
        <v>10.96</v>
      </c>
      <c r="J11" s="18">
        <v>11.33</v>
      </c>
      <c r="K11" s="18">
        <v>10.16</v>
      </c>
      <c r="L11" s="18">
        <v>10.87</v>
      </c>
      <c r="M11" s="18">
        <v>13.47</v>
      </c>
      <c r="N11" s="20">
        <v>12.07</v>
      </c>
      <c r="O11" s="24">
        <f t="shared" ref="O11:O40" si="0">AVERAGE(C11:N11)</f>
        <v>21.2775</v>
      </c>
    </row>
    <row r="12" spans="2:15" ht="17.45" customHeight="1" x14ac:dyDescent="0.2">
      <c r="B12" s="17">
        <v>1974</v>
      </c>
      <c r="C12" s="18">
        <v>38.840000000000003</v>
      </c>
      <c r="D12" s="18">
        <v>32.89</v>
      </c>
      <c r="E12" s="18">
        <v>25.98</v>
      </c>
      <c r="F12" s="18">
        <v>14.08</v>
      </c>
      <c r="G12" s="18">
        <v>14.75</v>
      </c>
      <c r="H12" s="18">
        <v>15.22</v>
      </c>
      <c r="I12" s="18">
        <v>17.88</v>
      </c>
      <c r="J12" s="18">
        <v>15.56</v>
      </c>
      <c r="K12" s="18">
        <v>12.59</v>
      </c>
      <c r="L12" s="18">
        <v>12.21</v>
      </c>
      <c r="M12" s="18">
        <v>12.6</v>
      </c>
      <c r="N12" s="20">
        <v>13.69</v>
      </c>
      <c r="O12" s="24">
        <f t="shared" si="0"/>
        <v>18.857500000000002</v>
      </c>
    </row>
    <row r="13" spans="2:15" ht="17.45" customHeight="1" x14ac:dyDescent="0.2">
      <c r="B13" s="17">
        <v>1975</v>
      </c>
      <c r="C13" s="18">
        <v>15.14</v>
      </c>
      <c r="D13" s="18">
        <v>34.68</v>
      </c>
      <c r="E13" s="18">
        <v>26</v>
      </c>
      <c r="F13" s="18">
        <v>16</v>
      </c>
      <c r="G13" s="18">
        <v>15.34</v>
      </c>
      <c r="H13" s="18">
        <v>15.74</v>
      </c>
      <c r="I13" s="18">
        <v>16.2</v>
      </c>
      <c r="J13" s="18">
        <v>15.98</v>
      </c>
      <c r="K13" s="18">
        <v>15.17</v>
      </c>
      <c r="L13" s="18">
        <v>15.21</v>
      </c>
      <c r="M13" s="18">
        <v>13.31</v>
      </c>
      <c r="N13" s="20">
        <v>14.23</v>
      </c>
      <c r="O13" s="24">
        <f t="shared" si="0"/>
        <v>17.749999999999996</v>
      </c>
    </row>
    <row r="14" spans="2:15" ht="17.45" customHeight="1" x14ac:dyDescent="0.2">
      <c r="B14" s="17">
        <v>1976</v>
      </c>
      <c r="C14" s="18">
        <v>14.77</v>
      </c>
      <c r="D14" s="18">
        <v>16.5</v>
      </c>
      <c r="E14" s="18">
        <v>16.57</v>
      </c>
      <c r="F14" s="18">
        <v>10.42</v>
      </c>
      <c r="G14" s="18">
        <v>10</v>
      </c>
      <c r="H14" s="18">
        <v>10.52</v>
      </c>
      <c r="I14" s="18">
        <v>9.77</v>
      </c>
      <c r="J14" s="18">
        <v>8.86</v>
      </c>
      <c r="K14" s="18">
        <v>10.32</v>
      </c>
      <c r="L14" s="18">
        <v>9.39</v>
      </c>
      <c r="M14" s="18">
        <v>9.34</v>
      </c>
      <c r="N14" s="20">
        <v>9.84</v>
      </c>
      <c r="O14" s="24">
        <f t="shared" si="0"/>
        <v>11.358333333333333</v>
      </c>
    </row>
    <row r="15" spans="2:15" ht="17.45" customHeight="1" x14ac:dyDescent="0.2">
      <c r="B15" s="17">
        <v>1977</v>
      </c>
      <c r="C15" s="18">
        <v>8.5399999999999991</v>
      </c>
      <c r="D15" s="18">
        <v>6.89</v>
      </c>
      <c r="E15" s="18">
        <v>35.21</v>
      </c>
      <c r="F15" s="18">
        <v>9.5500000000000007</v>
      </c>
      <c r="G15" s="18">
        <v>8.39</v>
      </c>
      <c r="H15" s="18">
        <v>8.5399999999999991</v>
      </c>
      <c r="I15" s="18">
        <v>8.73</v>
      </c>
      <c r="J15" s="18">
        <v>8.91</v>
      </c>
      <c r="K15" s="18">
        <v>9.34</v>
      </c>
      <c r="L15" s="18">
        <v>10.76</v>
      </c>
      <c r="M15" s="18">
        <v>10.82</v>
      </c>
      <c r="N15" s="20">
        <v>11.27</v>
      </c>
      <c r="O15" s="24">
        <f t="shared" si="0"/>
        <v>11.412500000000001</v>
      </c>
    </row>
    <row r="16" spans="2:15" ht="17.45" customHeight="1" x14ac:dyDescent="0.2">
      <c r="B16" s="17">
        <v>1978</v>
      </c>
      <c r="C16" s="18">
        <v>10.86</v>
      </c>
      <c r="D16" s="18">
        <v>15</v>
      </c>
      <c r="E16" s="18">
        <v>9.1999999999999993</v>
      </c>
      <c r="F16" s="18">
        <v>8.65</v>
      </c>
      <c r="G16" s="18">
        <v>8.74</v>
      </c>
      <c r="H16" s="18">
        <v>8.24</v>
      </c>
      <c r="I16" s="18">
        <v>8.32</v>
      </c>
      <c r="J16" s="18">
        <v>8.4</v>
      </c>
      <c r="K16" s="18">
        <v>8.69</v>
      </c>
      <c r="L16" s="18">
        <v>8.8699999999999992</v>
      </c>
      <c r="M16" s="18">
        <v>9.18</v>
      </c>
      <c r="N16" s="20">
        <v>9.3000000000000007</v>
      </c>
      <c r="O16" s="24">
        <f t="shared" si="0"/>
        <v>9.4541666666666675</v>
      </c>
    </row>
    <row r="17" spans="2:15" ht="17.45" customHeight="1" x14ac:dyDescent="0.2">
      <c r="B17" s="17">
        <v>1979</v>
      </c>
      <c r="C17" s="18">
        <v>9.3699999999999992</v>
      </c>
      <c r="D17" s="18">
        <v>9.0299999999999994</v>
      </c>
      <c r="E17" s="18">
        <v>8.39</v>
      </c>
      <c r="F17" s="18">
        <v>8</v>
      </c>
      <c r="G17" s="18">
        <v>8.3000000000000007</v>
      </c>
      <c r="H17" s="18">
        <v>8.17</v>
      </c>
      <c r="I17" s="18">
        <v>8.15</v>
      </c>
      <c r="J17" s="18">
        <v>7.9</v>
      </c>
      <c r="K17" s="18">
        <v>8.49</v>
      </c>
      <c r="L17" s="18">
        <v>8.34</v>
      </c>
      <c r="M17" s="18">
        <v>8.74</v>
      </c>
      <c r="N17" s="20">
        <v>8.8699999999999992</v>
      </c>
      <c r="O17" s="24">
        <f t="shared" si="0"/>
        <v>8.4791666666666661</v>
      </c>
    </row>
    <row r="18" spans="2:15" ht="17.45" customHeight="1" x14ac:dyDescent="0.2">
      <c r="B18" s="17">
        <v>1980</v>
      </c>
      <c r="C18" s="18">
        <v>8.9</v>
      </c>
      <c r="D18" s="18">
        <v>8.74</v>
      </c>
      <c r="E18" s="18">
        <v>7.83</v>
      </c>
      <c r="F18" s="18">
        <v>7.13</v>
      </c>
      <c r="G18" s="18">
        <v>6.36</v>
      </c>
      <c r="H18" s="18">
        <v>5.41</v>
      </c>
      <c r="I18" s="18">
        <v>5.17</v>
      </c>
      <c r="J18" s="18">
        <v>5.34</v>
      </c>
      <c r="K18" s="18">
        <v>4.3499999999999996</v>
      </c>
      <c r="L18" s="18">
        <v>4.7</v>
      </c>
      <c r="M18" s="18">
        <v>5.53</v>
      </c>
      <c r="N18" s="20">
        <v>5.92</v>
      </c>
      <c r="O18" s="24">
        <f t="shared" si="0"/>
        <v>6.2816666666666672</v>
      </c>
    </row>
    <row r="19" spans="2:15" ht="17.45" customHeight="1" x14ac:dyDescent="0.2">
      <c r="B19" s="17">
        <v>1981</v>
      </c>
      <c r="C19" s="18">
        <v>6.09</v>
      </c>
      <c r="D19" s="18">
        <v>14.78</v>
      </c>
      <c r="E19" s="18">
        <v>23.33</v>
      </c>
      <c r="F19" s="18">
        <v>10.94</v>
      </c>
      <c r="G19" s="18">
        <v>10.25</v>
      </c>
      <c r="H19" s="18">
        <v>10.34</v>
      </c>
      <c r="I19" s="18">
        <v>10.24</v>
      </c>
      <c r="J19" s="18">
        <v>10.26</v>
      </c>
      <c r="K19" s="18">
        <v>10.68</v>
      </c>
      <c r="L19" s="18">
        <v>11.29</v>
      </c>
      <c r="M19" s="18">
        <v>11.38</v>
      </c>
      <c r="N19" s="20">
        <v>11.12</v>
      </c>
      <c r="O19" s="24">
        <f t="shared" si="0"/>
        <v>11.725</v>
      </c>
    </row>
    <row r="20" spans="2:15" s="25" customFormat="1" ht="17.45" customHeight="1" x14ac:dyDescent="0.2">
      <c r="B20" s="22">
        <v>1982</v>
      </c>
      <c r="C20" s="19">
        <v>12.49</v>
      </c>
      <c r="D20" s="19">
        <v>11.72</v>
      </c>
      <c r="E20" s="19">
        <v>9.08</v>
      </c>
      <c r="F20" s="19">
        <v>9.0500000000000007</v>
      </c>
      <c r="G20" s="19">
        <v>8.19</v>
      </c>
      <c r="H20" s="19">
        <v>7.63</v>
      </c>
      <c r="I20" s="19">
        <v>8.18</v>
      </c>
      <c r="J20" s="19">
        <v>8.42</v>
      </c>
      <c r="K20" s="19">
        <v>8.49</v>
      </c>
      <c r="L20" s="19">
        <v>8.81</v>
      </c>
      <c r="M20" s="19">
        <v>10.1</v>
      </c>
      <c r="N20" s="23">
        <v>9.74</v>
      </c>
      <c r="O20" s="24">
        <f t="shared" si="0"/>
        <v>9.3249999999999993</v>
      </c>
    </row>
    <row r="21" spans="2:15" s="25" customFormat="1" ht="17.45" customHeight="1" x14ac:dyDescent="0.2">
      <c r="B21" s="22">
        <v>1983</v>
      </c>
      <c r="C21" s="19">
        <v>9.3699999999999992</v>
      </c>
      <c r="D21" s="19">
        <v>8.08</v>
      </c>
      <c r="E21" s="19">
        <v>7.84</v>
      </c>
      <c r="F21" s="19">
        <v>6.17</v>
      </c>
      <c r="G21" s="19">
        <v>4.04</v>
      </c>
      <c r="H21" s="19">
        <v>3.71</v>
      </c>
      <c r="I21" s="19">
        <v>3.73</v>
      </c>
      <c r="J21" s="19">
        <v>3.74</v>
      </c>
      <c r="K21" s="19">
        <v>3.74</v>
      </c>
      <c r="L21" s="19">
        <v>4.6500000000000004</v>
      </c>
      <c r="M21" s="19">
        <v>4.9800000000000004</v>
      </c>
      <c r="N21" s="23">
        <v>4.97</v>
      </c>
      <c r="O21" s="24">
        <f t="shared" si="0"/>
        <v>5.418333333333333</v>
      </c>
    </row>
    <row r="22" spans="2:15" ht="17.45" customHeight="1" x14ac:dyDescent="0.2">
      <c r="B22" s="17">
        <v>1984</v>
      </c>
      <c r="C22" s="18">
        <v>5.85</v>
      </c>
      <c r="D22" s="18">
        <v>47.14</v>
      </c>
      <c r="E22" s="18">
        <v>36.43</v>
      </c>
      <c r="F22" s="18">
        <v>17.559999999999999</v>
      </c>
      <c r="G22" s="18">
        <v>11.24</v>
      </c>
      <c r="H22" s="18">
        <v>10.58</v>
      </c>
      <c r="I22" s="18">
        <v>10.41</v>
      </c>
      <c r="J22" s="18">
        <v>10.85</v>
      </c>
      <c r="K22" s="18">
        <v>11.9</v>
      </c>
      <c r="L22" s="18">
        <v>12.01</v>
      </c>
      <c r="M22" s="18">
        <v>12.95</v>
      </c>
      <c r="N22" s="20">
        <v>13.54</v>
      </c>
      <c r="O22" s="24">
        <f t="shared" si="0"/>
        <v>16.704999999999998</v>
      </c>
    </row>
    <row r="23" spans="2:15" ht="17.45" customHeight="1" x14ac:dyDescent="0.2">
      <c r="B23" s="17">
        <v>1985</v>
      </c>
      <c r="C23" s="18">
        <v>12.71</v>
      </c>
      <c r="D23" s="18">
        <v>33.130000000000003</v>
      </c>
      <c r="E23" s="18">
        <v>36</v>
      </c>
      <c r="F23" s="18">
        <v>39.96</v>
      </c>
      <c r="G23" s="18">
        <v>13.84</v>
      </c>
      <c r="H23" s="18">
        <v>13.66</v>
      </c>
      <c r="I23" s="18">
        <v>13.32</v>
      </c>
      <c r="J23" s="18">
        <v>12.08</v>
      </c>
      <c r="K23" s="18">
        <v>12.09</v>
      </c>
      <c r="L23" s="18">
        <v>13</v>
      </c>
      <c r="M23" s="18">
        <v>13.25</v>
      </c>
      <c r="N23" s="20">
        <v>13.31</v>
      </c>
      <c r="O23" s="24">
        <f t="shared" si="0"/>
        <v>18.862500000000001</v>
      </c>
    </row>
    <row r="24" spans="2:15" ht="17.45" customHeight="1" x14ac:dyDescent="0.2">
      <c r="B24" s="17">
        <v>1986</v>
      </c>
      <c r="C24" s="18">
        <v>27.62</v>
      </c>
      <c r="D24" s="18">
        <v>47.94</v>
      </c>
      <c r="E24" s="18">
        <v>63</v>
      </c>
      <c r="F24" s="18">
        <v>24.34</v>
      </c>
      <c r="G24" s="18">
        <v>13.54</v>
      </c>
      <c r="H24" s="18">
        <v>12.26</v>
      </c>
      <c r="I24" s="18">
        <v>12.3</v>
      </c>
      <c r="J24" s="18">
        <v>12.44</v>
      </c>
      <c r="K24" s="18">
        <v>13.17</v>
      </c>
      <c r="L24" s="18">
        <v>13.42</v>
      </c>
      <c r="M24" s="18">
        <v>14.11</v>
      </c>
      <c r="N24" s="20">
        <v>13.93</v>
      </c>
      <c r="O24" s="24">
        <f t="shared" si="0"/>
        <v>22.339166666666667</v>
      </c>
    </row>
    <row r="25" spans="2:15" ht="17.45" customHeight="1" x14ac:dyDescent="0.2">
      <c r="B25" s="17">
        <v>1987</v>
      </c>
      <c r="C25" s="18">
        <v>27.07</v>
      </c>
      <c r="D25" s="18">
        <v>18.350000000000001</v>
      </c>
      <c r="E25" s="18">
        <v>13.13</v>
      </c>
      <c r="F25" s="18">
        <v>10.52</v>
      </c>
      <c r="G25" s="18">
        <v>9.44</v>
      </c>
      <c r="H25" s="18">
        <v>8.24</v>
      </c>
      <c r="I25" s="18">
        <v>8.26</v>
      </c>
      <c r="J25" s="18">
        <v>10.23</v>
      </c>
      <c r="K25" s="18">
        <v>10.15</v>
      </c>
      <c r="L25" s="18">
        <v>9.85</v>
      </c>
      <c r="M25" s="18">
        <v>10.45</v>
      </c>
      <c r="N25" s="20">
        <v>10.51</v>
      </c>
      <c r="O25" s="24">
        <f t="shared" si="0"/>
        <v>12.183333333333332</v>
      </c>
    </row>
    <row r="26" spans="2:15" ht="17.45" customHeight="1" x14ac:dyDescent="0.2">
      <c r="B26" s="17">
        <v>1988</v>
      </c>
      <c r="C26" s="18">
        <v>10.53</v>
      </c>
      <c r="D26" s="18">
        <v>16.8</v>
      </c>
      <c r="E26" s="18">
        <v>11.25</v>
      </c>
      <c r="F26" s="18">
        <v>16.86</v>
      </c>
      <c r="G26" s="18">
        <v>9.19</v>
      </c>
      <c r="H26" s="18">
        <v>9.39</v>
      </c>
      <c r="I26" s="18">
        <v>9.2200000000000006</v>
      </c>
      <c r="J26" s="18">
        <v>10.02</v>
      </c>
      <c r="K26" s="18">
        <v>10.59</v>
      </c>
      <c r="L26" s="18">
        <v>10.52</v>
      </c>
      <c r="M26" s="18">
        <v>10.34</v>
      </c>
      <c r="N26" s="20">
        <v>10.71</v>
      </c>
      <c r="O26" s="24">
        <f t="shared" si="0"/>
        <v>11.284999999999998</v>
      </c>
    </row>
    <row r="27" spans="2:15" ht="17.45" customHeight="1" x14ac:dyDescent="0.2">
      <c r="B27" s="17">
        <v>1989</v>
      </c>
      <c r="C27" s="18">
        <v>9.8699999999999992</v>
      </c>
      <c r="D27" s="18">
        <v>10.1</v>
      </c>
      <c r="E27" s="18">
        <v>11.03</v>
      </c>
      <c r="F27" s="18">
        <v>8.16</v>
      </c>
      <c r="G27" s="18">
        <v>8.16</v>
      </c>
      <c r="H27" s="18">
        <v>8.16</v>
      </c>
      <c r="I27" s="18">
        <v>8.16</v>
      </c>
      <c r="J27" s="18">
        <v>9.2100000000000009</v>
      </c>
      <c r="K27" s="18">
        <v>9.2100000000000009</v>
      </c>
      <c r="L27" s="18">
        <v>10.130000000000001</v>
      </c>
      <c r="M27" s="18">
        <v>10.130000000000001</v>
      </c>
      <c r="N27" s="20">
        <v>10.130000000000001</v>
      </c>
      <c r="O27" s="24">
        <f t="shared" si="0"/>
        <v>9.3708333333333318</v>
      </c>
    </row>
    <row r="28" spans="2:15" ht="17.45" customHeight="1" x14ac:dyDescent="0.2">
      <c r="B28" s="17">
        <v>1990</v>
      </c>
      <c r="C28" s="18">
        <v>9.86</v>
      </c>
      <c r="D28" s="18">
        <v>8.31</v>
      </c>
      <c r="E28" s="18">
        <v>5.99</v>
      </c>
      <c r="F28" s="18">
        <v>4.3899999999999997</v>
      </c>
      <c r="G28" s="18">
        <v>3.89</v>
      </c>
      <c r="H28" s="18">
        <v>3.9</v>
      </c>
      <c r="I28" s="18">
        <v>4.08</v>
      </c>
      <c r="J28" s="18">
        <v>4.25</v>
      </c>
      <c r="K28" s="18">
        <v>4.24</v>
      </c>
      <c r="L28" s="18">
        <v>4.2300000000000004</v>
      </c>
      <c r="M28" s="18">
        <v>4.37</v>
      </c>
      <c r="N28" s="20">
        <v>6.61</v>
      </c>
      <c r="O28" s="24">
        <f t="shared" si="0"/>
        <v>5.3433333333333337</v>
      </c>
    </row>
    <row r="29" spans="2:15" ht="17.45" customHeight="1" x14ac:dyDescent="0.2">
      <c r="B29" s="17">
        <v>1991</v>
      </c>
      <c r="C29" s="18">
        <v>9.06</v>
      </c>
      <c r="D29" s="18">
        <v>8.7899999999999991</v>
      </c>
      <c r="E29" s="18">
        <v>29.14</v>
      </c>
      <c r="F29" s="18">
        <v>10.37</v>
      </c>
      <c r="G29" s="18">
        <v>9.8000000000000007</v>
      </c>
      <c r="H29" s="18">
        <v>8.9499999999999993</v>
      </c>
      <c r="I29" s="18">
        <v>8.27</v>
      </c>
      <c r="J29" s="18">
        <v>9.2799999999999994</v>
      </c>
      <c r="K29" s="18">
        <v>9.14</v>
      </c>
      <c r="L29" s="18">
        <v>9.31</v>
      </c>
      <c r="M29" s="18">
        <v>9.85</v>
      </c>
      <c r="N29" s="20">
        <v>10.24</v>
      </c>
      <c r="O29" s="24">
        <f t="shared" si="0"/>
        <v>11.016666666666666</v>
      </c>
    </row>
    <row r="30" spans="2:15" s="25" customFormat="1" ht="17.45" customHeight="1" x14ac:dyDescent="0.2">
      <c r="B30" s="22">
        <v>1992</v>
      </c>
      <c r="C30" s="19">
        <v>8.35</v>
      </c>
      <c r="D30" s="19">
        <v>5.69</v>
      </c>
      <c r="E30" s="19">
        <v>3.86</v>
      </c>
      <c r="F30" s="19">
        <v>3.77</v>
      </c>
      <c r="G30" s="19">
        <v>4.0199999999999996</v>
      </c>
      <c r="H30" s="19">
        <v>3.9</v>
      </c>
      <c r="I30" s="19">
        <v>3.92</v>
      </c>
      <c r="J30" s="19">
        <v>4.0999999999999996</v>
      </c>
      <c r="K30" s="19">
        <v>4.0199999999999996</v>
      </c>
      <c r="L30" s="19">
        <v>4.07</v>
      </c>
      <c r="M30" s="19">
        <v>3.78</v>
      </c>
      <c r="N30" s="23">
        <v>3.71</v>
      </c>
      <c r="O30" s="24">
        <f t="shared" si="0"/>
        <v>4.4325000000000001</v>
      </c>
    </row>
    <row r="31" spans="2:15" ht="17.45" customHeight="1" x14ac:dyDescent="0.2">
      <c r="B31" s="17">
        <v>1993</v>
      </c>
      <c r="C31" s="18">
        <v>5.83</v>
      </c>
      <c r="D31" s="18">
        <v>9.5</v>
      </c>
      <c r="E31" s="18">
        <v>11.7</v>
      </c>
      <c r="F31" s="18">
        <v>8.24</v>
      </c>
      <c r="G31" s="18">
        <v>7.88</v>
      </c>
      <c r="H31" s="18">
        <v>7.77</v>
      </c>
      <c r="I31" s="18">
        <v>8.1199999999999992</v>
      </c>
      <c r="J31" s="18">
        <v>8.1</v>
      </c>
      <c r="K31" s="18">
        <v>8.0399999999999991</v>
      </c>
      <c r="L31" s="18">
        <v>8.5399999999999991</v>
      </c>
      <c r="M31" s="18">
        <v>9.32</v>
      </c>
      <c r="N31" s="20">
        <v>10.039999999999999</v>
      </c>
      <c r="O31" s="24">
        <f t="shared" si="0"/>
        <v>8.5899999999999981</v>
      </c>
    </row>
    <row r="32" spans="2:15" ht="17.45" customHeight="1" x14ac:dyDescent="0.2">
      <c r="B32" s="17">
        <v>1994</v>
      </c>
      <c r="C32" s="34">
        <v>11.29</v>
      </c>
      <c r="D32" s="34">
        <v>14.34</v>
      </c>
      <c r="E32" s="34">
        <v>13.76</v>
      </c>
      <c r="F32" s="34">
        <v>11.67</v>
      </c>
      <c r="G32" s="34">
        <v>10.62</v>
      </c>
      <c r="H32" s="34">
        <v>11.26</v>
      </c>
      <c r="I32" s="34">
        <v>11.74</v>
      </c>
      <c r="J32" s="34">
        <v>11.06</v>
      </c>
      <c r="K32" s="34">
        <v>12.03</v>
      </c>
      <c r="L32" s="34">
        <v>12.06</v>
      </c>
      <c r="M32" s="34">
        <v>12.7</v>
      </c>
      <c r="N32" s="36">
        <v>12.35</v>
      </c>
      <c r="O32" s="24">
        <f t="shared" si="0"/>
        <v>12.073333333333332</v>
      </c>
    </row>
    <row r="33" spans="2:15" ht="17.45" customHeight="1" x14ac:dyDescent="0.2">
      <c r="B33" s="17">
        <v>1995</v>
      </c>
      <c r="C33" s="34">
        <v>10.93</v>
      </c>
      <c r="D33" s="34">
        <v>8.6300000000000008</v>
      </c>
      <c r="E33" s="34">
        <v>10.35</v>
      </c>
      <c r="F33" s="34">
        <v>9.7899999999999991</v>
      </c>
      <c r="G33" s="34">
        <v>9.33</v>
      </c>
      <c r="H33" s="34">
        <v>9.2100000000000009</v>
      </c>
      <c r="I33" s="34">
        <v>8.92</v>
      </c>
      <c r="J33" s="34">
        <v>8.92</v>
      </c>
      <c r="K33" s="34">
        <v>8.34</v>
      </c>
      <c r="L33" s="34">
        <v>9.09</v>
      </c>
      <c r="M33" s="34">
        <v>8.94</v>
      </c>
      <c r="N33" s="36">
        <v>8.6999999999999993</v>
      </c>
      <c r="O33" s="24">
        <f t="shared" si="0"/>
        <v>9.2625000000000011</v>
      </c>
    </row>
    <row r="34" spans="2:15" ht="17.45" customHeight="1" x14ac:dyDescent="0.2">
      <c r="B34" s="17">
        <v>1996</v>
      </c>
      <c r="C34" s="34">
        <v>5.1710000000000003</v>
      </c>
      <c r="D34" s="34">
        <v>7.1340000000000003</v>
      </c>
      <c r="E34" s="34">
        <v>9.7040000000000006</v>
      </c>
      <c r="F34" s="34">
        <v>9.0050000000000008</v>
      </c>
      <c r="G34" s="34">
        <v>6.1870000000000003</v>
      </c>
      <c r="H34" s="34">
        <v>6.1719999999999997</v>
      </c>
      <c r="I34" s="34">
        <v>6.71</v>
      </c>
      <c r="J34" s="34">
        <v>7.617</v>
      </c>
      <c r="K34" s="34">
        <v>8.3260000000000005</v>
      </c>
      <c r="L34" s="34">
        <v>8.7539999999999996</v>
      </c>
      <c r="M34" s="34">
        <v>9.2040000000000006</v>
      </c>
      <c r="N34" s="36">
        <v>9.4930000000000003</v>
      </c>
      <c r="O34" s="24">
        <f t="shared" si="0"/>
        <v>7.7897500000000006</v>
      </c>
    </row>
    <row r="35" spans="2:15" ht="17.45" customHeight="1" x14ac:dyDescent="0.2">
      <c r="B35" s="17">
        <v>1997</v>
      </c>
      <c r="C35" s="34">
        <v>9.6240000000000006</v>
      </c>
      <c r="D35" s="34">
        <v>13.731</v>
      </c>
      <c r="E35" s="34">
        <v>17.145</v>
      </c>
      <c r="F35" s="34">
        <v>11.929</v>
      </c>
      <c r="G35" s="34">
        <v>10.997</v>
      </c>
      <c r="H35" s="34">
        <v>9.2629999999999999</v>
      </c>
      <c r="I35" s="34">
        <v>6.7751612903225817</v>
      </c>
      <c r="J35" s="34">
        <v>7.5574193548387081</v>
      </c>
      <c r="K35" s="34">
        <v>8.3723333333333336</v>
      </c>
      <c r="L35" s="34">
        <v>8.7754838709677419</v>
      </c>
      <c r="M35" s="34">
        <v>9.0873333333333335</v>
      </c>
      <c r="N35" s="48">
        <v>9.4948387096774223</v>
      </c>
      <c r="O35" s="24">
        <f t="shared" si="0"/>
        <v>10.229297491039429</v>
      </c>
    </row>
    <row r="36" spans="2:15" ht="17.45" customHeight="1" x14ac:dyDescent="0.2">
      <c r="B36" s="17">
        <v>1998</v>
      </c>
      <c r="C36" s="34">
        <v>10.32</v>
      </c>
      <c r="D36" s="34">
        <v>16.97</v>
      </c>
      <c r="E36" s="34">
        <v>13.38</v>
      </c>
      <c r="F36" s="34">
        <v>11.94</v>
      </c>
      <c r="G36" s="34">
        <v>10.67</v>
      </c>
      <c r="H36" s="34">
        <v>8.6</v>
      </c>
      <c r="I36" s="34">
        <v>8.5399999999999991</v>
      </c>
      <c r="J36" s="34">
        <v>8.5</v>
      </c>
      <c r="K36" s="34">
        <v>10.02</v>
      </c>
      <c r="L36" s="34">
        <v>10.53</v>
      </c>
      <c r="M36" s="34">
        <v>11.01</v>
      </c>
      <c r="N36" s="48">
        <v>11.12</v>
      </c>
      <c r="O36" s="24">
        <f t="shared" si="0"/>
        <v>10.966666666666667</v>
      </c>
    </row>
    <row r="37" spans="2:15" ht="17.45" customHeight="1" x14ac:dyDescent="0.2">
      <c r="B37" s="44">
        <v>1999</v>
      </c>
      <c r="C37" s="34">
        <v>10.47</v>
      </c>
      <c r="D37" s="34">
        <v>16.54</v>
      </c>
      <c r="E37" s="34">
        <v>23.13</v>
      </c>
      <c r="F37" s="34">
        <v>20.87</v>
      </c>
      <c r="G37" s="34">
        <v>13.05</v>
      </c>
      <c r="H37" s="34">
        <v>10.013</v>
      </c>
      <c r="I37" s="34">
        <v>10.02</v>
      </c>
      <c r="J37" s="34">
        <v>11.32</v>
      </c>
      <c r="K37" s="34">
        <v>12</v>
      </c>
      <c r="L37" s="34">
        <v>12.17</v>
      </c>
      <c r="M37" s="34">
        <v>13.06</v>
      </c>
      <c r="N37" s="48">
        <v>13.01</v>
      </c>
      <c r="O37" s="24">
        <f t="shared" si="0"/>
        <v>13.804416666666667</v>
      </c>
    </row>
    <row r="38" spans="2:15" ht="17.45" customHeight="1" x14ac:dyDescent="0.2">
      <c r="B38" s="44">
        <v>2000</v>
      </c>
      <c r="C38" s="34">
        <v>16</v>
      </c>
      <c r="D38" s="34">
        <v>17.41</v>
      </c>
      <c r="E38" s="34">
        <v>18.5</v>
      </c>
      <c r="F38" s="34">
        <v>15.96</v>
      </c>
      <c r="G38" s="34">
        <v>11.6</v>
      </c>
      <c r="H38" s="34">
        <v>10.55</v>
      </c>
      <c r="I38" s="34">
        <v>10.51</v>
      </c>
      <c r="J38" s="34">
        <v>10.73</v>
      </c>
      <c r="K38" s="34">
        <v>11.53</v>
      </c>
      <c r="L38" s="34">
        <v>12.27</v>
      </c>
      <c r="M38" s="34">
        <v>13.09</v>
      </c>
      <c r="N38" s="48">
        <v>13.05</v>
      </c>
      <c r="O38" s="24">
        <f t="shared" si="0"/>
        <v>13.433333333333335</v>
      </c>
    </row>
    <row r="39" spans="2:15" ht="17.45" customHeight="1" x14ac:dyDescent="0.2">
      <c r="B39" s="44">
        <v>2001</v>
      </c>
      <c r="C39" s="34">
        <v>16.108064516129033</v>
      </c>
      <c r="D39" s="34">
        <v>23.681071428571432</v>
      </c>
      <c r="E39" s="34">
        <v>23.24</v>
      </c>
      <c r="F39" s="34">
        <v>22.233666666666668</v>
      </c>
      <c r="G39" s="34">
        <v>19.902580645161287</v>
      </c>
      <c r="H39" s="34">
        <v>15.034666666666668</v>
      </c>
      <c r="I39" s="34">
        <v>15.071612903225802</v>
      </c>
      <c r="J39" s="34">
        <v>15.183548387096774</v>
      </c>
      <c r="K39" s="34">
        <v>13.145999999999999</v>
      </c>
      <c r="L39" s="34">
        <v>11.024516129032257</v>
      </c>
      <c r="M39" s="34">
        <v>11.040333333333333</v>
      </c>
      <c r="N39" s="48">
        <v>11.002258064516129</v>
      </c>
      <c r="O39" s="24">
        <f t="shared" si="0"/>
        <v>16.389026561699946</v>
      </c>
    </row>
    <row r="40" spans="2:15" ht="17.45" customHeight="1" x14ac:dyDescent="0.2">
      <c r="B40" s="44">
        <v>2002</v>
      </c>
      <c r="C40" s="34">
        <v>8.7719032258064491</v>
      </c>
      <c r="D40" s="34">
        <v>14.8325</v>
      </c>
      <c r="E40" s="34">
        <v>20.948709677419355</v>
      </c>
      <c r="F40" s="34">
        <v>14.964</v>
      </c>
      <c r="G40" s="34">
        <v>10.845806451612905</v>
      </c>
      <c r="H40" s="34">
        <v>10.091000000000003</v>
      </c>
      <c r="I40" s="34">
        <v>9.871612903225806</v>
      </c>
      <c r="J40" s="34">
        <v>9.2774193548387078</v>
      </c>
      <c r="K40" s="34">
        <v>10.071333333333333</v>
      </c>
      <c r="L40" s="34">
        <v>10.540967741935486</v>
      </c>
      <c r="M40" s="34">
        <v>11.783999999999999</v>
      </c>
      <c r="N40" s="48">
        <v>12.13</v>
      </c>
      <c r="O40" s="24">
        <f t="shared" si="0"/>
        <v>12.01077105734767</v>
      </c>
    </row>
    <row r="41" spans="2:15" ht="17.45" customHeight="1" x14ac:dyDescent="0.2">
      <c r="B41" s="44">
        <v>2003</v>
      </c>
      <c r="C41" s="34">
        <v>12.11</v>
      </c>
      <c r="D41" s="34">
        <v>12.2</v>
      </c>
      <c r="E41" s="34">
        <v>14.803870967741934</v>
      </c>
      <c r="F41" s="34">
        <v>15.962999999999999</v>
      </c>
      <c r="G41" s="34">
        <v>10.903225806451617</v>
      </c>
      <c r="H41" s="34">
        <v>10.063666666666665</v>
      </c>
      <c r="I41" s="34">
        <v>10.187741935483869</v>
      </c>
      <c r="J41" s="34">
        <v>10.418064516129032</v>
      </c>
      <c r="K41" s="34">
        <v>11.17</v>
      </c>
      <c r="L41" s="34">
        <v>12.1612903225806</v>
      </c>
      <c r="M41" s="34">
        <v>12.032999999999999</v>
      </c>
      <c r="N41" s="48">
        <v>12.032580645161287</v>
      </c>
      <c r="O41" s="24">
        <f t="shared" ref="O41:O63" si="1">AVERAGE(C41:N41)</f>
        <v>12.003870071684583</v>
      </c>
    </row>
    <row r="42" spans="2:15" ht="17.45" customHeight="1" x14ac:dyDescent="0.2">
      <c r="B42" s="44">
        <v>2004</v>
      </c>
      <c r="C42" s="34">
        <v>13.892903225806451</v>
      </c>
      <c r="D42" s="34">
        <v>20.039655172413788</v>
      </c>
      <c r="E42" s="34">
        <v>12.705161290322582</v>
      </c>
      <c r="F42" s="34">
        <v>12.119666666666667</v>
      </c>
      <c r="G42" s="34">
        <v>10.03483870967742</v>
      </c>
      <c r="H42" s="34">
        <v>9.982666666666665</v>
      </c>
      <c r="I42" s="34">
        <v>10.027741935483871</v>
      </c>
      <c r="J42" s="34">
        <v>10.201935483870967</v>
      </c>
      <c r="K42" s="34">
        <v>11.098333333333333</v>
      </c>
      <c r="L42" s="34">
        <v>11.542580645161292</v>
      </c>
      <c r="M42" s="34">
        <v>12.057741935483874</v>
      </c>
      <c r="N42" s="48">
        <v>12.051562499999999</v>
      </c>
      <c r="O42" s="24">
        <f t="shared" si="1"/>
        <v>12.146232297073908</v>
      </c>
    </row>
    <row r="43" spans="2:15" ht="17.45" customHeight="1" x14ac:dyDescent="0.2">
      <c r="B43" s="44">
        <v>2005</v>
      </c>
      <c r="C43" s="34">
        <v>11.405806451612902</v>
      </c>
      <c r="D43" s="34">
        <v>12.99</v>
      </c>
      <c r="E43" s="34">
        <v>10.045031859639401</v>
      </c>
      <c r="F43" s="34">
        <v>8.854000000000001</v>
      </c>
      <c r="G43" s="34">
        <v>8.5193548387096776</v>
      </c>
      <c r="H43" s="34">
        <v>8.0876666666666654</v>
      </c>
      <c r="I43" s="34">
        <v>7.5125806451612904</v>
      </c>
      <c r="J43" s="34">
        <v>7.5022580645161279</v>
      </c>
      <c r="K43" s="34">
        <v>9.0043333333333333</v>
      </c>
      <c r="L43" s="34">
        <v>9.0064516129032253</v>
      </c>
      <c r="M43" s="34">
        <v>9.0094666666666665</v>
      </c>
      <c r="N43" s="48">
        <v>9.0029032258064507</v>
      </c>
      <c r="O43" s="24">
        <f t="shared" si="1"/>
        <v>9.2449877804179774</v>
      </c>
    </row>
    <row r="44" spans="2:15" ht="17.45" customHeight="1" x14ac:dyDescent="0.2">
      <c r="B44" s="44">
        <v>2006</v>
      </c>
      <c r="C44" s="34">
        <v>12.45032258064516</v>
      </c>
      <c r="D44" s="34">
        <v>23.211071428571426</v>
      </c>
      <c r="E44" s="34">
        <v>20.933870967741935</v>
      </c>
      <c r="F44" s="34">
        <v>16.937999999999995</v>
      </c>
      <c r="G44" s="34">
        <v>12.054193548387099</v>
      </c>
      <c r="H44" s="34">
        <v>10.624666666666666</v>
      </c>
      <c r="I44" s="34">
        <v>11.571935483870968</v>
      </c>
      <c r="J44" s="34">
        <v>12.884193548387094</v>
      </c>
      <c r="K44" s="34">
        <v>13.022666666666668</v>
      </c>
      <c r="L44" s="34">
        <v>13.035161290322581</v>
      </c>
      <c r="M44" s="34">
        <v>13.887333333333336</v>
      </c>
      <c r="N44" s="48">
        <v>14.347064516129031</v>
      </c>
      <c r="O44" s="24">
        <f t="shared" si="1"/>
        <v>14.580040002560166</v>
      </c>
    </row>
    <row r="45" spans="2:15" ht="17.45" customHeight="1" x14ac:dyDescent="0.2">
      <c r="B45" s="44">
        <v>2007</v>
      </c>
      <c r="C45" s="34">
        <v>16.676451612903225</v>
      </c>
      <c r="D45" s="34">
        <v>14.08714285714286</v>
      </c>
      <c r="E45" s="34">
        <v>17.031290322580642</v>
      </c>
      <c r="F45" s="34">
        <v>14.151666666666667</v>
      </c>
      <c r="G45" s="34">
        <v>12.330322580645161</v>
      </c>
      <c r="H45" s="34">
        <v>12.026000000000002</v>
      </c>
      <c r="I45" s="34">
        <v>12.003548387096775</v>
      </c>
      <c r="J45" s="34">
        <v>12.024516129032254</v>
      </c>
      <c r="K45" s="34">
        <v>12.437333333333333</v>
      </c>
      <c r="L45" s="34">
        <v>12.83</v>
      </c>
      <c r="M45" s="34">
        <v>13.005632564971917</v>
      </c>
      <c r="N45" s="48">
        <v>13.006774193548386</v>
      </c>
      <c r="O45" s="24">
        <f t="shared" si="1"/>
        <v>13.467556553993433</v>
      </c>
    </row>
    <row r="46" spans="2:15" ht="17.45" customHeight="1" x14ac:dyDescent="0.2">
      <c r="B46" s="44">
        <v>2008</v>
      </c>
      <c r="C46" s="34">
        <v>16.995935483870969</v>
      </c>
      <c r="D46" s="34">
        <v>13.253</v>
      </c>
      <c r="E46" s="34">
        <v>12.706286166439565</v>
      </c>
      <c r="F46" s="34">
        <v>11.186333333333335</v>
      </c>
      <c r="G46" s="34">
        <v>9.6109677419354824</v>
      </c>
      <c r="H46" s="34">
        <v>9.5108496870572345</v>
      </c>
      <c r="I46" s="34">
        <v>9.5135483870967743</v>
      </c>
      <c r="J46" s="34">
        <v>9.5190322580645166</v>
      </c>
      <c r="K46" s="34">
        <v>10.252999999999998</v>
      </c>
      <c r="L46" s="34">
        <v>10.501935483870968</v>
      </c>
      <c r="M46" s="34">
        <v>10.508666666666667</v>
      </c>
      <c r="N46" s="48">
        <v>10.500967741935485</v>
      </c>
      <c r="O46" s="24">
        <f t="shared" si="1"/>
        <v>11.171710245855918</v>
      </c>
    </row>
    <row r="47" spans="2:15" ht="17.45" customHeight="1" x14ac:dyDescent="0.2">
      <c r="B47" s="44">
        <v>2009</v>
      </c>
      <c r="C47" s="34">
        <v>9.6732258064516135</v>
      </c>
      <c r="D47" s="34">
        <v>7.6864285714285714</v>
      </c>
      <c r="E47" s="34">
        <v>13.02290322580645</v>
      </c>
      <c r="F47" s="34">
        <v>9.0126666666666679</v>
      </c>
      <c r="G47" s="34">
        <v>9.0048387096774185</v>
      </c>
      <c r="H47" s="34">
        <v>8.6050000000000004</v>
      </c>
      <c r="I47" s="34">
        <v>7.78</v>
      </c>
      <c r="J47" s="34">
        <v>8.01</v>
      </c>
      <c r="K47" s="34">
        <v>8.98</v>
      </c>
      <c r="L47" s="34">
        <v>9.1977419354838723</v>
      </c>
      <c r="M47" s="34">
        <v>9.2063333333333297</v>
      </c>
      <c r="N47" s="48">
        <v>9.2016129032258025</v>
      </c>
      <c r="O47" s="24">
        <f t="shared" si="1"/>
        <v>9.1150625960061458</v>
      </c>
    </row>
    <row r="48" spans="2:15" ht="17.45" customHeight="1" x14ac:dyDescent="0.2">
      <c r="B48" s="44">
        <v>2010</v>
      </c>
      <c r="C48" s="34">
        <v>8.4303225806451589</v>
      </c>
      <c r="D48" s="34">
        <v>9.1300000000000008</v>
      </c>
      <c r="E48" s="34">
        <v>10.73</v>
      </c>
      <c r="F48" s="34">
        <v>11.104333333333335</v>
      </c>
      <c r="G48" s="34">
        <v>10.68</v>
      </c>
      <c r="H48" s="34">
        <v>10.050000000000001</v>
      </c>
      <c r="I48" s="34">
        <v>10</v>
      </c>
      <c r="J48" s="34">
        <v>10.9</v>
      </c>
      <c r="K48" s="34">
        <v>11.01</v>
      </c>
      <c r="L48" s="34">
        <v>11.78</v>
      </c>
      <c r="M48" s="34">
        <v>11.87</v>
      </c>
      <c r="N48" s="48">
        <v>12</v>
      </c>
      <c r="O48" s="24">
        <f t="shared" si="1"/>
        <v>10.640387992831544</v>
      </c>
    </row>
    <row r="49" spans="2:15" ht="17.45" customHeight="1" x14ac:dyDescent="0.2">
      <c r="B49" s="44">
        <v>2011</v>
      </c>
      <c r="C49" s="34">
        <v>11.97</v>
      </c>
      <c r="D49" s="34">
        <v>14.92</v>
      </c>
      <c r="E49" s="34">
        <v>18.77</v>
      </c>
      <c r="F49" s="34">
        <v>20.12</v>
      </c>
      <c r="G49" s="34">
        <v>13.32</v>
      </c>
      <c r="H49" s="34">
        <v>12.965999999999999</v>
      </c>
      <c r="I49" s="34">
        <v>13</v>
      </c>
      <c r="J49" s="34">
        <v>13</v>
      </c>
      <c r="K49" s="34">
        <v>12.723666666666665</v>
      </c>
      <c r="L49" s="34">
        <v>13.958387096774194</v>
      </c>
      <c r="M49" s="34">
        <v>13.69</v>
      </c>
      <c r="N49" s="48">
        <v>13.99</v>
      </c>
      <c r="O49" s="24">
        <f t="shared" si="1"/>
        <v>14.369004480286739</v>
      </c>
    </row>
    <row r="50" spans="2:15" ht="17.45" customHeight="1" x14ac:dyDescent="0.2">
      <c r="B50" s="44">
        <v>2012</v>
      </c>
      <c r="C50" s="34">
        <v>15.015806451612905</v>
      </c>
      <c r="D50" s="34">
        <v>15.15</v>
      </c>
      <c r="E50" s="34">
        <v>15</v>
      </c>
      <c r="F50" s="34">
        <v>14.586921491216048</v>
      </c>
      <c r="G50" s="34">
        <v>14.237741935483873</v>
      </c>
      <c r="H50" s="34">
        <v>14.05</v>
      </c>
      <c r="I50" s="34">
        <v>13.22</v>
      </c>
      <c r="J50" s="34">
        <v>12.51</v>
      </c>
      <c r="K50" s="34">
        <v>13.52</v>
      </c>
      <c r="L50" s="34">
        <v>15.07</v>
      </c>
      <c r="M50" s="34">
        <v>15.11</v>
      </c>
      <c r="N50" s="48">
        <v>18.61</v>
      </c>
      <c r="O50" s="24">
        <f t="shared" si="1"/>
        <v>14.673372489859403</v>
      </c>
    </row>
    <row r="51" spans="2:15" ht="17.45" customHeight="1" x14ac:dyDescent="0.2">
      <c r="B51" s="44">
        <v>2013</v>
      </c>
      <c r="C51" s="34">
        <v>22.88</v>
      </c>
      <c r="D51" s="34">
        <v>20.72</v>
      </c>
      <c r="E51" s="34">
        <v>22.080322580645159</v>
      </c>
      <c r="F51" s="34">
        <v>16.007999999999999</v>
      </c>
      <c r="G51" s="34">
        <v>14.53</v>
      </c>
      <c r="H51" s="34">
        <v>14.009999999999998</v>
      </c>
      <c r="I51" s="34">
        <v>14.015806451612898</v>
      </c>
      <c r="J51" s="34">
        <v>14.020967741935483</v>
      </c>
      <c r="K51" s="34">
        <v>14.01</v>
      </c>
      <c r="L51" s="34">
        <v>14.003548387096773</v>
      </c>
      <c r="M51" s="34">
        <v>14.00433333333333</v>
      </c>
      <c r="N51" s="48">
        <v>14.01</v>
      </c>
      <c r="O51" s="24">
        <f t="shared" si="1"/>
        <v>16.191081541218633</v>
      </c>
    </row>
    <row r="52" spans="2:15" ht="17.45" customHeight="1" x14ac:dyDescent="0.2">
      <c r="B52" s="44">
        <v>2014</v>
      </c>
      <c r="C52" s="34">
        <v>16.495161290322581</v>
      </c>
      <c r="D52" s="34">
        <v>13.94</v>
      </c>
      <c r="E52" s="34">
        <v>11.614516129032257</v>
      </c>
      <c r="F52" s="34">
        <v>9.1373333333333324</v>
      </c>
      <c r="G52" s="34">
        <v>9.0041935483870947</v>
      </c>
      <c r="H52" s="34">
        <v>9.003082775649796</v>
      </c>
      <c r="I52" s="34">
        <v>9.000645161290322</v>
      </c>
      <c r="J52" s="34">
        <v>8.9999999999999982</v>
      </c>
      <c r="K52" s="34">
        <v>10.007</v>
      </c>
      <c r="L52" s="34">
        <v>11.002258064516129</v>
      </c>
      <c r="M52" s="34">
        <v>10.002333333333331</v>
      </c>
      <c r="N52" s="48">
        <v>9.9541869650532995</v>
      </c>
      <c r="O52" s="24">
        <f t="shared" si="1"/>
        <v>10.68005921674318</v>
      </c>
    </row>
    <row r="53" spans="2:15" ht="17.45" customHeight="1" x14ac:dyDescent="0.2">
      <c r="B53" s="44">
        <v>2015</v>
      </c>
      <c r="C53" s="34">
        <v>9.3922580645161275</v>
      </c>
      <c r="D53" s="34">
        <v>9.0007142857142846</v>
      </c>
      <c r="E53" s="34">
        <v>14.390179702440715</v>
      </c>
      <c r="F53" s="34">
        <v>10.3</v>
      </c>
      <c r="G53" s="34">
        <v>9.9983870967741915</v>
      </c>
      <c r="H53" s="34">
        <v>10.005333333333333</v>
      </c>
      <c r="I53" s="34">
        <v>10.002903225806449</v>
      </c>
      <c r="J53" s="34">
        <v>10.01</v>
      </c>
      <c r="K53" s="34">
        <v>10.010999999999999</v>
      </c>
      <c r="L53" s="34">
        <v>10.00516129032258</v>
      </c>
      <c r="M53" s="34">
        <v>10.005666666666666</v>
      </c>
      <c r="N53" s="48">
        <v>10.00483870967742</v>
      </c>
      <c r="O53" s="24">
        <f t="shared" si="1"/>
        <v>10.260536864604314</v>
      </c>
    </row>
    <row r="54" spans="2:15" ht="17.45" customHeight="1" x14ac:dyDescent="0.2">
      <c r="B54" s="44">
        <v>2016</v>
      </c>
      <c r="C54" s="34">
        <v>10.009032258064513</v>
      </c>
      <c r="D54" s="34">
        <v>12.275172413793104</v>
      </c>
      <c r="E54" s="34">
        <v>10.174193548387096</v>
      </c>
      <c r="F54" s="34">
        <v>10.005333333333333</v>
      </c>
      <c r="G54" s="34">
        <v>10.009032258064511</v>
      </c>
      <c r="H54" s="34">
        <v>10.002999999999998</v>
      </c>
      <c r="I54" s="34">
        <v>10.006129032258064</v>
      </c>
      <c r="J54" s="34">
        <v>10.005806451612901</v>
      </c>
      <c r="K54" s="34">
        <v>11.002999999999997</v>
      </c>
      <c r="L54" s="34">
        <v>11.006451612903225</v>
      </c>
      <c r="M54" s="34">
        <v>11.005999999999998</v>
      </c>
      <c r="N54" s="48">
        <v>10.51</v>
      </c>
      <c r="O54" s="24">
        <f t="shared" si="1"/>
        <v>10.501095909034728</v>
      </c>
    </row>
    <row r="55" spans="2:15" ht="17.45" customHeight="1" x14ac:dyDescent="0.2">
      <c r="B55" s="44">
        <v>2017</v>
      </c>
      <c r="C55" s="34">
        <v>10.110967741935484</v>
      </c>
      <c r="D55" s="34">
        <v>10.111071428571426</v>
      </c>
      <c r="E55" s="34">
        <v>9.8206451612903223</v>
      </c>
      <c r="F55" s="34">
        <v>15.386999999999999</v>
      </c>
      <c r="G55" s="34">
        <v>11.08258064516129</v>
      </c>
      <c r="H55" s="34">
        <v>11.001666666666667</v>
      </c>
      <c r="I55" s="34">
        <v>12.000322580645161</v>
      </c>
      <c r="J55" s="34">
        <v>12.000645161290322</v>
      </c>
      <c r="K55" s="34">
        <v>13.000333333333334</v>
      </c>
      <c r="L55" s="34">
        <v>13.002258064516129</v>
      </c>
      <c r="M55" s="34">
        <v>13.000999999999999</v>
      </c>
      <c r="N55" s="48">
        <v>13.004838709677417</v>
      </c>
      <c r="O55" s="24">
        <f t="shared" si="1"/>
        <v>11.960277457757295</v>
      </c>
    </row>
    <row r="56" spans="2:15" ht="17.45" customHeight="1" x14ac:dyDescent="0.2">
      <c r="B56" s="44">
        <v>2018</v>
      </c>
      <c r="C56" s="34">
        <v>15.437741935483873</v>
      </c>
      <c r="D56" s="34">
        <v>17.846785714285716</v>
      </c>
      <c r="E56" s="34">
        <v>19.591290322580644</v>
      </c>
      <c r="F56" s="34">
        <v>14.425666666666668</v>
      </c>
      <c r="G56" s="34">
        <v>11.09483870967742</v>
      </c>
      <c r="H56" s="34">
        <v>11.592666666666668</v>
      </c>
      <c r="I56" s="34">
        <v>12.299032258064518</v>
      </c>
      <c r="J56" s="34">
        <v>12.218709677419353</v>
      </c>
      <c r="K56" s="34">
        <v>12.000333333333334</v>
      </c>
      <c r="L56" s="34">
        <v>13.132580645161289</v>
      </c>
      <c r="M56" s="34">
        <v>12.950999999999999</v>
      </c>
      <c r="N56" s="48">
        <v>13.001290322580646</v>
      </c>
      <c r="O56" s="24">
        <f t="shared" si="1"/>
        <v>13.799328020993343</v>
      </c>
    </row>
    <row r="57" spans="2:15" ht="17.45" customHeight="1" x14ac:dyDescent="0.2">
      <c r="B57" s="44">
        <v>2019</v>
      </c>
      <c r="C57" s="34">
        <v>12.400967741935478</v>
      </c>
      <c r="D57" s="34">
        <v>20.281071428571433</v>
      </c>
      <c r="E57" s="34">
        <v>19.866774193548387</v>
      </c>
      <c r="F57" s="34">
        <v>16.299666666666663</v>
      </c>
      <c r="G57" s="34">
        <v>12.000322580645161</v>
      </c>
      <c r="H57" s="34">
        <v>12.001333333333331</v>
      </c>
      <c r="I57" s="34">
        <v>11.839677419354837</v>
      </c>
      <c r="J57" s="34">
        <v>12.16258064516129</v>
      </c>
      <c r="K57" s="34">
        <v>12.096666666666669</v>
      </c>
      <c r="L57" s="34">
        <v>13.132523135338049</v>
      </c>
      <c r="M57" s="34">
        <v>13.968999999999999</v>
      </c>
      <c r="N57" s="48">
        <v>12.650322580645168</v>
      </c>
      <c r="O57" s="24">
        <f t="shared" si="1"/>
        <v>14.058408865988874</v>
      </c>
    </row>
    <row r="58" spans="2:15" ht="17.45" customHeight="1" x14ac:dyDescent="0.2">
      <c r="B58" s="44">
        <v>2020</v>
      </c>
      <c r="C58" s="34">
        <v>16.187741935483871</v>
      </c>
      <c r="D58" s="34">
        <v>19.983793103448278</v>
      </c>
      <c r="E58" s="34">
        <v>23.547096774193552</v>
      </c>
      <c r="F58" s="34">
        <v>19.617466666666665</v>
      </c>
      <c r="G58" s="34">
        <v>12.194193548387096</v>
      </c>
      <c r="H58" s="34">
        <v>12.000407492168851</v>
      </c>
      <c r="I58" s="34">
        <v>12</v>
      </c>
      <c r="J58" s="34">
        <v>12</v>
      </c>
      <c r="K58" s="34">
        <v>12.700333333333328</v>
      </c>
      <c r="L58" s="34">
        <v>13.1</v>
      </c>
      <c r="M58" s="34">
        <v>12.869333333333335</v>
      </c>
      <c r="N58" s="48">
        <v>14.032258064516132</v>
      </c>
      <c r="O58" s="24">
        <f t="shared" si="1"/>
        <v>15.019385354294258</v>
      </c>
    </row>
    <row r="59" spans="2:15" ht="17.45" customHeight="1" x14ac:dyDescent="0.2">
      <c r="B59" s="44">
        <v>2021</v>
      </c>
      <c r="C59" s="34">
        <v>18.330967741935485</v>
      </c>
      <c r="D59" s="34">
        <v>14.536785714285715</v>
      </c>
      <c r="E59" s="34">
        <v>13.293870967741936</v>
      </c>
      <c r="F59" s="34">
        <v>20.083666666666666</v>
      </c>
      <c r="G59" s="34">
        <v>12</v>
      </c>
      <c r="H59" s="34">
        <v>12</v>
      </c>
      <c r="I59" s="34">
        <v>11.99</v>
      </c>
      <c r="J59" s="34">
        <v>14.01</v>
      </c>
      <c r="K59" s="34">
        <v>14</v>
      </c>
      <c r="L59" s="34">
        <v>14</v>
      </c>
      <c r="M59" s="34">
        <v>14</v>
      </c>
      <c r="N59" s="48">
        <v>14.08</v>
      </c>
      <c r="O59" s="24">
        <f t="shared" si="1"/>
        <v>14.36044092421915</v>
      </c>
    </row>
    <row r="60" spans="2:15" ht="17.45" customHeight="1" x14ac:dyDescent="0.2">
      <c r="B60" s="44">
        <v>2022</v>
      </c>
      <c r="C60" s="34">
        <v>13.25</v>
      </c>
      <c r="D60" s="34">
        <v>12.18</v>
      </c>
      <c r="E60" s="34">
        <v>15.47</v>
      </c>
      <c r="F60" s="34">
        <v>12.78</v>
      </c>
      <c r="G60" s="34">
        <v>12</v>
      </c>
      <c r="H60" s="34">
        <v>12</v>
      </c>
      <c r="I60" s="34">
        <v>12</v>
      </c>
      <c r="J60" s="34">
        <v>14</v>
      </c>
      <c r="K60" s="34">
        <v>14</v>
      </c>
      <c r="L60" s="34">
        <v>14</v>
      </c>
      <c r="M60" s="34">
        <v>13.57</v>
      </c>
      <c r="N60" s="48">
        <v>13.01</v>
      </c>
      <c r="O60" s="24">
        <f t="shared" si="1"/>
        <v>13.188333333333333</v>
      </c>
    </row>
    <row r="61" spans="2:15" ht="17.45" customHeight="1" x14ac:dyDescent="0.2">
      <c r="B61" s="44">
        <v>2023</v>
      </c>
      <c r="C61" s="34">
        <v>10.69</v>
      </c>
      <c r="D61" s="34">
        <v>18.07</v>
      </c>
      <c r="E61" s="34">
        <v>11.44</v>
      </c>
      <c r="F61" s="34">
        <v>9.7799999999999994</v>
      </c>
      <c r="G61" s="34">
        <v>10.46</v>
      </c>
      <c r="H61" s="34">
        <v>10.5</v>
      </c>
      <c r="I61" s="34">
        <v>10.4</v>
      </c>
      <c r="J61" s="34">
        <v>10.62</v>
      </c>
      <c r="K61" s="34">
        <v>11.5</v>
      </c>
      <c r="L61" s="34">
        <v>11.5</v>
      </c>
      <c r="M61" s="34">
        <v>11.8</v>
      </c>
      <c r="N61" s="48">
        <v>10.8</v>
      </c>
      <c r="O61" s="24">
        <f t="shared" si="1"/>
        <v>11.463333333333333</v>
      </c>
    </row>
    <row r="62" spans="2:15" ht="17.45" customHeight="1" x14ac:dyDescent="0.2">
      <c r="B62" s="44">
        <v>2024</v>
      </c>
      <c r="C62" s="34">
        <v>8.9</v>
      </c>
      <c r="D62" s="34">
        <v>9.39</v>
      </c>
      <c r="E62" s="34">
        <v>23.7</v>
      </c>
      <c r="F62" s="34">
        <v>18.690000000000001</v>
      </c>
      <c r="G62" s="34">
        <v>11.3</v>
      </c>
      <c r="H62" s="34">
        <v>11.5</v>
      </c>
      <c r="I62" s="34">
        <v>11.9</v>
      </c>
      <c r="J62" s="34">
        <v>12.7</v>
      </c>
      <c r="K62" s="34">
        <v>12.7</v>
      </c>
      <c r="L62" s="34">
        <v>12.8</v>
      </c>
      <c r="M62" s="34">
        <v>12.8</v>
      </c>
      <c r="N62" s="48">
        <v>12.7</v>
      </c>
      <c r="O62" s="24">
        <f t="shared" si="1"/>
        <v>13.256666666666668</v>
      </c>
    </row>
    <row r="63" spans="2:15" ht="17.45" customHeight="1" thickBot="1" x14ac:dyDescent="0.25">
      <c r="B63" s="44">
        <v>2025</v>
      </c>
      <c r="C63" s="37">
        <v>11.01</v>
      </c>
      <c r="D63" s="37">
        <v>18.32</v>
      </c>
      <c r="E63" s="37">
        <v>23.22</v>
      </c>
      <c r="F63" s="37">
        <v>20.84</v>
      </c>
      <c r="G63" s="37">
        <v>12.4</v>
      </c>
      <c r="H63" s="37">
        <v>12.68</v>
      </c>
      <c r="I63" s="37">
        <v>12.5</v>
      </c>
      <c r="J63" s="37">
        <v>12.91</v>
      </c>
      <c r="K63" s="37">
        <v>13.56</v>
      </c>
      <c r="L63" s="37">
        <v>13.23</v>
      </c>
      <c r="M63" s="37">
        <v>13.2</v>
      </c>
      <c r="N63" s="50"/>
      <c r="O63" s="24">
        <f t="shared" si="1"/>
        <v>14.897272727272725</v>
      </c>
    </row>
    <row r="64" spans="2:15" ht="17.45" customHeight="1" thickTop="1" x14ac:dyDescent="0.2">
      <c r="B64" s="45" t="s">
        <v>22</v>
      </c>
      <c r="C64" s="41">
        <f t="shared" ref="C64:N64" si="2">MAX(C6:C63)</f>
        <v>40.479999999999997</v>
      </c>
      <c r="D64" s="41">
        <f t="shared" si="2"/>
        <v>53.16</v>
      </c>
      <c r="E64" s="41">
        <f t="shared" si="2"/>
        <v>63</v>
      </c>
      <c r="F64" s="41">
        <f t="shared" si="2"/>
        <v>39.96</v>
      </c>
      <c r="G64" s="41">
        <f t="shared" si="2"/>
        <v>19.902580645161287</v>
      </c>
      <c r="H64" s="41">
        <f t="shared" si="2"/>
        <v>15.74</v>
      </c>
      <c r="I64" s="41">
        <f t="shared" si="2"/>
        <v>17.88</v>
      </c>
      <c r="J64" s="41">
        <f t="shared" si="2"/>
        <v>15.98</v>
      </c>
      <c r="K64" s="41">
        <f t="shared" si="2"/>
        <v>15.17</v>
      </c>
      <c r="L64" s="41">
        <f t="shared" si="2"/>
        <v>15.21</v>
      </c>
      <c r="M64" s="41">
        <f t="shared" si="2"/>
        <v>15.11</v>
      </c>
      <c r="N64" s="46">
        <f t="shared" si="2"/>
        <v>18.61</v>
      </c>
    </row>
    <row r="65" spans="2:14" ht="17.45" customHeight="1" x14ac:dyDescent="0.2">
      <c r="B65" s="47" t="s">
        <v>23</v>
      </c>
      <c r="C65" s="34">
        <f t="shared" ref="C65:N65" si="3">AVERAGE(C6:C63)</f>
        <v>13.183158900836323</v>
      </c>
      <c r="D65" s="34">
        <f t="shared" si="3"/>
        <v>17.131319695311078</v>
      </c>
      <c r="E65" s="34">
        <f t="shared" si="3"/>
        <v>18.735278034399109</v>
      </c>
      <c r="F65" s="34">
        <f t="shared" si="3"/>
        <v>13.595970151071899</v>
      </c>
      <c r="G65" s="34">
        <f t="shared" si="3"/>
        <v>10.555581839904422</v>
      </c>
      <c r="H65" s="34">
        <f>AVERAGE(H6:H63)</f>
        <v>10.124586542374244</v>
      </c>
      <c r="I65" s="34">
        <f t="shared" si="3"/>
        <v>10.088888888888889</v>
      </c>
      <c r="J65" s="34">
        <f t="shared" si="3"/>
        <v>10.303224014336918</v>
      </c>
      <c r="K65" s="34">
        <f t="shared" si="3"/>
        <v>10.554882716049383</v>
      </c>
      <c r="L65" s="34">
        <f t="shared" si="3"/>
        <v>10.868024024609005</v>
      </c>
      <c r="M65" s="34">
        <f t="shared" si="3"/>
        <v>11.11745384877387</v>
      </c>
      <c r="N65" s="48">
        <f t="shared" si="3"/>
        <v>11.288515053814152</v>
      </c>
    </row>
    <row r="66" spans="2:14" ht="17.45" customHeight="1" thickBot="1" x14ac:dyDescent="0.25">
      <c r="B66" s="49" t="s">
        <v>24</v>
      </c>
      <c r="C66" s="37">
        <f t="shared" ref="C66:N66" si="4">MIN(C6:C63)</f>
        <v>5.1710000000000003</v>
      </c>
      <c r="D66" s="37">
        <f t="shared" si="4"/>
        <v>5.69</v>
      </c>
      <c r="E66" s="37">
        <f t="shared" si="4"/>
        <v>3.86</v>
      </c>
      <c r="F66" s="37">
        <f t="shared" si="4"/>
        <v>3.77</v>
      </c>
      <c r="G66" s="37">
        <f t="shared" si="4"/>
        <v>3.89</v>
      </c>
      <c r="H66" s="37">
        <f>MIN(H6:H63)</f>
        <v>3.71</v>
      </c>
      <c r="I66" s="37">
        <f t="shared" si="4"/>
        <v>3.73</v>
      </c>
      <c r="J66" s="37">
        <f t="shared" si="4"/>
        <v>3.74</v>
      </c>
      <c r="K66" s="37">
        <f t="shared" si="4"/>
        <v>3.74</v>
      </c>
      <c r="L66" s="37">
        <f t="shared" si="4"/>
        <v>4.07</v>
      </c>
      <c r="M66" s="37">
        <f t="shared" si="4"/>
        <v>3.78</v>
      </c>
      <c r="N66" s="50">
        <f t="shared" si="4"/>
        <v>3.71</v>
      </c>
    </row>
    <row r="67" spans="2:14" ht="17.45" customHeight="1" thickTop="1" x14ac:dyDescent="0.2"/>
    <row r="69" spans="2:14" ht="17.45" customHeight="1" x14ac:dyDescent="0.2"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</sheetData>
  <phoneticPr fontId="0" type="noConversion"/>
  <printOptions horizontalCentered="1"/>
  <pageMargins left="0.38" right="0.39370078740157483" top="0.99" bottom="1" header="0.51181102362204722" footer="0.13"/>
  <pageSetup paperSize="9" scale="40" orientation="landscape" blackAndWhite="1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159F-7CE2-45FD-85FA-8BFB529C91E0}">
  <dimension ref="C4:M10"/>
  <sheetViews>
    <sheetView workbookViewId="0">
      <selection activeCell="H17" sqref="H17"/>
    </sheetView>
  </sheetViews>
  <sheetFormatPr baseColWidth="10" defaultRowHeight="12.75" x14ac:dyDescent="0.2"/>
  <cols>
    <col min="1" max="1" width="5.5703125" style="60" customWidth="1"/>
    <col min="2" max="2" width="2.7109375" style="60" customWidth="1"/>
    <col min="3" max="13" width="11.42578125" style="60"/>
    <col min="14" max="14" width="2.28515625" style="60" customWidth="1"/>
    <col min="15" max="16384" width="11.42578125" style="60"/>
  </cols>
  <sheetData>
    <row r="4" spans="3:13" x14ac:dyDescent="0.2">
      <c r="C4" s="61"/>
      <c r="D4" s="62"/>
      <c r="E4" s="62"/>
      <c r="F4" s="62"/>
      <c r="G4" s="62"/>
      <c r="H4" s="62"/>
      <c r="I4" s="62"/>
      <c r="J4" s="62"/>
      <c r="K4" s="62"/>
      <c r="L4" s="62"/>
      <c r="M4" s="63"/>
    </row>
    <row r="5" spans="3:13" ht="18" x14ac:dyDescent="0.2">
      <c r="C5" s="64"/>
      <c r="D5" s="65" t="s">
        <v>37</v>
      </c>
      <c r="E5" s="66"/>
      <c r="F5" s="66"/>
      <c r="G5" s="66"/>
      <c r="H5" s="66"/>
      <c r="I5" s="66"/>
      <c r="J5" s="66"/>
      <c r="K5" s="66"/>
      <c r="L5" s="66"/>
      <c r="M5" s="67"/>
    </row>
    <row r="6" spans="3:13" x14ac:dyDescent="0.2">
      <c r="C6" s="68"/>
      <c r="D6" s="69"/>
      <c r="E6" s="69"/>
      <c r="F6" s="69"/>
      <c r="G6" s="69"/>
      <c r="H6" s="69"/>
      <c r="I6" s="69"/>
      <c r="J6" s="69"/>
      <c r="K6" s="69"/>
      <c r="L6" s="69"/>
      <c r="M6" s="70"/>
    </row>
    <row r="9" spans="3:13" ht="15.75" x14ac:dyDescent="0.25">
      <c r="C9" s="71"/>
    </row>
    <row r="10" spans="3:13" ht="15.75" x14ac:dyDescent="0.25">
      <c r="C10" s="71"/>
      <c r="D10" s="72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3" ma:contentTypeDescription="Crear nuevo documento." ma:contentTypeScope="" ma:versionID="99efb9468651881684270c49dd6333c5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07f85e2e67e721cb1ca4acffd9bbff69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/>
  </documentManagement>
</p:properties>
</file>

<file path=customXml/itemProps1.xml><?xml version="1.0" encoding="utf-8"?>
<ds:datastoreItem xmlns:ds="http://schemas.openxmlformats.org/officeDocument/2006/customXml" ds:itemID="{E59C7418-898E-422E-94AF-BF8C233E3B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b32d87-09b1-4a9c-8cc2-36c6131e9d32"/>
    <ds:schemaRef ds:uri="0d5568c9-b756-47b3-80d4-db4c7d91fd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DFB642-63B8-42BF-B5F4-2200C8AAD3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9BA2F4-ADA3-4722-9C92-07A1EDEBFBF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8</vt:i4>
      </vt:variant>
    </vt:vector>
  </HeadingPairs>
  <TitlesOfParts>
    <vt:vector size="17" baseType="lpstr">
      <vt:lpstr>AB</vt:lpstr>
      <vt:lpstr>EF</vt:lpstr>
      <vt:lpstr>EP</vt:lpstr>
      <vt:lpstr>PI</vt:lpstr>
      <vt:lpstr>CH</vt:lpstr>
      <vt:lpstr>BA</vt:lpstr>
      <vt:lpstr>TOTAL</vt:lpstr>
      <vt:lpstr>CAUDAL</vt:lpstr>
      <vt:lpstr>RESUMEN</vt:lpstr>
      <vt:lpstr>AB!Área_de_impresión</vt:lpstr>
      <vt:lpstr>BA!Área_de_impresión</vt:lpstr>
      <vt:lpstr>CAUDAL!Área_de_impresión</vt:lpstr>
      <vt:lpstr>CH!Área_de_impresión</vt:lpstr>
      <vt:lpstr>EF!Área_de_impresión</vt:lpstr>
      <vt:lpstr>EP!Área_de_impresión</vt:lpstr>
      <vt:lpstr>PI!Área_de_impresión</vt:lpstr>
      <vt:lpstr>TOTAL!Área_de_impresión</vt:lpstr>
    </vt:vector>
  </TitlesOfParts>
  <Company>EGASA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EGASA</dc:creator>
  <cp:lastModifiedBy>Rommel Paredes Banda</cp:lastModifiedBy>
  <cp:lastPrinted>2014-10-17T15:29:08Z</cp:lastPrinted>
  <dcterms:created xsi:type="dcterms:W3CDTF">2000-10-10T17:12:37Z</dcterms:created>
  <dcterms:modified xsi:type="dcterms:W3CDTF">2025-12-19T21:29:14Z</dcterms:modified>
</cp:coreProperties>
</file>