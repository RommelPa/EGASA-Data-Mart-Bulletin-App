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gasacompe.sharepoint.com/sites/GerenciaComercial/Gerencia Comercial estructura propuesta/16 Proyecto/Carpeta fuente de dasboard/"/>
    </mc:Choice>
  </mc:AlternateContent>
  <xr:revisionPtr revIDLastSave="4" documentId="8_{E1D4CC08-E8DD-462D-BA12-390215599245}" xr6:coauthVersionLast="47" xr6:coauthVersionMax="47" xr10:uidLastSave="{B61D2174-E893-4556-9EA2-B8B3AEC2790D}"/>
  <bookViews>
    <workbookView showHorizontalScroll="0" showVerticalScroll="0" xWindow="-120" yWindow="-120" windowWidth="29040" windowHeight="15720" xr2:uid="{A3DE19FC-2ACF-493C-A08D-50007D441177}"/>
  </bookViews>
  <sheets>
    <sheet name="2016 (rev3)" sheetId="34" r:id="rId1"/>
    <sheet name="2017" sheetId="35" r:id="rId2"/>
    <sheet name="2018" sheetId="36" r:id="rId3"/>
    <sheet name="2018-R1" sheetId="37" r:id="rId4"/>
    <sheet name="2018-R2 (LDS)" sheetId="40" r:id="rId5"/>
    <sheet name="2019" sheetId="38" r:id="rId6"/>
    <sheet name="2019-R1" sheetId="39" r:id="rId7"/>
    <sheet name="2019-R2" sheetId="41" r:id="rId8"/>
    <sheet name="2020" sheetId="42" r:id="rId9"/>
    <sheet name="2020 R1" sheetId="44" r:id="rId10"/>
    <sheet name="2020 R2" sheetId="43" r:id="rId11"/>
    <sheet name="2021" sheetId="45" r:id="rId12"/>
    <sheet name="2021-R1" sheetId="46" r:id="rId13"/>
    <sheet name="2021-R2" sheetId="47" r:id="rId14"/>
    <sheet name="2022" sheetId="48" r:id="rId15"/>
    <sheet name="2022-R1" sheetId="49" r:id="rId16"/>
    <sheet name="2022-R2" sheetId="50" state="hidden" r:id="rId17"/>
    <sheet name="2023" sheetId="51" r:id="rId18"/>
    <sheet name="2023-R1" sheetId="52" r:id="rId19"/>
    <sheet name="2024" sheetId="53" r:id="rId20"/>
    <sheet name="2024-R1" sheetId="54" r:id="rId21"/>
    <sheet name="2024-R2" sheetId="55" state="hidden" r:id="rId22"/>
    <sheet name="2025" sheetId="56" r:id="rId23"/>
    <sheet name="2025V1" sheetId="59" r:id="rId24"/>
    <sheet name="R" sheetId="57" r:id="rId25"/>
    <sheet name="Perfil" sheetId="58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0">'2016 (rev3)'!$B$24:$O$56</definedName>
    <definedName name="_xlnm.Print_Area" localSheetId="1">'2017'!$C$24:$P$56</definedName>
    <definedName name="_xlnm.Print_Area" localSheetId="2">'2018'!$C$24:$P$60</definedName>
    <definedName name="_xlnm.Print_Area" localSheetId="3">'2018-R1'!$C$24:$P$60</definedName>
    <definedName name="_xlnm.Print_Area" localSheetId="4">'2018-R2 (LDS)'!$C$24:$P$60</definedName>
    <definedName name="_xlnm.Print_Area" localSheetId="5">'2019'!$C$24:$P$64</definedName>
    <definedName name="_xlnm.Print_Area" localSheetId="6">'2019-R1'!$C$21:$P$64</definedName>
    <definedName name="_xlnm.Print_Area" localSheetId="7">'2019-R2'!$C$24:$P$64</definedName>
    <definedName name="_xlnm.Print_Area" localSheetId="8">'2020'!$C$24:$P$67</definedName>
    <definedName name="_xlnm.Print_Area" localSheetId="9">'2020 R1'!$C$24:$P$67</definedName>
    <definedName name="_xlnm.Print_Area" localSheetId="10">'2020 R2'!$C$24:$P$65</definedName>
    <definedName name="_xlnm.Print_Area" localSheetId="11">'2021'!$C$24:$P$68</definedName>
    <definedName name="_xlnm.Print_Area" localSheetId="12">'2021-R1'!$B$24:$P$67</definedName>
    <definedName name="_xlnm.Print_Area" localSheetId="13">'2021-R2'!$B$24:$P$68</definedName>
    <definedName name="_xlnm.Print_Area" localSheetId="14">'2022'!$B$24:$P$67</definedName>
    <definedName name="_xlnm.Print_Area" localSheetId="15">'2022-R1'!$B$24:$P$68</definedName>
    <definedName name="_xlnm.Print_Area" localSheetId="16">'2022-R2'!$B$24:$P$68</definedName>
    <definedName name="_xlnm.Print_Area" localSheetId="17">'2023'!$B$24:$P$67</definedName>
    <definedName name="_xlnm.Print_Area" localSheetId="18">'2023-R1'!$B$24:$P$68</definedName>
    <definedName name="_xlnm.Print_Area" localSheetId="19">'2024'!$B$24:$Q$71</definedName>
    <definedName name="_xlnm.Print_Area" localSheetId="20">'2024-R1'!$B$24:$Q$71</definedName>
    <definedName name="_xlnm.Print_Area" localSheetId="21">'2024-R2'!$B$24:$P$70</definedName>
    <definedName name="_xlnm.Print_Area" localSheetId="22">'2025'!$B$24:$Q$73</definedName>
    <definedName name="_xlnm.Print_Area" localSheetId="23">'2025V1'!$B$24:$Q$70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34" l="1"/>
  <c r="O27" i="34"/>
  <c r="DQ9" i="58" l="1"/>
  <c r="DQ11" i="58"/>
  <c r="DQ4" i="58"/>
  <c r="DQ5" i="58"/>
  <c r="DQ6" i="58"/>
  <c r="DQ7" i="58"/>
  <c r="DK4" i="58"/>
  <c r="DL4" i="58"/>
  <c r="DM4" i="58"/>
  <c r="DN4" i="58"/>
  <c r="DO4" i="58"/>
  <c r="EI4" i="58"/>
  <c r="DP4" i="58"/>
  <c r="DP9" i="58"/>
  <c r="DK5" i="58"/>
  <c r="DL5" i="58"/>
  <c r="DM5" i="58"/>
  <c r="DN5" i="58"/>
  <c r="DO5" i="58"/>
  <c r="DP5" i="58"/>
  <c r="DK6" i="58"/>
  <c r="DL6" i="58"/>
  <c r="DM6" i="58"/>
  <c r="DN6" i="58"/>
  <c r="DO6" i="58"/>
  <c r="DO18" i="58"/>
  <c r="DP6" i="58"/>
  <c r="DP18" i="58"/>
  <c r="DK7" i="58"/>
  <c r="DK14" i="58"/>
  <c r="DL7" i="58"/>
  <c r="DL14" i="58"/>
  <c r="DL16" i="58"/>
  <c r="DM7" i="58"/>
  <c r="DM14" i="58"/>
  <c r="DM16" i="58"/>
  <c r="DN7" i="58"/>
  <c r="DN14" i="58"/>
  <c r="DN16" i="58"/>
  <c r="DO7" i="58"/>
  <c r="DP7" i="58"/>
  <c r="DO14" i="58"/>
  <c r="DO17" i="58"/>
  <c r="DK11" i="58"/>
  <c r="DL11" i="58"/>
  <c r="DL19" i="58"/>
  <c r="DM11" i="58"/>
  <c r="DN11" i="58"/>
  <c r="DO11" i="58"/>
  <c r="DP11" i="58"/>
  <c r="O37" i="59"/>
  <c r="N37" i="59"/>
  <c r="M37" i="59"/>
  <c r="L37" i="59"/>
  <c r="K37" i="59"/>
  <c r="J37" i="59"/>
  <c r="I37" i="59"/>
  <c r="H37" i="59"/>
  <c r="G37" i="59"/>
  <c r="F37" i="59"/>
  <c r="E37" i="59"/>
  <c r="D37" i="59"/>
  <c r="C56" i="57"/>
  <c r="O36" i="59"/>
  <c r="N36" i="59"/>
  <c r="M36" i="59"/>
  <c r="L36" i="59"/>
  <c r="K36" i="59"/>
  <c r="J36" i="59"/>
  <c r="I36" i="59"/>
  <c r="H36" i="59"/>
  <c r="G36" i="59"/>
  <c r="F36" i="59"/>
  <c r="E36" i="59"/>
  <c r="D36" i="59"/>
  <c r="P36" i="59"/>
  <c r="O35" i="59"/>
  <c r="N35" i="59"/>
  <c r="M35" i="59"/>
  <c r="L35" i="59"/>
  <c r="K35" i="59"/>
  <c r="J35" i="59"/>
  <c r="I35" i="59"/>
  <c r="H35" i="59"/>
  <c r="G35" i="59"/>
  <c r="F35" i="59"/>
  <c r="E35" i="59"/>
  <c r="D35" i="59"/>
  <c r="D34" i="59"/>
  <c r="N33" i="59"/>
  <c r="M33" i="59"/>
  <c r="L33" i="59"/>
  <c r="K33" i="59"/>
  <c r="J33" i="59"/>
  <c r="I33" i="59"/>
  <c r="H33" i="59"/>
  <c r="G33" i="59"/>
  <c r="F33" i="59"/>
  <c r="E33" i="59"/>
  <c r="D33" i="59"/>
  <c r="P33" i="59"/>
  <c r="N32" i="59"/>
  <c r="M32" i="59"/>
  <c r="L32" i="59"/>
  <c r="K32" i="59"/>
  <c r="J32" i="59"/>
  <c r="I32" i="59"/>
  <c r="H32" i="59"/>
  <c r="G32" i="59"/>
  <c r="F32" i="59"/>
  <c r="E32" i="59"/>
  <c r="D32" i="59"/>
  <c r="N31" i="59"/>
  <c r="N30" i="59"/>
  <c r="M31" i="59"/>
  <c r="M30" i="59"/>
  <c r="L31" i="59"/>
  <c r="L30" i="59"/>
  <c r="K31" i="59"/>
  <c r="K30" i="59"/>
  <c r="J31" i="59"/>
  <c r="J30" i="59"/>
  <c r="I31" i="59"/>
  <c r="I30" i="59"/>
  <c r="H31" i="59"/>
  <c r="H30" i="59"/>
  <c r="G31" i="59"/>
  <c r="G30" i="59"/>
  <c r="F31" i="59"/>
  <c r="F30" i="59"/>
  <c r="E31" i="59"/>
  <c r="D31" i="59"/>
  <c r="N43" i="59"/>
  <c r="M43" i="59"/>
  <c r="L43" i="59"/>
  <c r="K43" i="59"/>
  <c r="J43" i="59"/>
  <c r="I43" i="59"/>
  <c r="H43" i="59"/>
  <c r="G43" i="59"/>
  <c r="F43" i="59"/>
  <c r="E43" i="59"/>
  <c r="D43" i="59"/>
  <c r="O65" i="59"/>
  <c r="O64" i="59"/>
  <c r="O54" i="59"/>
  <c r="O63" i="59"/>
  <c r="O62" i="59"/>
  <c r="O61" i="59"/>
  <c r="O60" i="59"/>
  <c r="O59" i="59"/>
  <c r="O58" i="59"/>
  <c r="O57" i="59"/>
  <c r="O56" i="59"/>
  <c r="O55" i="59"/>
  <c r="O53" i="59"/>
  <c r="O52" i="59"/>
  <c r="O51" i="59"/>
  <c r="O50" i="59"/>
  <c r="O49" i="59"/>
  <c r="O48" i="59"/>
  <c r="O47" i="59"/>
  <c r="O46" i="59"/>
  <c r="O45" i="59"/>
  <c r="D3" i="58"/>
  <c r="E3" i="58"/>
  <c r="F3" i="58"/>
  <c r="G3" i="58"/>
  <c r="H3" i="58"/>
  <c r="I3" i="58"/>
  <c r="J3" i="58"/>
  <c r="K3" i="58"/>
  <c r="L3" i="58"/>
  <c r="M3" i="58"/>
  <c r="N3" i="58"/>
  <c r="O3" i="58"/>
  <c r="P3" i="58"/>
  <c r="Q3" i="58"/>
  <c r="R3" i="58"/>
  <c r="S3" i="58"/>
  <c r="T3" i="58"/>
  <c r="U3" i="58"/>
  <c r="V3" i="58"/>
  <c r="W3" i="58"/>
  <c r="X3" i="58"/>
  <c r="Y3" i="58"/>
  <c r="Z3" i="58"/>
  <c r="AA3" i="58"/>
  <c r="AB3" i="58"/>
  <c r="AC3" i="58"/>
  <c r="AD3" i="58"/>
  <c r="AE3" i="58"/>
  <c r="AF3" i="58"/>
  <c r="AG3" i="58"/>
  <c r="AH3" i="58"/>
  <c r="AI3" i="58"/>
  <c r="AJ3" i="58"/>
  <c r="AK3" i="58"/>
  <c r="AL3" i="58"/>
  <c r="AM3" i="58"/>
  <c r="AN3" i="58"/>
  <c r="AO3" i="58"/>
  <c r="AP3" i="58"/>
  <c r="AQ3" i="58"/>
  <c r="AR3" i="58"/>
  <c r="AS3" i="58"/>
  <c r="AT3" i="58"/>
  <c r="AU3" i="58"/>
  <c r="AV3" i="58"/>
  <c r="AW3" i="58"/>
  <c r="AX3" i="58"/>
  <c r="AY3" i="58"/>
  <c r="AZ3" i="58"/>
  <c r="BA3" i="58"/>
  <c r="BB3" i="58"/>
  <c r="BC3" i="58"/>
  <c r="BD3" i="58"/>
  <c r="BE3" i="58"/>
  <c r="BF3" i="58"/>
  <c r="BG3" i="58"/>
  <c r="BH3" i="58"/>
  <c r="BI3" i="58"/>
  <c r="BJ3" i="58"/>
  <c r="BK3" i="58"/>
  <c r="BL3" i="58"/>
  <c r="BM3" i="58"/>
  <c r="BN3" i="58"/>
  <c r="BO3" i="58"/>
  <c r="BP3" i="58"/>
  <c r="BQ3" i="58"/>
  <c r="BR3" i="58"/>
  <c r="BS3" i="58"/>
  <c r="BT3" i="58"/>
  <c r="BU3" i="58"/>
  <c r="BV3" i="58"/>
  <c r="BW3" i="58"/>
  <c r="BX3" i="58"/>
  <c r="BY3" i="58"/>
  <c r="BZ3" i="58"/>
  <c r="CA3" i="58"/>
  <c r="CB3" i="58"/>
  <c r="CC3" i="58"/>
  <c r="CD3" i="58"/>
  <c r="CE3" i="58"/>
  <c r="CF3" i="58"/>
  <c r="CG3" i="58"/>
  <c r="CH3" i="58"/>
  <c r="CI3" i="58"/>
  <c r="CJ3" i="58"/>
  <c r="CK3" i="58"/>
  <c r="CL3" i="58"/>
  <c r="CM3" i="58"/>
  <c r="CN3" i="58"/>
  <c r="CO3" i="58"/>
  <c r="CP3" i="58"/>
  <c r="CQ3" i="58"/>
  <c r="CR3" i="58"/>
  <c r="CS3" i="58"/>
  <c r="CT3" i="58"/>
  <c r="CU3" i="58"/>
  <c r="CV3" i="58"/>
  <c r="CW3" i="58"/>
  <c r="CX3" i="58"/>
  <c r="CY3" i="58"/>
  <c r="CZ3" i="58"/>
  <c r="DA3" i="58"/>
  <c r="DB3" i="58"/>
  <c r="DC3" i="58"/>
  <c r="DD3" i="58"/>
  <c r="DE3" i="58"/>
  <c r="DF3" i="58"/>
  <c r="DG3" i="58"/>
  <c r="DH3" i="58"/>
  <c r="DI3" i="58"/>
  <c r="DJ3" i="58"/>
  <c r="DK3" i="58"/>
  <c r="DL3" i="58"/>
  <c r="DM3" i="58"/>
  <c r="DN3" i="58"/>
  <c r="DO3" i="58"/>
  <c r="DP3" i="58"/>
  <c r="DQ3" i="58"/>
  <c r="DR3" i="58"/>
  <c r="EA3" i="58"/>
  <c r="EB3" i="58"/>
  <c r="EC3" i="58"/>
  <c r="ED3" i="58"/>
  <c r="EE3" i="58"/>
  <c r="EF3" i="58"/>
  <c r="EG3" i="58"/>
  <c r="EH3" i="58"/>
  <c r="EI3" i="58"/>
  <c r="C4" i="58"/>
  <c r="D4" i="58"/>
  <c r="E4" i="58"/>
  <c r="F4" i="58"/>
  <c r="G4" i="58"/>
  <c r="H4" i="58"/>
  <c r="I4" i="58"/>
  <c r="J4" i="58"/>
  <c r="K4" i="58"/>
  <c r="L4" i="58"/>
  <c r="M4" i="58"/>
  <c r="N4" i="58"/>
  <c r="O4" i="58"/>
  <c r="P4" i="58"/>
  <c r="Q4" i="58"/>
  <c r="R4" i="58"/>
  <c r="S4" i="58"/>
  <c r="T4" i="58"/>
  <c r="U4" i="58"/>
  <c r="V4" i="58"/>
  <c r="W4" i="58"/>
  <c r="X4" i="58"/>
  <c r="Y4" i="58"/>
  <c r="Z4" i="58"/>
  <c r="AA4" i="58"/>
  <c r="AB4" i="58"/>
  <c r="AC4" i="58"/>
  <c r="AD4" i="58"/>
  <c r="AE4" i="58"/>
  <c r="AF4" i="58"/>
  <c r="AG4" i="58"/>
  <c r="AH4" i="58"/>
  <c r="AI4" i="58"/>
  <c r="AJ4" i="58"/>
  <c r="AK4" i="58"/>
  <c r="AL4" i="58"/>
  <c r="AM4" i="58"/>
  <c r="AN4" i="58"/>
  <c r="AO4" i="58"/>
  <c r="AP4" i="58"/>
  <c r="AQ4" i="58"/>
  <c r="AR4" i="58"/>
  <c r="AS4" i="58"/>
  <c r="AT4" i="58"/>
  <c r="AU4" i="58"/>
  <c r="AV4" i="58"/>
  <c r="AW4" i="58"/>
  <c r="AX4" i="58"/>
  <c r="AY4" i="58"/>
  <c r="AZ4" i="58"/>
  <c r="BA4" i="58"/>
  <c r="BB4" i="58"/>
  <c r="BC4" i="58"/>
  <c r="BD4" i="58"/>
  <c r="BE4" i="58"/>
  <c r="BF4" i="58"/>
  <c r="BG4" i="58"/>
  <c r="BH4" i="58"/>
  <c r="BI4" i="58"/>
  <c r="BJ4" i="58"/>
  <c r="BK4" i="58"/>
  <c r="BL4" i="58"/>
  <c r="BM4" i="58"/>
  <c r="BN4" i="58"/>
  <c r="BO4" i="58"/>
  <c r="BP4" i="58"/>
  <c r="BQ4" i="58"/>
  <c r="BR4" i="58"/>
  <c r="BS4" i="58"/>
  <c r="BT4" i="58"/>
  <c r="BU4" i="58"/>
  <c r="BV4" i="58"/>
  <c r="BW4" i="58"/>
  <c r="BX4" i="58"/>
  <c r="BY4" i="58"/>
  <c r="BZ4" i="58"/>
  <c r="CA4" i="58"/>
  <c r="CB4" i="58"/>
  <c r="CC4" i="58"/>
  <c r="CD4" i="58"/>
  <c r="CE4" i="58"/>
  <c r="CF4" i="58"/>
  <c r="CG4" i="58"/>
  <c r="CH4" i="58"/>
  <c r="CI4" i="58"/>
  <c r="CJ4" i="58"/>
  <c r="CK4" i="58"/>
  <c r="CL4" i="58"/>
  <c r="CM4" i="58"/>
  <c r="CN4" i="58"/>
  <c r="CO4" i="58"/>
  <c r="CP4" i="58"/>
  <c r="CQ4" i="58"/>
  <c r="CR4" i="58"/>
  <c r="CS4" i="58"/>
  <c r="CT4" i="58"/>
  <c r="CU4" i="58"/>
  <c r="CV4" i="58"/>
  <c r="CW4" i="58"/>
  <c r="CX4" i="58"/>
  <c r="CY4" i="58"/>
  <c r="CZ4" i="58"/>
  <c r="DA4" i="58"/>
  <c r="DB4" i="58"/>
  <c r="DC4" i="58"/>
  <c r="DD4" i="58"/>
  <c r="DE4" i="58"/>
  <c r="DF4" i="58"/>
  <c r="DG4" i="58"/>
  <c r="DH4" i="58"/>
  <c r="DI4" i="58"/>
  <c r="DJ4" i="58"/>
  <c r="DZ4" i="58"/>
  <c r="EA4" i="58"/>
  <c r="EB4" i="58"/>
  <c r="EC4" i="58"/>
  <c r="ED4" i="58"/>
  <c r="EE4" i="58"/>
  <c r="EF4" i="58"/>
  <c r="EG4" i="58"/>
  <c r="EH4" i="58"/>
  <c r="C5" i="58"/>
  <c r="D5" i="58"/>
  <c r="E5" i="58"/>
  <c r="F5" i="58"/>
  <c r="G5" i="58"/>
  <c r="H5" i="58"/>
  <c r="I5" i="58"/>
  <c r="J5" i="58"/>
  <c r="K5" i="58"/>
  <c r="L5" i="58"/>
  <c r="M5" i="58"/>
  <c r="N5" i="58"/>
  <c r="O5" i="58"/>
  <c r="P5" i="58"/>
  <c r="Q5" i="58"/>
  <c r="R5" i="58"/>
  <c r="S5" i="58"/>
  <c r="T5" i="58"/>
  <c r="U5" i="58"/>
  <c r="V5" i="58"/>
  <c r="W5" i="58"/>
  <c r="X5" i="58"/>
  <c r="Y5" i="58"/>
  <c r="Z5" i="58"/>
  <c r="AA5" i="58"/>
  <c r="AB5" i="58"/>
  <c r="AC5" i="58"/>
  <c r="AD5" i="58"/>
  <c r="AE5" i="58"/>
  <c r="AF5" i="58"/>
  <c r="AG5" i="58"/>
  <c r="AH5" i="58"/>
  <c r="AI5" i="58"/>
  <c r="AJ5" i="58"/>
  <c r="AK5" i="58"/>
  <c r="AL5" i="58"/>
  <c r="AM5" i="58"/>
  <c r="AN5" i="58"/>
  <c r="AO5" i="58"/>
  <c r="AP5" i="58"/>
  <c r="AQ5" i="58"/>
  <c r="AR5" i="58"/>
  <c r="AS5" i="58"/>
  <c r="AT5" i="58"/>
  <c r="AU5" i="58"/>
  <c r="AV5" i="58"/>
  <c r="AW5" i="58"/>
  <c r="AX5" i="58"/>
  <c r="AY5" i="58"/>
  <c r="AZ5" i="58"/>
  <c r="BA5" i="58"/>
  <c r="BB5" i="58"/>
  <c r="BC5" i="58"/>
  <c r="BD5" i="58"/>
  <c r="BE5" i="58"/>
  <c r="BF5" i="58"/>
  <c r="BG5" i="58"/>
  <c r="BH5" i="58"/>
  <c r="BI5" i="58"/>
  <c r="BJ5" i="58"/>
  <c r="BK5" i="58"/>
  <c r="BL5" i="58"/>
  <c r="BM5" i="58"/>
  <c r="BN5" i="58"/>
  <c r="BO5" i="58"/>
  <c r="BP5" i="58"/>
  <c r="BQ5" i="58"/>
  <c r="BR5" i="58"/>
  <c r="BS5" i="58"/>
  <c r="BT5" i="58"/>
  <c r="BU5" i="58"/>
  <c r="BV5" i="58"/>
  <c r="BW5" i="58"/>
  <c r="BX5" i="58"/>
  <c r="BY5" i="58"/>
  <c r="BZ5" i="58"/>
  <c r="CA5" i="58"/>
  <c r="CB5" i="58"/>
  <c r="CC5" i="58"/>
  <c r="CD5" i="58"/>
  <c r="CE5" i="58"/>
  <c r="CF5" i="58"/>
  <c r="CG5" i="58"/>
  <c r="CH5" i="58"/>
  <c r="CI5" i="58"/>
  <c r="CJ5" i="58"/>
  <c r="CK5" i="58"/>
  <c r="CL5" i="58"/>
  <c r="CM5" i="58"/>
  <c r="CN5" i="58"/>
  <c r="CO5" i="58"/>
  <c r="CP5" i="58"/>
  <c r="CQ5" i="58"/>
  <c r="CR5" i="58"/>
  <c r="CS5" i="58"/>
  <c r="CT5" i="58"/>
  <c r="CU5" i="58"/>
  <c r="CV5" i="58"/>
  <c r="CW5" i="58"/>
  <c r="CX5" i="58"/>
  <c r="CY5" i="58"/>
  <c r="CZ5" i="58"/>
  <c r="DA5" i="58"/>
  <c r="DB5" i="58"/>
  <c r="DC5" i="58"/>
  <c r="DD5" i="58"/>
  <c r="DE5" i="58"/>
  <c r="DF5" i="58"/>
  <c r="DG5" i="58"/>
  <c r="DH5" i="58"/>
  <c r="DI5" i="58"/>
  <c r="DJ5" i="58"/>
  <c r="DZ5" i="58"/>
  <c r="EA5" i="58"/>
  <c r="EB5" i="58"/>
  <c r="EC5" i="58"/>
  <c r="ED5" i="58"/>
  <c r="EE5" i="58"/>
  <c r="EF5" i="58"/>
  <c r="EG5" i="58"/>
  <c r="EH5" i="58"/>
  <c r="C6" i="58"/>
  <c r="D6" i="58"/>
  <c r="E6" i="58"/>
  <c r="F6" i="58"/>
  <c r="G6" i="58"/>
  <c r="H6" i="58"/>
  <c r="I6" i="58"/>
  <c r="J6" i="58"/>
  <c r="K6" i="58"/>
  <c r="L6" i="58"/>
  <c r="M6" i="58"/>
  <c r="N6" i="58"/>
  <c r="O6" i="58"/>
  <c r="P6" i="58"/>
  <c r="Q6" i="58"/>
  <c r="R6" i="58"/>
  <c r="S6" i="58"/>
  <c r="T6" i="58"/>
  <c r="U6" i="58"/>
  <c r="V6" i="58"/>
  <c r="W6" i="58"/>
  <c r="X6" i="58"/>
  <c r="Y6" i="58"/>
  <c r="Z6" i="58"/>
  <c r="AA6" i="58"/>
  <c r="AB6" i="58"/>
  <c r="AC6" i="58"/>
  <c r="AD6" i="58"/>
  <c r="AE6" i="58"/>
  <c r="AF6" i="58"/>
  <c r="AG6" i="58"/>
  <c r="AH6" i="58"/>
  <c r="AI6" i="58"/>
  <c r="AJ6" i="58"/>
  <c r="AK6" i="58"/>
  <c r="AL6" i="58"/>
  <c r="AM6" i="58"/>
  <c r="AN6" i="58"/>
  <c r="AO6" i="58"/>
  <c r="AP6" i="58"/>
  <c r="AQ6" i="58"/>
  <c r="AR6" i="58"/>
  <c r="AS6" i="58"/>
  <c r="AT6" i="58"/>
  <c r="AU6" i="58"/>
  <c r="AV6" i="58"/>
  <c r="AW6" i="58"/>
  <c r="AX6" i="58"/>
  <c r="AY6" i="58"/>
  <c r="AZ6" i="58"/>
  <c r="BA6" i="58"/>
  <c r="BB6" i="58"/>
  <c r="BC6" i="58"/>
  <c r="BD6" i="58"/>
  <c r="BE6" i="58"/>
  <c r="BF6" i="58"/>
  <c r="BG6" i="58"/>
  <c r="BH6" i="58"/>
  <c r="BI6" i="58"/>
  <c r="BJ6" i="58"/>
  <c r="BK6" i="58"/>
  <c r="BL6" i="58"/>
  <c r="BM6" i="58"/>
  <c r="BN6" i="58"/>
  <c r="BO6" i="58"/>
  <c r="BP6" i="58"/>
  <c r="BQ6" i="58"/>
  <c r="BR6" i="58"/>
  <c r="BS6" i="58"/>
  <c r="BT6" i="58"/>
  <c r="BU6" i="58"/>
  <c r="BV6" i="58"/>
  <c r="BW6" i="58"/>
  <c r="BX6" i="58"/>
  <c r="BY6" i="58"/>
  <c r="BZ6" i="58"/>
  <c r="CA6" i="58"/>
  <c r="CB6" i="58"/>
  <c r="CC6" i="58"/>
  <c r="CD6" i="58"/>
  <c r="CE6" i="58"/>
  <c r="CF6" i="58"/>
  <c r="CG6" i="58"/>
  <c r="CH6" i="58"/>
  <c r="CI6" i="58"/>
  <c r="CJ6" i="58"/>
  <c r="CK6" i="58"/>
  <c r="CL6" i="58"/>
  <c r="CM6" i="58"/>
  <c r="CN6" i="58"/>
  <c r="CO6" i="58"/>
  <c r="CP6" i="58"/>
  <c r="CQ6" i="58"/>
  <c r="CR6" i="58"/>
  <c r="CS6" i="58"/>
  <c r="CT6" i="58"/>
  <c r="CU6" i="58"/>
  <c r="CV6" i="58"/>
  <c r="CW6" i="58"/>
  <c r="CX6" i="58"/>
  <c r="CY6" i="58"/>
  <c r="CZ6" i="58"/>
  <c r="DA6" i="58"/>
  <c r="DB6" i="58"/>
  <c r="DC6" i="58"/>
  <c r="DD6" i="58"/>
  <c r="DE6" i="58"/>
  <c r="DF6" i="58"/>
  <c r="DG6" i="58"/>
  <c r="DH6" i="58"/>
  <c r="DI6" i="58"/>
  <c r="DJ6" i="58"/>
  <c r="DZ6" i="58"/>
  <c r="EA6" i="58"/>
  <c r="EB6" i="58"/>
  <c r="EC6" i="58"/>
  <c r="ED6" i="58"/>
  <c r="EE6" i="58"/>
  <c r="EF6" i="58"/>
  <c r="EG6" i="58"/>
  <c r="EH6" i="58"/>
  <c r="EI6" i="58"/>
  <c r="C7" i="58"/>
  <c r="D7" i="58"/>
  <c r="E7" i="58"/>
  <c r="F7" i="58"/>
  <c r="G7" i="58"/>
  <c r="H7" i="58"/>
  <c r="I7" i="58"/>
  <c r="J7" i="58"/>
  <c r="K7" i="58"/>
  <c r="L7" i="58"/>
  <c r="M7" i="58"/>
  <c r="N7" i="58"/>
  <c r="O7" i="58"/>
  <c r="P7" i="58"/>
  <c r="Q7" i="58"/>
  <c r="R7" i="58"/>
  <c r="S7" i="58"/>
  <c r="T7" i="58"/>
  <c r="U7" i="58"/>
  <c r="V7" i="58"/>
  <c r="W7" i="58"/>
  <c r="X7" i="58"/>
  <c r="Y7" i="58"/>
  <c r="Z7" i="58"/>
  <c r="AA7" i="58"/>
  <c r="AB7" i="58"/>
  <c r="AC7" i="58"/>
  <c r="AD7" i="58"/>
  <c r="AE7" i="58"/>
  <c r="AF7" i="58"/>
  <c r="AG7" i="58"/>
  <c r="AH7" i="58"/>
  <c r="AI7" i="58"/>
  <c r="AJ7" i="58"/>
  <c r="AK7" i="58"/>
  <c r="AL7" i="58"/>
  <c r="AM7" i="58"/>
  <c r="AN7" i="58"/>
  <c r="AO7" i="58"/>
  <c r="AP7" i="58"/>
  <c r="AQ7" i="58"/>
  <c r="AR7" i="58"/>
  <c r="AS7" i="58"/>
  <c r="AT7" i="58"/>
  <c r="AU7" i="58"/>
  <c r="AV7" i="58"/>
  <c r="AW7" i="58"/>
  <c r="AX7" i="58"/>
  <c r="AY7" i="58"/>
  <c r="AZ7" i="58"/>
  <c r="BA7" i="58"/>
  <c r="BB7" i="58"/>
  <c r="BC7" i="58"/>
  <c r="BD7" i="58"/>
  <c r="BE7" i="58"/>
  <c r="BF7" i="58"/>
  <c r="BG7" i="58"/>
  <c r="BH7" i="58"/>
  <c r="BI7" i="58"/>
  <c r="BJ7" i="58"/>
  <c r="BK7" i="58"/>
  <c r="BL7" i="58"/>
  <c r="BM7" i="58"/>
  <c r="BN7" i="58"/>
  <c r="BO7" i="58"/>
  <c r="BP7" i="58"/>
  <c r="BQ7" i="58"/>
  <c r="BR7" i="58"/>
  <c r="BS7" i="58"/>
  <c r="BT7" i="58"/>
  <c r="BU7" i="58"/>
  <c r="BV7" i="58"/>
  <c r="BW7" i="58"/>
  <c r="BX7" i="58"/>
  <c r="BY7" i="58"/>
  <c r="BZ7" i="58"/>
  <c r="CA7" i="58"/>
  <c r="CB7" i="58"/>
  <c r="CC7" i="58"/>
  <c r="CD7" i="58"/>
  <c r="CE7" i="58"/>
  <c r="CF7" i="58"/>
  <c r="CG7" i="58"/>
  <c r="CH7" i="58"/>
  <c r="CI7" i="58"/>
  <c r="CJ7" i="58"/>
  <c r="CK7" i="58"/>
  <c r="CL7" i="58"/>
  <c r="CM7" i="58"/>
  <c r="CN7" i="58"/>
  <c r="CO7" i="58"/>
  <c r="CP7" i="58"/>
  <c r="CQ7" i="58"/>
  <c r="CR7" i="58"/>
  <c r="CS7" i="58"/>
  <c r="CT7" i="58"/>
  <c r="CU7" i="58"/>
  <c r="CV7" i="58"/>
  <c r="CW7" i="58"/>
  <c r="CX7" i="58"/>
  <c r="CY7" i="58"/>
  <c r="CZ7" i="58"/>
  <c r="DA7" i="58"/>
  <c r="DB7" i="58"/>
  <c r="DC7" i="58"/>
  <c r="DD7" i="58"/>
  <c r="DE7" i="58"/>
  <c r="DF7" i="58"/>
  <c r="DZ7" i="58"/>
  <c r="EA7" i="58"/>
  <c r="EB7" i="58"/>
  <c r="EC7" i="58"/>
  <c r="ED7" i="58"/>
  <c r="EE7" i="58"/>
  <c r="EF7" i="58"/>
  <c r="EG7" i="58"/>
  <c r="EH7" i="58"/>
  <c r="C8" i="58"/>
  <c r="D8" i="58"/>
  <c r="E8" i="58"/>
  <c r="F8" i="58"/>
  <c r="G8" i="58"/>
  <c r="H8" i="58"/>
  <c r="I8" i="58"/>
  <c r="J8" i="58"/>
  <c r="K8" i="58"/>
  <c r="L8" i="58"/>
  <c r="M8" i="58"/>
  <c r="N8" i="58"/>
  <c r="O8" i="58"/>
  <c r="P8" i="58"/>
  <c r="Q8" i="58"/>
  <c r="R8" i="58"/>
  <c r="S8" i="58"/>
  <c r="T8" i="58"/>
  <c r="U8" i="58"/>
  <c r="V8" i="58"/>
  <c r="W8" i="58"/>
  <c r="X8" i="58"/>
  <c r="Y8" i="58"/>
  <c r="Z8" i="58"/>
  <c r="AA8" i="58"/>
  <c r="AB8" i="58"/>
  <c r="AC8" i="58"/>
  <c r="AD8" i="58"/>
  <c r="AE8" i="58"/>
  <c r="AF8" i="58"/>
  <c r="AG8" i="58"/>
  <c r="AH8" i="58"/>
  <c r="AI8" i="58"/>
  <c r="AJ8" i="58"/>
  <c r="AK8" i="58"/>
  <c r="AL8" i="58"/>
  <c r="AM8" i="58"/>
  <c r="AN8" i="58"/>
  <c r="AO8" i="58"/>
  <c r="AP8" i="58"/>
  <c r="AQ8" i="58"/>
  <c r="AR8" i="58"/>
  <c r="AS8" i="58"/>
  <c r="AT8" i="58"/>
  <c r="AU8" i="58"/>
  <c r="AV8" i="58"/>
  <c r="AW8" i="58"/>
  <c r="AX8" i="58"/>
  <c r="AY8" i="58"/>
  <c r="AZ8" i="58"/>
  <c r="BA8" i="58"/>
  <c r="BB8" i="58"/>
  <c r="BC8" i="58"/>
  <c r="BD8" i="58"/>
  <c r="BE8" i="58"/>
  <c r="BF8" i="58"/>
  <c r="BG8" i="58"/>
  <c r="BH8" i="58"/>
  <c r="BI8" i="58"/>
  <c r="BJ8" i="58"/>
  <c r="BK8" i="58"/>
  <c r="BL8" i="58"/>
  <c r="BM8" i="58"/>
  <c r="BN8" i="58"/>
  <c r="BO8" i="58"/>
  <c r="BP8" i="58"/>
  <c r="BQ8" i="58"/>
  <c r="BR8" i="58"/>
  <c r="BS8" i="58"/>
  <c r="BT8" i="58"/>
  <c r="BU8" i="58"/>
  <c r="BV8" i="58"/>
  <c r="BW8" i="58"/>
  <c r="BX8" i="58"/>
  <c r="BY8" i="58"/>
  <c r="BZ8" i="58"/>
  <c r="CA8" i="58"/>
  <c r="CB8" i="58"/>
  <c r="CC8" i="58"/>
  <c r="CD8" i="58"/>
  <c r="CE8" i="58"/>
  <c r="CF8" i="58"/>
  <c r="CG8" i="58"/>
  <c r="CH8" i="58"/>
  <c r="CI8" i="58"/>
  <c r="CJ8" i="58"/>
  <c r="CK8" i="58"/>
  <c r="CL8" i="58"/>
  <c r="CM8" i="58"/>
  <c r="CN8" i="58"/>
  <c r="CO8" i="58"/>
  <c r="CP8" i="58"/>
  <c r="CQ8" i="58"/>
  <c r="CR8" i="58"/>
  <c r="CS8" i="58"/>
  <c r="CT8" i="58"/>
  <c r="CU8" i="58"/>
  <c r="CV8" i="58"/>
  <c r="CW8" i="58"/>
  <c r="CX8" i="58"/>
  <c r="CY8" i="58"/>
  <c r="CZ8" i="58"/>
  <c r="DA8" i="58"/>
  <c r="DB8" i="58"/>
  <c r="DC8" i="58"/>
  <c r="DD8" i="58"/>
  <c r="DE8" i="58"/>
  <c r="DF8" i="58"/>
  <c r="DG8" i="58"/>
  <c r="DH8" i="58"/>
  <c r="DI8" i="58"/>
  <c r="DJ8" i="58"/>
  <c r="DZ8" i="58"/>
  <c r="EA8" i="58"/>
  <c r="EB8" i="58"/>
  <c r="EC8" i="58"/>
  <c r="ED8" i="58"/>
  <c r="EE8" i="58"/>
  <c r="EF8" i="58"/>
  <c r="EG8" i="58"/>
  <c r="EH8" i="58"/>
  <c r="EI8" i="58"/>
  <c r="C9" i="58"/>
  <c r="D9" i="58"/>
  <c r="E9" i="58"/>
  <c r="F9" i="58"/>
  <c r="G9" i="58"/>
  <c r="H9" i="58"/>
  <c r="I9" i="58"/>
  <c r="J9" i="58"/>
  <c r="K9" i="58"/>
  <c r="L9" i="58"/>
  <c r="M9" i="58"/>
  <c r="N9" i="58"/>
  <c r="O9" i="58"/>
  <c r="P9" i="58"/>
  <c r="Q9" i="58"/>
  <c r="R9" i="58"/>
  <c r="S9" i="58"/>
  <c r="T9" i="58"/>
  <c r="U9" i="58"/>
  <c r="V9" i="58"/>
  <c r="W9" i="58"/>
  <c r="X9" i="58"/>
  <c r="Y9" i="58"/>
  <c r="Z9" i="58"/>
  <c r="AA9" i="58"/>
  <c r="AB9" i="58"/>
  <c r="AC9" i="58"/>
  <c r="AD9" i="58"/>
  <c r="AE9" i="58"/>
  <c r="AF9" i="58"/>
  <c r="AG9" i="58"/>
  <c r="AH9" i="58"/>
  <c r="AI9" i="58"/>
  <c r="AJ9" i="58"/>
  <c r="AK9" i="58"/>
  <c r="AL9" i="58"/>
  <c r="AM9" i="58"/>
  <c r="AN9" i="58"/>
  <c r="AO9" i="58"/>
  <c r="AP9" i="58"/>
  <c r="AQ9" i="58"/>
  <c r="AR9" i="58"/>
  <c r="AS9" i="58"/>
  <c r="AT9" i="58"/>
  <c r="AU9" i="58"/>
  <c r="AV9" i="58"/>
  <c r="AW9" i="58"/>
  <c r="AX9" i="58"/>
  <c r="AY9" i="58"/>
  <c r="AZ9" i="58"/>
  <c r="BA9" i="58"/>
  <c r="BB9" i="58"/>
  <c r="BC9" i="58"/>
  <c r="BD9" i="58"/>
  <c r="BE9" i="58"/>
  <c r="BF9" i="58"/>
  <c r="BG9" i="58"/>
  <c r="BH9" i="58"/>
  <c r="BI9" i="58"/>
  <c r="BJ9" i="58"/>
  <c r="BK9" i="58"/>
  <c r="BL9" i="58"/>
  <c r="BM9" i="58"/>
  <c r="BN9" i="58"/>
  <c r="BO9" i="58"/>
  <c r="BP9" i="58"/>
  <c r="BQ9" i="58"/>
  <c r="BR9" i="58"/>
  <c r="BS9" i="58"/>
  <c r="BT9" i="58"/>
  <c r="BU9" i="58"/>
  <c r="BV9" i="58"/>
  <c r="BW9" i="58"/>
  <c r="BX9" i="58"/>
  <c r="BY9" i="58"/>
  <c r="BZ9" i="58"/>
  <c r="CA9" i="58"/>
  <c r="CB9" i="58"/>
  <c r="CC9" i="58"/>
  <c r="CD9" i="58"/>
  <c r="CE9" i="58"/>
  <c r="CF9" i="58"/>
  <c r="CG9" i="58"/>
  <c r="CH9" i="58"/>
  <c r="CI9" i="58"/>
  <c r="CJ9" i="58"/>
  <c r="CK9" i="58"/>
  <c r="CL9" i="58"/>
  <c r="CM9" i="58"/>
  <c r="CN9" i="58"/>
  <c r="CO9" i="58"/>
  <c r="CP9" i="58"/>
  <c r="CQ9" i="58"/>
  <c r="CR9" i="58"/>
  <c r="CS9" i="58"/>
  <c r="CT9" i="58"/>
  <c r="CU9" i="58"/>
  <c r="CV9" i="58"/>
  <c r="CW9" i="58"/>
  <c r="CX9" i="58"/>
  <c r="CY9" i="58"/>
  <c r="CZ9" i="58"/>
  <c r="DA9" i="58"/>
  <c r="DB9" i="58"/>
  <c r="DC9" i="58"/>
  <c r="DD9" i="58"/>
  <c r="DE9" i="58"/>
  <c r="DF9" i="58"/>
  <c r="DK9" i="58"/>
  <c r="DL9" i="58"/>
  <c r="DN9" i="58"/>
  <c r="DZ9" i="58"/>
  <c r="EA9" i="58"/>
  <c r="EB9" i="58"/>
  <c r="EC9" i="58"/>
  <c r="ED9" i="58"/>
  <c r="EE9" i="58"/>
  <c r="EF9" i="58"/>
  <c r="EG9" i="58"/>
  <c r="EH9" i="58"/>
  <c r="C10" i="58"/>
  <c r="D10" i="58"/>
  <c r="E10" i="58"/>
  <c r="F10" i="58"/>
  <c r="G10" i="58"/>
  <c r="H10" i="58"/>
  <c r="I10" i="58"/>
  <c r="J10" i="58"/>
  <c r="K10" i="58"/>
  <c r="L10" i="58"/>
  <c r="M10" i="58"/>
  <c r="N10" i="58"/>
  <c r="O10" i="58"/>
  <c r="P10" i="58"/>
  <c r="Q10" i="58"/>
  <c r="R10" i="58"/>
  <c r="S10" i="58"/>
  <c r="T10" i="58"/>
  <c r="U10" i="58"/>
  <c r="V10" i="58"/>
  <c r="W10" i="58"/>
  <c r="X10" i="58"/>
  <c r="Y10" i="58"/>
  <c r="Z10" i="58"/>
  <c r="AA10" i="58"/>
  <c r="AB10" i="58"/>
  <c r="AC10" i="58"/>
  <c r="AD10" i="58"/>
  <c r="AE10" i="58"/>
  <c r="AF10" i="58"/>
  <c r="AG10" i="58"/>
  <c r="AH10" i="58"/>
  <c r="AI10" i="58"/>
  <c r="AJ10" i="58"/>
  <c r="AK10" i="58"/>
  <c r="AL10" i="58"/>
  <c r="AM10" i="58"/>
  <c r="AN10" i="58"/>
  <c r="AO10" i="58"/>
  <c r="AP10" i="58"/>
  <c r="AQ10" i="58"/>
  <c r="AR10" i="58"/>
  <c r="AS10" i="58"/>
  <c r="AT10" i="58"/>
  <c r="AU10" i="58"/>
  <c r="AV10" i="58"/>
  <c r="AW10" i="58"/>
  <c r="AX10" i="58"/>
  <c r="AY10" i="58"/>
  <c r="AZ10" i="58"/>
  <c r="BA10" i="58"/>
  <c r="BB10" i="58"/>
  <c r="BC10" i="58"/>
  <c r="BD10" i="58"/>
  <c r="BE10" i="58"/>
  <c r="BF10" i="58"/>
  <c r="BG10" i="58"/>
  <c r="BH10" i="58"/>
  <c r="BI10" i="58"/>
  <c r="BJ10" i="58"/>
  <c r="BK10" i="58"/>
  <c r="BL10" i="58"/>
  <c r="BM10" i="58"/>
  <c r="BN10" i="58"/>
  <c r="BO10" i="58"/>
  <c r="BP10" i="58"/>
  <c r="BQ10" i="58"/>
  <c r="BR10" i="58"/>
  <c r="BS10" i="58"/>
  <c r="BT10" i="58"/>
  <c r="BU10" i="58"/>
  <c r="BV10" i="58"/>
  <c r="BW10" i="58"/>
  <c r="BX10" i="58"/>
  <c r="BY10" i="58"/>
  <c r="BZ10" i="58"/>
  <c r="CA10" i="58"/>
  <c r="CB10" i="58"/>
  <c r="CC10" i="58"/>
  <c r="CD10" i="58"/>
  <c r="CE10" i="58"/>
  <c r="CF10" i="58"/>
  <c r="CG10" i="58"/>
  <c r="CH10" i="58"/>
  <c r="CI10" i="58"/>
  <c r="CJ10" i="58"/>
  <c r="CK10" i="58"/>
  <c r="CL10" i="58"/>
  <c r="CM10" i="58"/>
  <c r="CN10" i="58"/>
  <c r="CO10" i="58"/>
  <c r="CP10" i="58"/>
  <c r="CQ10" i="58"/>
  <c r="CR10" i="58"/>
  <c r="CS10" i="58"/>
  <c r="CT10" i="58"/>
  <c r="DZ10" i="58"/>
  <c r="EA10" i="58"/>
  <c r="EB10" i="58"/>
  <c r="EC10" i="58"/>
  <c r="ED10" i="58"/>
  <c r="EE10" i="58"/>
  <c r="EF10" i="58"/>
  <c r="EG10" i="58"/>
  <c r="C11" i="58"/>
  <c r="D11" i="58"/>
  <c r="E11" i="58"/>
  <c r="F11" i="58"/>
  <c r="G11" i="58"/>
  <c r="H11" i="58"/>
  <c r="I11" i="58"/>
  <c r="J11" i="58"/>
  <c r="K11" i="58"/>
  <c r="L11" i="58"/>
  <c r="M11" i="58"/>
  <c r="N11" i="58"/>
  <c r="O11" i="58"/>
  <c r="P11" i="58"/>
  <c r="Q11" i="58"/>
  <c r="R11" i="58"/>
  <c r="S11" i="58"/>
  <c r="T11" i="58"/>
  <c r="U11" i="58"/>
  <c r="V11" i="58"/>
  <c r="W11" i="58"/>
  <c r="X11" i="58"/>
  <c r="Y11" i="58"/>
  <c r="Z11" i="58"/>
  <c r="AA11" i="58"/>
  <c r="AB11" i="58"/>
  <c r="AC11" i="58"/>
  <c r="AD11" i="58"/>
  <c r="AE11" i="58"/>
  <c r="AF11" i="58"/>
  <c r="AG11" i="58"/>
  <c r="AH11" i="58"/>
  <c r="AI11" i="58"/>
  <c r="AJ11" i="58"/>
  <c r="AK11" i="58"/>
  <c r="AL11" i="58"/>
  <c r="AM11" i="58"/>
  <c r="AN11" i="58"/>
  <c r="AO11" i="58"/>
  <c r="AP11" i="58"/>
  <c r="AQ11" i="58"/>
  <c r="AR11" i="58"/>
  <c r="AS11" i="58"/>
  <c r="AT11" i="58"/>
  <c r="AU11" i="58"/>
  <c r="AV11" i="58"/>
  <c r="AW11" i="58"/>
  <c r="AX11" i="58"/>
  <c r="AY11" i="58"/>
  <c r="AZ11" i="58"/>
  <c r="BA11" i="58"/>
  <c r="BB11" i="58"/>
  <c r="BC11" i="58"/>
  <c r="BD11" i="58"/>
  <c r="BE11" i="58"/>
  <c r="BF11" i="58"/>
  <c r="BG11" i="58"/>
  <c r="BH11" i="58"/>
  <c r="BI11" i="58"/>
  <c r="BJ11" i="58"/>
  <c r="BK11" i="58"/>
  <c r="BL11" i="58"/>
  <c r="BM11" i="58"/>
  <c r="BN11" i="58"/>
  <c r="BO11" i="58"/>
  <c r="BP11" i="58"/>
  <c r="BQ11" i="58"/>
  <c r="BR11" i="58"/>
  <c r="BS11" i="58"/>
  <c r="BT11" i="58"/>
  <c r="BU11" i="58"/>
  <c r="BV11" i="58"/>
  <c r="BW11" i="58"/>
  <c r="BX11" i="58"/>
  <c r="BY11" i="58"/>
  <c r="BZ11" i="58"/>
  <c r="CA11" i="58"/>
  <c r="CB11" i="58"/>
  <c r="CC11" i="58"/>
  <c r="CD11" i="58"/>
  <c r="CE11" i="58"/>
  <c r="CF11" i="58"/>
  <c r="CG11" i="58"/>
  <c r="CH11" i="58"/>
  <c r="CI11" i="58"/>
  <c r="CJ11" i="58"/>
  <c r="CK11" i="58"/>
  <c r="CL11" i="58"/>
  <c r="CM11" i="58"/>
  <c r="CN11" i="58"/>
  <c r="CO11" i="58"/>
  <c r="CP11" i="58"/>
  <c r="CQ11" i="58"/>
  <c r="CR11" i="58"/>
  <c r="CS11" i="58"/>
  <c r="CT11" i="58"/>
  <c r="CU11" i="58"/>
  <c r="CV11" i="58"/>
  <c r="CW11" i="58"/>
  <c r="CX11" i="58"/>
  <c r="CY11" i="58"/>
  <c r="CZ11" i="58"/>
  <c r="DA11" i="58"/>
  <c r="DB11" i="58"/>
  <c r="DC11" i="58"/>
  <c r="DD11" i="58"/>
  <c r="DE11" i="58"/>
  <c r="DF11" i="58"/>
  <c r="DG11" i="58"/>
  <c r="DH11" i="58"/>
  <c r="DI11" i="58"/>
  <c r="DJ11" i="58"/>
  <c r="DZ11" i="58"/>
  <c r="EA11" i="58"/>
  <c r="EB11" i="58"/>
  <c r="EC11" i="58"/>
  <c r="ED11" i="58"/>
  <c r="EE11" i="58"/>
  <c r="EF11" i="58"/>
  <c r="EG11" i="58"/>
  <c r="EH11" i="58"/>
  <c r="EI11" i="58"/>
  <c r="C12" i="58"/>
  <c r="D12" i="58"/>
  <c r="E12" i="58"/>
  <c r="F12" i="58"/>
  <c r="G12" i="58"/>
  <c r="H12" i="58"/>
  <c r="I12" i="58"/>
  <c r="J12" i="58"/>
  <c r="K12" i="58"/>
  <c r="L12" i="58"/>
  <c r="M12" i="58"/>
  <c r="N12" i="58"/>
  <c r="O12" i="58"/>
  <c r="P12" i="58"/>
  <c r="Q12" i="58"/>
  <c r="R12" i="58"/>
  <c r="S12" i="58"/>
  <c r="T12" i="58"/>
  <c r="U12" i="58"/>
  <c r="V12" i="58"/>
  <c r="W12" i="58"/>
  <c r="X12" i="58"/>
  <c r="Y12" i="58"/>
  <c r="Z12" i="58"/>
  <c r="AA12" i="58"/>
  <c r="AB12" i="58"/>
  <c r="AC12" i="58"/>
  <c r="AD12" i="58"/>
  <c r="AE12" i="58"/>
  <c r="AF12" i="58"/>
  <c r="AG12" i="58"/>
  <c r="AH12" i="58"/>
  <c r="AI12" i="58"/>
  <c r="AJ12" i="58"/>
  <c r="AK12" i="58"/>
  <c r="AL12" i="58"/>
  <c r="AM12" i="58"/>
  <c r="AN12" i="58"/>
  <c r="AO12" i="58"/>
  <c r="AP12" i="58"/>
  <c r="AQ12" i="58"/>
  <c r="AR12" i="58"/>
  <c r="AS12" i="58"/>
  <c r="AT12" i="58"/>
  <c r="AU12" i="58"/>
  <c r="AV12" i="58"/>
  <c r="AW12" i="58"/>
  <c r="AX12" i="58"/>
  <c r="AY12" i="58"/>
  <c r="AZ12" i="58"/>
  <c r="BA12" i="58"/>
  <c r="BB12" i="58"/>
  <c r="BC12" i="58"/>
  <c r="BD12" i="58"/>
  <c r="BE12" i="58"/>
  <c r="BF12" i="58"/>
  <c r="BG12" i="58"/>
  <c r="BH12" i="58"/>
  <c r="BI12" i="58"/>
  <c r="BJ12" i="58"/>
  <c r="BK12" i="58"/>
  <c r="BL12" i="58"/>
  <c r="BM12" i="58"/>
  <c r="BN12" i="58"/>
  <c r="BO12" i="58"/>
  <c r="BP12" i="58"/>
  <c r="BQ12" i="58"/>
  <c r="BR12" i="58"/>
  <c r="BS12" i="58"/>
  <c r="BT12" i="58"/>
  <c r="BU12" i="58"/>
  <c r="BV12" i="58"/>
  <c r="BW12" i="58"/>
  <c r="BX12" i="58"/>
  <c r="BY12" i="58"/>
  <c r="BZ12" i="58"/>
  <c r="CA12" i="58"/>
  <c r="CB12" i="58"/>
  <c r="CC12" i="58"/>
  <c r="CD12" i="58"/>
  <c r="CE12" i="58"/>
  <c r="CF12" i="58"/>
  <c r="CG12" i="58"/>
  <c r="CH12" i="58"/>
  <c r="CI12" i="58"/>
  <c r="CJ12" i="58"/>
  <c r="CK12" i="58"/>
  <c r="CL12" i="58"/>
  <c r="CM12" i="58"/>
  <c r="CN12" i="58"/>
  <c r="CO12" i="58"/>
  <c r="CP12" i="58"/>
  <c r="CQ12" i="58"/>
  <c r="CR12" i="58"/>
  <c r="CS12" i="58"/>
  <c r="CT12" i="58"/>
  <c r="DZ12" i="58"/>
  <c r="EA12" i="58"/>
  <c r="EB12" i="58"/>
  <c r="EC12" i="58"/>
  <c r="ED12" i="58"/>
  <c r="EE12" i="58"/>
  <c r="EF12" i="58"/>
  <c r="EG12" i="58"/>
  <c r="C14" i="58"/>
  <c r="D14" i="58"/>
  <c r="E14" i="58"/>
  <c r="F14" i="58"/>
  <c r="G14" i="58"/>
  <c r="H14" i="58"/>
  <c r="I14" i="58"/>
  <c r="J14" i="58"/>
  <c r="K14" i="58"/>
  <c r="L14" i="58"/>
  <c r="M14" i="58"/>
  <c r="N14" i="58"/>
  <c r="O14" i="58"/>
  <c r="P14" i="58"/>
  <c r="Q14" i="58"/>
  <c r="R14" i="58"/>
  <c r="S14" i="58"/>
  <c r="T14" i="58"/>
  <c r="U14" i="58"/>
  <c r="V14" i="58"/>
  <c r="W14" i="58"/>
  <c r="X14" i="58"/>
  <c r="Y14" i="58"/>
  <c r="Z14" i="58"/>
  <c r="AA14" i="58"/>
  <c r="AB14" i="58"/>
  <c r="AC14" i="58"/>
  <c r="AD14" i="58"/>
  <c r="AE14" i="58"/>
  <c r="AF14" i="58"/>
  <c r="AG14" i="58"/>
  <c r="AH14" i="58"/>
  <c r="AI14" i="58"/>
  <c r="AJ14" i="58"/>
  <c r="AK14" i="58"/>
  <c r="AL14" i="58"/>
  <c r="AM14" i="58"/>
  <c r="AN14" i="58"/>
  <c r="AO14" i="58"/>
  <c r="AP14" i="58"/>
  <c r="AQ14" i="58"/>
  <c r="AR14" i="58"/>
  <c r="AS14" i="58"/>
  <c r="AT14" i="58"/>
  <c r="AU14" i="58"/>
  <c r="AV14" i="58"/>
  <c r="AW14" i="58"/>
  <c r="AX14" i="58"/>
  <c r="AY14" i="58"/>
  <c r="AZ14" i="58"/>
  <c r="BA14" i="58"/>
  <c r="BB14" i="58"/>
  <c r="BC14" i="58"/>
  <c r="BD14" i="58"/>
  <c r="BE14" i="58"/>
  <c r="BF14" i="58"/>
  <c r="BG14" i="58"/>
  <c r="BH14" i="58"/>
  <c r="BI14" i="58"/>
  <c r="BJ14" i="58"/>
  <c r="BK14" i="58"/>
  <c r="BL14" i="58"/>
  <c r="BM14" i="58"/>
  <c r="BN14" i="58"/>
  <c r="BO14" i="58"/>
  <c r="BP14" i="58"/>
  <c r="BQ14" i="58"/>
  <c r="BR14" i="58"/>
  <c r="BS14" i="58"/>
  <c r="BT14" i="58"/>
  <c r="BU14" i="58"/>
  <c r="BV14" i="58"/>
  <c r="BW14" i="58"/>
  <c r="BX14" i="58"/>
  <c r="BY14" i="58"/>
  <c r="BZ14" i="58"/>
  <c r="CA14" i="58"/>
  <c r="CB14" i="58"/>
  <c r="CC14" i="58"/>
  <c r="CD14" i="58"/>
  <c r="CE14" i="58"/>
  <c r="CF14" i="58"/>
  <c r="CG14" i="58"/>
  <c r="CH14" i="58"/>
  <c r="CI14" i="58"/>
  <c r="CJ14" i="58"/>
  <c r="CK14" i="58"/>
  <c r="CL14" i="58"/>
  <c r="CM14" i="58"/>
  <c r="CN14" i="58"/>
  <c r="CO14" i="58"/>
  <c r="CP14" i="58"/>
  <c r="CQ14" i="58"/>
  <c r="CR14" i="58"/>
  <c r="CS14" i="58"/>
  <c r="CT14" i="58"/>
  <c r="CU14" i="58"/>
  <c r="CV14" i="58"/>
  <c r="CW14" i="58"/>
  <c r="CX14" i="58"/>
  <c r="CY14" i="58"/>
  <c r="CZ14" i="58"/>
  <c r="DA14" i="58"/>
  <c r="DB14" i="58"/>
  <c r="DC14" i="58"/>
  <c r="DD14" i="58"/>
  <c r="DE14" i="58"/>
  <c r="DF14" i="58"/>
  <c r="DQ14" i="58"/>
  <c r="DQ17" i="58"/>
  <c r="C16" i="58"/>
  <c r="D16" i="58"/>
  <c r="E16" i="58"/>
  <c r="F16" i="58"/>
  <c r="G16" i="58"/>
  <c r="H16" i="58"/>
  <c r="I16" i="58"/>
  <c r="J16" i="58"/>
  <c r="K16" i="58"/>
  <c r="L16" i="58"/>
  <c r="M16" i="58"/>
  <c r="N16" i="58"/>
  <c r="O16" i="58"/>
  <c r="P16" i="58"/>
  <c r="Q16" i="58"/>
  <c r="R16" i="58"/>
  <c r="S16" i="58"/>
  <c r="T16" i="58"/>
  <c r="U16" i="58"/>
  <c r="V16" i="58"/>
  <c r="W16" i="58"/>
  <c r="X16" i="58"/>
  <c r="Y16" i="58"/>
  <c r="Z16" i="58"/>
  <c r="AA16" i="58"/>
  <c r="AB16" i="58"/>
  <c r="AC16" i="58"/>
  <c r="AD16" i="58"/>
  <c r="AE16" i="58"/>
  <c r="AF16" i="58"/>
  <c r="AG16" i="58"/>
  <c r="AH16" i="58"/>
  <c r="AI16" i="58"/>
  <c r="AJ16" i="58"/>
  <c r="AK16" i="58"/>
  <c r="AL16" i="58"/>
  <c r="AM16" i="58"/>
  <c r="AN16" i="58"/>
  <c r="AO16" i="58"/>
  <c r="AP16" i="58"/>
  <c r="AQ16" i="58"/>
  <c r="AR16" i="58"/>
  <c r="AS16" i="58"/>
  <c r="AT16" i="58"/>
  <c r="AU16" i="58"/>
  <c r="AV16" i="58"/>
  <c r="AW16" i="58"/>
  <c r="AX16" i="58"/>
  <c r="AY16" i="58"/>
  <c r="AZ16" i="58"/>
  <c r="BA16" i="58"/>
  <c r="BB16" i="58"/>
  <c r="BC16" i="58"/>
  <c r="BD16" i="58"/>
  <c r="BE16" i="58"/>
  <c r="BF16" i="58"/>
  <c r="BG16" i="58"/>
  <c r="BH16" i="58"/>
  <c r="BI16" i="58"/>
  <c r="BJ16" i="58"/>
  <c r="BK16" i="58"/>
  <c r="BL16" i="58"/>
  <c r="BM16" i="58"/>
  <c r="BN16" i="58"/>
  <c r="BO16" i="58"/>
  <c r="BP16" i="58"/>
  <c r="BQ16" i="58"/>
  <c r="BR16" i="58"/>
  <c r="BS16" i="58"/>
  <c r="BT16" i="58"/>
  <c r="BU16" i="58"/>
  <c r="BV16" i="58"/>
  <c r="BW16" i="58"/>
  <c r="BX16" i="58"/>
  <c r="BY16" i="58"/>
  <c r="BZ16" i="58"/>
  <c r="CA16" i="58"/>
  <c r="CB16" i="58"/>
  <c r="CC16" i="58"/>
  <c r="CD16" i="58"/>
  <c r="CE16" i="58"/>
  <c r="CF16" i="58"/>
  <c r="CG16" i="58"/>
  <c r="CH16" i="58"/>
  <c r="CI16" i="58"/>
  <c r="CJ16" i="58"/>
  <c r="CK16" i="58"/>
  <c r="CL16" i="58"/>
  <c r="CM16" i="58"/>
  <c r="CN16" i="58"/>
  <c r="CO16" i="58"/>
  <c r="CP16" i="58"/>
  <c r="CQ16" i="58"/>
  <c r="CR16" i="58"/>
  <c r="CS16" i="58"/>
  <c r="CT16" i="58"/>
  <c r="CU16" i="58"/>
  <c r="CV16" i="58"/>
  <c r="CW16" i="58"/>
  <c r="CX16" i="58"/>
  <c r="CY16" i="58"/>
  <c r="CZ16" i="58"/>
  <c r="DA16" i="58"/>
  <c r="DB16" i="58"/>
  <c r="DC16" i="58"/>
  <c r="DD16" i="58"/>
  <c r="DE16" i="58"/>
  <c r="DF16" i="58"/>
  <c r="DO16" i="58"/>
  <c r="C17" i="58"/>
  <c r="D17" i="58"/>
  <c r="E17" i="58"/>
  <c r="F17" i="58"/>
  <c r="G17" i="58"/>
  <c r="H17" i="58"/>
  <c r="I17" i="58"/>
  <c r="J17" i="58"/>
  <c r="K17" i="58"/>
  <c r="L17" i="58"/>
  <c r="M17" i="58"/>
  <c r="N17" i="58"/>
  <c r="O17" i="58"/>
  <c r="P17" i="58"/>
  <c r="Q17" i="58"/>
  <c r="R17" i="58"/>
  <c r="S17" i="58"/>
  <c r="T17" i="58"/>
  <c r="U17" i="58"/>
  <c r="V17" i="58"/>
  <c r="W17" i="58"/>
  <c r="X17" i="58"/>
  <c r="Y17" i="58"/>
  <c r="Z17" i="58"/>
  <c r="AA17" i="58"/>
  <c r="AB17" i="58"/>
  <c r="AC17" i="58"/>
  <c r="AD17" i="58"/>
  <c r="AE17" i="58"/>
  <c r="AF17" i="58"/>
  <c r="AG17" i="58"/>
  <c r="AH17" i="58"/>
  <c r="AI17" i="58"/>
  <c r="AJ17" i="58"/>
  <c r="AK17" i="58"/>
  <c r="AL17" i="58"/>
  <c r="AM17" i="58"/>
  <c r="AN17" i="58"/>
  <c r="AO17" i="58"/>
  <c r="AP17" i="58"/>
  <c r="AQ17" i="58"/>
  <c r="AR17" i="58"/>
  <c r="AS17" i="58"/>
  <c r="AT17" i="58"/>
  <c r="AU17" i="58"/>
  <c r="AV17" i="58"/>
  <c r="AW17" i="58"/>
  <c r="AX17" i="58"/>
  <c r="AY17" i="58"/>
  <c r="AZ17" i="58"/>
  <c r="BA17" i="58"/>
  <c r="BB17" i="58"/>
  <c r="BC17" i="58"/>
  <c r="BD17" i="58"/>
  <c r="BE17" i="58"/>
  <c r="BF17" i="58"/>
  <c r="BG17" i="58"/>
  <c r="BH17" i="58"/>
  <c r="BI17" i="58"/>
  <c r="BJ17" i="58"/>
  <c r="BK17" i="58"/>
  <c r="BL17" i="58"/>
  <c r="BM17" i="58"/>
  <c r="BN17" i="58"/>
  <c r="BO17" i="58"/>
  <c r="BP17" i="58"/>
  <c r="BQ17" i="58"/>
  <c r="BR17" i="58"/>
  <c r="BS17" i="58"/>
  <c r="BT17" i="58"/>
  <c r="BU17" i="58"/>
  <c r="BV17" i="58"/>
  <c r="BW17" i="58"/>
  <c r="BX17" i="58"/>
  <c r="BY17" i="58"/>
  <c r="BZ17" i="58"/>
  <c r="CA17" i="58"/>
  <c r="CB17" i="58"/>
  <c r="CC17" i="58"/>
  <c r="CD17" i="58"/>
  <c r="CE17" i="58"/>
  <c r="CF17" i="58"/>
  <c r="CG17" i="58"/>
  <c r="CH17" i="58"/>
  <c r="CI17" i="58"/>
  <c r="CJ17" i="58"/>
  <c r="CK17" i="58"/>
  <c r="CL17" i="58"/>
  <c r="CM17" i="58"/>
  <c r="CN17" i="58"/>
  <c r="CO17" i="58"/>
  <c r="CP17" i="58"/>
  <c r="CQ17" i="58"/>
  <c r="CR17" i="58"/>
  <c r="CS17" i="58"/>
  <c r="CT17" i="58"/>
  <c r="CU17" i="58"/>
  <c r="CV17" i="58"/>
  <c r="CW17" i="58"/>
  <c r="CX17" i="58"/>
  <c r="CY17" i="58"/>
  <c r="CZ17" i="58"/>
  <c r="DA17" i="58"/>
  <c r="DB17" i="58"/>
  <c r="DC17" i="58"/>
  <c r="DD17" i="58"/>
  <c r="DE17" i="58"/>
  <c r="DF17" i="58"/>
  <c r="C18" i="58"/>
  <c r="D18" i="58"/>
  <c r="E18" i="58"/>
  <c r="F18" i="58"/>
  <c r="G18" i="58"/>
  <c r="H18" i="58"/>
  <c r="I18" i="58"/>
  <c r="J18" i="58"/>
  <c r="K18" i="58"/>
  <c r="L18" i="58"/>
  <c r="M18" i="58"/>
  <c r="N18" i="58"/>
  <c r="O18" i="58"/>
  <c r="P18" i="58"/>
  <c r="Q18" i="58"/>
  <c r="R18" i="58"/>
  <c r="S18" i="58"/>
  <c r="T18" i="58"/>
  <c r="U18" i="58"/>
  <c r="V18" i="58"/>
  <c r="W18" i="58"/>
  <c r="X18" i="58"/>
  <c r="Y18" i="58"/>
  <c r="Z18" i="58"/>
  <c r="AA18" i="58"/>
  <c r="AB18" i="58"/>
  <c r="AC18" i="58"/>
  <c r="AD18" i="58"/>
  <c r="AE18" i="58"/>
  <c r="AF18" i="58"/>
  <c r="AG18" i="58"/>
  <c r="AH18" i="58"/>
  <c r="AI18" i="58"/>
  <c r="AJ18" i="58"/>
  <c r="AK18" i="58"/>
  <c r="AL18" i="58"/>
  <c r="AM18" i="58"/>
  <c r="AN18" i="58"/>
  <c r="AO18" i="58"/>
  <c r="AP18" i="58"/>
  <c r="AQ18" i="58"/>
  <c r="AR18" i="58"/>
  <c r="AS18" i="58"/>
  <c r="AT18" i="58"/>
  <c r="AU18" i="58"/>
  <c r="AV18" i="58"/>
  <c r="AW18" i="58"/>
  <c r="AX18" i="58"/>
  <c r="AY18" i="58"/>
  <c r="AZ18" i="58"/>
  <c r="BA18" i="58"/>
  <c r="BB18" i="58"/>
  <c r="BC18" i="58"/>
  <c r="BD18" i="58"/>
  <c r="BE18" i="58"/>
  <c r="BF18" i="58"/>
  <c r="BG18" i="58"/>
  <c r="BH18" i="58"/>
  <c r="BI18" i="58"/>
  <c r="BJ18" i="58"/>
  <c r="BK18" i="58"/>
  <c r="BL18" i="58"/>
  <c r="BM18" i="58"/>
  <c r="BN18" i="58"/>
  <c r="BO18" i="58"/>
  <c r="BP18" i="58"/>
  <c r="BQ18" i="58"/>
  <c r="BR18" i="58"/>
  <c r="BS18" i="58"/>
  <c r="BT18" i="58"/>
  <c r="BU18" i="58"/>
  <c r="BV18" i="58"/>
  <c r="BW18" i="58"/>
  <c r="BX18" i="58"/>
  <c r="BY18" i="58"/>
  <c r="BZ18" i="58"/>
  <c r="CA18" i="58"/>
  <c r="CB18" i="58"/>
  <c r="CC18" i="58"/>
  <c r="CD18" i="58"/>
  <c r="CE18" i="58"/>
  <c r="CF18" i="58"/>
  <c r="CG18" i="58"/>
  <c r="CH18" i="58"/>
  <c r="CI18" i="58"/>
  <c r="CJ18" i="58"/>
  <c r="CK18" i="58"/>
  <c r="CL18" i="58"/>
  <c r="CM18" i="58"/>
  <c r="CN18" i="58"/>
  <c r="CO18" i="58"/>
  <c r="CP18" i="58"/>
  <c r="CQ18" i="58"/>
  <c r="CR18" i="58"/>
  <c r="CS18" i="58"/>
  <c r="CT18" i="58"/>
  <c r="CU18" i="58"/>
  <c r="CV18" i="58"/>
  <c r="CW18" i="58"/>
  <c r="CX18" i="58"/>
  <c r="CY18" i="58"/>
  <c r="CZ18" i="58"/>
  <c r="DA18" i="58"/>
  <c r="DB18" i="58"/>
  <c r="DC18" i="58"/>
  <c r="DD18" i="58"/>
  <c r="DE18" i="58"/>
  <c r="DF18" i="58"/>
  <c r="DG18" i="58"/>
  <c r="DH18" i="58"/>
  <c r="DI18" i="58"/>
  <c r="DJ18" i="58"/>
  <c r="DK18" i="58"/>
  <c r="DL18" i="58"/>
  <c r="DM18" i="58"/>
  <c r="DN18" i="58"/>
  <c r="DQ18" i="58"/>
  <c r="C19" i="58"/>
  <c r="D19" i="58"/>
  <c r="E19" i="58"/>
  <c r="F19" i="58"/>
  <c r="G19" i="58"/>
  <c r="H19" i="58"/>
  <c r="I19" i="58"/>
  <c r="J19" i="58"/>
  <c r="K19" i="58"/>
  <c r="L19" i="58"/>
  <c r="M19" i="58"/>
  <c r="N19" i="58"/>
  <c r="O19" i="58"/>
  <c r="P19" i="58"/>
  <c r="Q19" i="58"/>
  <c r="R19" i="58"/>
  <c r="S19" i="58"/>
  <c r="T19" i="58"/>
  <c r="U19" i="58"/>
  <c r="V19" i="58"/>
  <c r="W19" i="58"/>
  <c r="X19" i="58"/>
  <c r="Y19" i="58"/>
  <c r="Z19" i="58"/>
  <c r="AA19" i="58"/>
  <c r="AB19" i="58"/>
  <c r="AC19" i="58"/>
  <c r="AD19" i="58"/>
  <c r="AE19" i="58"/>
  <c r="AF19" i="58"/>
  <c r="AG19" i="58"/>
  <c r="AH19" i="58"/>
  <c r="AI19" i="58"/>
  <c r="AJ19" i="58"/>
  <c r="AK19" i="58"/>
  <c r="AL19" i="58"/>
  <c r="AM19" i="58"/>
  <c r="AN19" i="58"/>
  <c r="AO19" i="58"/>
  <c r="AP19" i="58"/>
  <c r="AQ19" i="58"/>
  <c r="AR19" i="58"/>
  <c r="AS19" i="58"/>
  <c r="AT19" i="58"/>
  <c r="AU19" i="58"/>
  <c r="AV19" i="58"/>
  <c r="AW19" i="58"/>
  <c r="AX19" i="58"/>
  <c r="AY19" i="58"/>
  <c r="AZ19" i="58"/>
  <c r="BA19" i="58"/>
  <c r="BB19" i="58"/>
  <c r="BC19" i="58"/>
  <c r="BD19" i="58"/>
  <c r="BE19" i="58"/>
  <c r="BF19" i="58"/>
  <c r="BG19" i="58"/>
  <c r="BH19" i="58"/>
  <c r="BI19" i="58"/>
  <c r="BJ19" i="58"/>
  <c r="BK19" i="58"/>
  <c r="BL19" i="58"/>
  <c r="BM19" i="58"/>
  <c r="BN19" i="58"/>
  <c r="BO19" i="58"/>
  <c r="BP19" i="58"/>
  <c r="BQ19" i="58"/>
  <c r="BR19" i="58"/>
  <c r="BS19" i="58"/>
  <c r="BT19" i="58"/>
  <c r="BU19" i="58"/>
  <c r="BV19" i="58"/>
  <c r="BW19" i="58"/>
  <c r="BX19" i="58"/>
  <c r="BY19" i="58"/>
  <c r="BZ19" i="58"/>
  <c r="CA19" i="58"/>
  <c r="CB19" i="58"/>
  <c r="CC19" i="58"/>
  <c r="CD19" i="58"/>
  <c r="CE19" i="58"/>
  <c r="CF19" i="58"/>
  <c r="CG19" i="58"/>
  <c r="CH19" i="58"/>
  <c r="CI19" i="58"/>
  <c r="CJ19" i="58"/>
  <c r="CK19" i="58"/>
  <c r="CL19" i="58"/>
  <c r="CM19" i="58"/>
  <c r="CN19" i="58"/>
  <c r="CO19" i="58"/>
  <c r="CP19" i="58"/>
  <c r="CQ19" i="58"/>
  <c r="CR19" i="58"/>
  <c r="CS19" i="58"/>
  <c r="CT19" i="58"/>
  <c r="CU19" i="58"/>
  <c r="CV19" i="58"/>
  <c r="CW19" i="58"/>
  <c r="CX19" i="58"/>
  <c r="CY19" i="58"/>
  <c r="CZ19" i="58"/>
  <c r="DA19" i="58"/>
  <c r="DB19" i="58"/>
  <c r="DC19" i="58"/>
  <c r="DD19" i="58"/>
  <c r="DE19" i="58"/>
  <c r="DF19" i="58"/>
  <c r="DG19" i="58"/>
  <c r="DH19" i="58"/>
  <c r="DI19" i="58"/>
  <c r="DJ19" i="58"/>
  <c r="DK19" i="58"/>
  <c r="DM19" i="58"/>
  <c r="DN19" i="58"/>
  <c r="DO19" i="58"/>
  <c r="DP19" i="58"/>
  <c r="DQ19" i="58"/>
  <c r="C20" i="58"/>
  <c r="D20" i="58"/>
  <c r="E20" i="58"/>
  <c r="F20" i="58"/>
  <c r="G20" i="58"/>
  <c r="H20" i="58"/>
  <c r="I20" i="58"/>
  <c r="J20" i="58"/>
  <c r="K20" i="58"/>
  <c r="L20" i="58"/>
  <c r="M20" i="58"/>
  <c r="N20" i="58"/>
  <c r="O20" i="58"/>
  <c r="P20" i="58"/>
  <c r="Q20" i="58"/>
  <c r="R20" i="58"/>
  <c r="S20" i="58"/>
  <c r="T20" i="58"/>
  <c r="U20" i="58"/>
  <c r="V20" i="58"/>
  <c r="W20" i="58"/>
  <c r="X20" i="58"/>
  <c r="Y20" i="58"/>
  <c r="Z20" i="58"/>
  <c r="AA20" i="58"/>
  <c r="AB20" i="58"/>
  <c r="AC20" i="58"/>
  <c r="AD20" i="58"/>
  <c r="AE20" i="58"/>
  <c r="AF20" i="58"/>
  <c r="AG20" i="58"/>
  <c r="AH20" i="58"/>
  <c r="AI20" i="58"/>
  <c r="AJ20" i="58"/>
  <c r="AK20" i="58"/>
  <c r="AL20" i="58"/>
  <c r="AM20" i="58"/>
  <c r="AN20" i="58"/>
  <c r="AO20" i="58"/>
  <c r="AP20" i="58"/>
  <c r="AQ20" i="58"/>
  <c r="AR20" i="58"/>
  <c r="AS20" i="58"/>
  <c r="AT20" i="58"/>
  <c r="AU20" i="58"/>
  <c r="AV20" i="58"/>
  <c r="AW20" i="58"/>
  <c r="AX20" i="58"/>
  <c r="AY20" i="58"/>
  <c r="AZ20" i="58"/>
  <c r="BA20" i="58"/>
  <c r="BB20" i="58"/>
  <c r="BC20" i="58"/>
  <c r="BD20" i="58"/>
  <c r="BE20" i="58"/>
  <c r="BF20" i="58"/>
  <c r="BG20" i="58"/>
  <c r="BH20" i="58"/>
  <c r="BI20" i="58"/>
  <c r="BJ20" i="58"/>
  <c r="BK20" i="58"/>
  <c r="BL20" i="58"/>
  <c r="BM20" i="58"/>
  <c r="BN20" i="58"/>
  <c r="BO20" i="58"/>
  <c r="BP20" i="58"/>
  <c r="BQ20" i="58"/>
  <c r="BR20" i="58"/>
  <c r="BS20" i="58"/>
  <c r="BT20" i="58"/>
  <c r="BU20" i="58"/>
  <c r="BV20" i="58"/>
  <c r="BW20" i="58"/>
  <c r="BX20" i="58"/>
  <c r="BY20" i="58"/>
  <c r="BZ20" i="58"/>
  <c r="CA20" i="58"/>
  <c r="CB20" i="58"/>
  <c r="CC20" i="58"/>
  <c r="CD20" i="58"/>
  <c r="CE20" i="58"/>
  <c r="CF20" i="58"/>
  <c r="CG20" i="58"/>
  <c r="CH20" i="58"/>
  <c r="CI20" i="58"/>
  <c r="CJ20" i="58"/>
  <c r="CK20" i="58"/>
  <c r="CL20" i="58"/>
  <c r="CM20" i="58"/>
  <c r="CN20" i="58"/>
  <c r="CO20" i="58"/>
  <c r="CP20" i="58"/>
  <c r="CQ20" i="58"/>
  <c r="CR20" i="58"/>
  <c r="CS20" i="58"/>
  <c r="CT20" i="58"/>
  <c r="B31" i="58"/>
  <c r="B32" i="58"/>
  <c r="D7" i="57"/>
  <c r="E7" i="57"/>
  <c r="F7" i="57"/>
  <c r="C8" i="57"/>
  <c r="D8" i="57"/>
  <c r="E8" i="57"/>
  <c r="F8" i="57"/>
  <c r="G8" i="57"/>
  <c r="H8" i="57"/>
  <c r="I8" i="57"/>
  <c r="J8" i="57"/>
  <c r="K8" i="57"/>
  <c r="L8" i="57"/>
  <c r="M8" i="57"/>
  <c r="N8" i="57"/>
  <c r="O8" i="57"/>
  <c r="P8" i="57"/>
  <c r="C9" i="57"/>
  <c r="D9" i="57"/>
  <c r="E9" i="57"/>
  <c r="C10" i="57"/>
  <c r="D10" i="57"/>
  <c r="E10" i="57"/>
  <c r="C12" i="57"/>
  <c r="D12" i="57"/>
  <c r="E12" i="57"/>
  <c r="C53" i="57"/>
  <c r="D53" i="57"/>
  <c r="E53" i="57"/>
  <c r="F53" i="57"/>
  <c r="G53" i="57"/>
  <c r="H53" i="57"/>
  <c r="I53" i="57"/>
  <c r="J53" i="57"/>
  <c r="K53" i="57"/>
  <c r="L53" i="57"/>
  <c r="M53" i="57"/>
  <c r="N53" i="57"/>
  <c r="O53" i="57"/>
  <c r="N54" i="57"/>
  <c r="D56" i="57"/>
  <c r="E56" i="57"/>
  <c r="F56" i="57"/>
  <c r="G56" i="57"/>
  <c r="H56" i="57"/>
  <c r="I56" i="57"/>
  <c r="J56" i="57"/>
  <c r="K56" i="57"/>
  <c r="L56" i="57"/>
  <c r="M56" i="57"/>
  <c r="N56" i="57"/>
  <c r="C59" i="57"/>
  <c r="D59" i="57"/>
  <c r="E59" i="57"/>
  <c r="F59" i="57"/>
  <c r="G59" i="57"/>
  <c r="H59" i="57"/>
  <c r="I59" i="57"/>
  <c r="J59" i="57"/>
  <c r="K59" i="57"/>
  <c r="L59" i="57"/>
  <c r="M59" i="57"/>
  <c r="N59" i="57"/>
  <c r="O59" i="57"/>
  <c r="D8" i="59"/>
  <c r="E8" i="59"/>
  <c r="F8" i="59"/>
  <c r="G8" i="59"/>
  <c r="H8" i="59"/>
  <c r="I8" i="59"/>
  <c r="J8" i="59"/>
  <c r="K8" i="59"/>
  <c r="L8" i="59"/>
  <c r="M8" i="59"/>
  <c r="N8" i="59"/>
  <c r="O8" i="59"/>
  <c r="P8" i="59"/>
  <c r="D9" i="59"/>
  <c r="E9" i="59"/>
  <c r="F9" i="59"/>
  <c r="G9" i="59"/>
  <c r="H9" i="59"/>
  <c r="I9" i="59"/>
  <c r="J9" i="59"/>
  <c r="K9" i="59"/>
  <c r="L9" i="59"/>
  <c r="M9" i="59"/>
  <c r="N9" i="59"/>
  <c r="O9" i="59"/>
  <c r="P9" i="59"/>
  <c r="D10" i="59"/>
  <c r="E10" i="59"/>
  <c r="F10" i="59"/>
  <c r="G10" i="59"/>
  <c r="H10" i="59"/>
  <c r="I10" i="59"/>
  <c r="J10" i="59"/>
  <c r="K10" i="59"/>
  <c r="L10" i="59"/>
  <c r="M10" i="59"/>
  <c r="N10" i="59"/>
  <c r="O10" i="59"/>
  <c r="P10" i="59"/>
  <c r="D11" i="59"/>
  <c r="E11" i="59"/>
  <c r="F11" i="59"/>
  <c r="G11" i="59"/>
  <c r="H11" i="59"/>
  <c r="I11" i="59"/>
  <c r="J11" i="59"/>
  <c r="K11" i="59"/>
  <c r="L11" i="59"/>
  <c r="M11" i="59"/>
  <c r="N11" i="59"/>
  <c r="O11" i="59"/>
  <c r="P11" i="59"/>
  <c r="D12" i="59"/>
  <c r="E12" i="59"/>
  <c r="F12" i="59"/>
  <c r="G12" i="59"/>
  <c r="H12" i="59"/>
  <c r="I12" i="59"/>
  <c r="J12" i="59"/>
  <c r="K12" i="59"/>
  <c r="L12" i="59"/>
  <c r="M12" i="59"/>
  <c r="N12" i="59"/>
  <c r="O12" i="59"/>
  <c r="P12" i="59"/>
  <c r="D13" i="59"/>
  <c r="E13" i="59"/>
  <c r="F13" i="59"/>
  <c r="G13" i="59"/>
  <c r="H13" i="59"/>
  <c r="I13" i="59"/>
  <c r="J13" i="59"/>
  <c r="K13" i="59"/>
  <c r="L13" i="59"/>
  <c r="M13" i="59"/>
  <c r="N13" i="59"/>
  <c r="O13" i="59"/>
  <c r="P13" i="59"/>
  <c r="D14" i="59"/>
  <c r="E14" i="59"/>
  <c r="F14" i="59"/>
  <c r="G14" i="59"/>
  <c r="H14" i="59"/>
  <c r="I14" i="59"/>
  <c r="J14" i="59"/>
  <c r="K14" i="59"/>
  <c r="L14" i="59"/>
  <c r="M14" i="59"/>
  <c r="N14" i="59"/>
  <c r="O14" i="59"/>
  <c r="P14" i="59"/>
  <c r="P16" i="59"/>
  <c r="D17" i="59"/>
  <c r="E17" i="59"/>
  <c r="F17" i="59"/>
  <c r="G17" i="59"/>
  <c r="H17" i="59"/>
  <c r="I17" i="59"/>
  <c r="J17" i="59"/>
  <c r="K17" i="59"/>
  <c r="L17" i="59"/>
  <c r="M17" i="59"/>
  <c r="N17" i="59"/>
  <c r="P17" i="59"/>
  <c r="D18" i="59"/>
  <c r="E18" i="59"/>
  <c r="F18" i="59"/>
  <c r="G18" i="59"/>
  <c r="H18" i="59"/>
  <c r="I18" i="59"/>
  <c r="J18" i="59"/>
  <c r="K18" i="59"/>
  <c r="L18" i="59"/>
  <c r="M18" i="59"/>
  <c r="N18" i="59"/>
  <c r="P18" i="59"/>
  <c r="D19" i="59"/>
  <c r="E19" i="59"/>
  <c r="F19" i="59"/>
  <c r="G19" i="59"/>
  <c r="H19" i="59"/>
  <c r="I19" i="59"/>
  <c r="J19" i="59"/>
  <c r="K19" i="59"/>
  <c r="L19" i="59"/>
  <c r="M19" i="59"/>
  <c r="N19" i="59"/>
  <c r="P19" i="59"/>
  <c r="P20" i="59"/>
  <c r="D21" i="59"/>
  <c r="E21" i="59"/>
  <c r="F21" i="59"/>
  <c r="G21" i="59"/>
  <c r="H21" i="59"/>
  <c r="I21" i="59"/>
  <c r="J21" i="59"/>
  <c r="K21" i="59"/>
  <c r="L21" i="59"/>
  <c r="M21" i="59"/>
  <c r="N21" i="59"/>
  <c r="O21" i="59"/>
  <c r="P21" i="59"/>
  <c r="D22" i="59"/>
  <c r="E22" i="59"/>
  <c r="F22" i="59"/>
  <c r="G22" i="59"/>
  <c r="H22" i="59"/>
  <c r="I22" i="59"/>
  <c r="J22" i="59"/>
  <c r="K22" i="59"/>
  <c r="L22" i="59"/>
  <c r="M22" i="59"/>
  <c r="N22" i="59"/>
  <c r="O22" i="59"/>
  <c r="P22" i="59"/>
  <c r="D27" i="59"/>
  <c r="E27" i="59"/>
  <c r="F27" i="59"/>
  <c r="G27" i="59"/>
  <c r="H27" i="59"/>
  <c r="I27" i="59"/>
  <c r="J27" i="59"/>
  <c r="K27" i="59"/>
  <c r="L27" i="59"/>
  <c r="M27" i="59"/>
  <c r="N27" i="59"/>
  <c r="O27" i="59"/>
  <c r="P27" i="59"/>
  <c r="D28" i="59"/>
  <c r="E28" i="59"/>
  <c r="F28" i="59"/>
  <c r="G28" i="59"/>
  <c r="H28" i="59"/>
  <c r="I28" i="59"/>
  <c r="J28" i="59"/>
  <c r="K28" i="59"/>
  <c r="L28" i="59"/>
  <c r="M28" i="59"/>
  <c r="N28" i="59"/>
  <c r="O28" i="59"/>
  <c r="P28" i="59"/>
  <c r="D29" i="59"/>
  <c r="E29" i="59"/>
  <c r="F29" i="59"/>
  <c r="G29" i="59"/>
  <c r="H29" i="59"/>
  <c r="I29" i="59"/>
  <c r="J29" i="59"/>
  <c r="K29" i="59"/>
  <c r="L29" i="59"/>
  <c r="M29" i="59"/>
  <c r="N29" i="59"/>
  <c r="O29" i="59"/>
  <c r="P29" i="59"/>
  <c r="O30" i="59"/>
  <c r="P37" i="59"/>
  <c r="P38" i="59"/>
  <c r="P39" i="59"/>
  <c r="D42" i="59"/>
  <c r="E42" i="59"/>
  <c r="F42" i="59"/>
  <c r="G42" i="59"/>
  <c r="H42" i="59"/>
  <c r="I42" i="59"/>
  <c r="J42" i="59"/>
  <c r="K42" i="59"/>
  <c r="L42" i="59"/>
  <c r="M42" i="59"/>
  <c r="N42" i="59"/>
  <c r="O42" i="59"/>
  <c r="P43" i="59"/>
  <c r="P42" i="59"/>
  <c r="D68" i="59"/>
  <c r="D76" i="59"/>
  <c r="E76" i="59"/>
  <c r="F76" i="59"/>
  <c r="G76" i="59"/>
  <c r="H76" i="59"/>
  <c r="I76" i="59"/>
  <c r="J76" i="59"/>
  <c r="K76" i="59"/>
  <c r="L76" i="59"/>
  <c r="M76" i="59"/>
  <c r="N76" i="59"/>
  <c r="O76" i="59"/>
  <c r="C77" i="59"/>
  <c r="C78" i="59"/>
  <c r="P8" i="56"/>
  <c r="P9" i="56"/>
  <c r="P10" i="56"/>
  <c r="P11" i="56"/>
  <c r="P12" i="56"/>
  <c r="P13" i="56"/>
  <c r="D14" i="56"/>
  <c r="E14" i="56"/>
  <c r="F14" i="56"/>
  <c r="G14" i="56"/>
  <c r="H14" i="56"/>
  <c r="I14" i="56"/>
  <c r="J14" i="56"/>
  <c r="K14" i="56"/>
  <c r="L14" i="56"/>
  <c r="M14" i="56"/>
  <c r="N14" i="56"/>
  <c r="O14" i="56"/>
  <c r="P14" i="56"/>
  <c r="P16" i="56"/>
  <c r="P17" i="56"/>
  <c r="P18" i="56"/>
  <c r="P19" i="56"/>
  <c r="P20" i="56"/>
  <c r="D21" i="56"/>
  <c r="E21" i="56"/>
  <c r="F21" i="56"/>
  <c r="G21" i="56"/>
  <c r="H21" i="56"/>
  <c r="I21" i="56"/>
  <c r="J21" i="56"/>
  <c r="K21" i="56"/>
  <c r="L21" i="56"/>
  <c r="M21" i="56"/>
  <c r="N21" i="56"/>
  <c r="O21" i="56"/>
  <c r="P21" i="56"/>
  <c r="D22" i="56"/>
  <c r="E22" i="56"/>
  <c r="F22" i="56"/>
  <c r="G22" i="56"/>
  <c r="H22" i="56"/>
  <c r="I22" i="56"/>
  <c r="J22" i="56"/>
  <c r="K22" i="56"/>
  <c r="L22" i="56"/>
  <c r="M22" i="56"/>
  <c r="N22" i="56"/>
  <c r="O22" i="56"/>
  <c r="P22" i="56"/>
  <c r="D27" i="56"/>
  <c r="E27" i="56"/>
  <c r="F27" i="56"/>
  <c r="G27" i="56"/>
  <c r="H27" i="56"/>
  <c r="I27" i="56"/>
  <c r="J27" i="56"/>
  <c r="K27" i="56"/>
  <c r="L27" i="56"/>
  <c r="M27" i="56"/>
  <c r="N27" i="56"/>
  <c r="O27" i="56"/>
  <c r="P27" i="56"/>
  <c r="D28" i="56"/>
  <c r="E28" i="56"/>
  <c r="F28" i="56"/>
  <c r="G28" i="56"/>
  <c r="H28" i="56"/>
  <c r="I28" i="56"/>
  <c r="J28" i="56"/>
  <c r="K28" i="56"/>
  <c r="L28" i="56"/>
  <c r="M28" i="56"/>
  <c r="N28" i="56"/>
  <c r="O28" i="56"/>
  <c r="P28" i="56"/>
  <c r="D29" i="56"/>
  <c r="E29" i="56"/>
  <c r="F29" i="56"/>
  <c r="G29" i="56"/>
  <c r="H29" i="56"/>
  <c r="I29" i="56"/>
  <c r="J29" i="56"/>
  <c r="K29" i="56"/>
  <c r="L29" i="56"/>
  <c r="M29" i="56"/>
  <c r="N29" i="56"/>
  <c r="O29" i="56"/>
  <c r="P29" i="56"/>
  <c r="D30" i="56"/>
  <c r="E30" i="56"/>
  <c r="F30" i="56"/>
  <c r="G30" i="56"/>
  <c r="H30" i="56"/>
  <c r="I30" i="56"/>
  <c r="J30" i="56"/>
  <c r="K30" i="56"/>
  <c r="L30" i="56"/>
  <c r="M30" i="56"/>
  <c r="N30" i="56"/>
  <c r="O30" i="56"/>
  <c r="P31" i="56"/>
  <c r="P32" i="56"/>
  <c r="P30" i="56"/>
  <c r="P33" i="56"/>
  <c r="D34" i="56"/>
  <c r="DG7" i="58"/>
  <c r="E34" i="56"/>
  <c r="DH7" i="58"/>
  <c r="F34" i="56"/>
  <c r="DI7" i="58"/>
  <c r="G34" i="56"/>
  <c r="DJ7" i="58"/>
  <c r="H34" i="56"/>
  <c r="I34" i="56"/>
  <c r="J34" i="56"/>
  <c r="K34" i="56"/>
  <c r="L34" i="56"/>
  <c r="M34" i="56"/>
  <c r="N34" i="56"/>
  <c r="O34" i="56"/>
  <c r="P34" i="56"/>
  <c r="P35" i="56"/>
  <c r="P36" i="56"/>
  <c r="O37" i="56"/>
  <c r="P37" i="56"/>
  <c r="P38" i="56"/>
  <c r="P39" i="56"/>
  <c r="D40" i="56"/>
  <c r="E40" i="56"/>
  <c r="F40" i="56"/>
  <c r="G40" i="56"/>
  <c r="H40" i="56"/>
  <c r="I40" i="56"/>
  <c r="J40" i="56"/>
  <c r="K40" i="56"/>
  <c r="L40" i="56"/>
  <c r="M40" i="56"/>
  <c r="N40" i="56"/>
  <c r="O40" i="56"/>
  <c r="D42" i="56"/>
  <c r="E42" i="56"/>
  <c r="F42" i="56"/>
  <c r="G42" i="56"/>
  <c r="H42" i="56"/>
  <c r="I42" i="56"/>
  <c r="J42" i="56"/>
  <c r="K42" i="56"/>
  <c r="L42" i="56"/>
  <c r="M42" i="56"/>
  <c r="N42" i="56"/>
  <c r="O42" i="56"/>
  <c r="P43" i="56"/>
  <c r="P42" i="56"/>
  <c r="O46" i="56"/>
  <c r="O45" i="56"/>
  <c r="O41" i="56"/>
  <c r="O76" i="56"/>
  <c r="D47" i="56"/>
  <c r="D46" i="59"/>
  <c r="E47" i="56"/>
  <c r="E46" i="59"/>
  <c r="F47" i="56"/>
  <c r="F46" i="59"/>
  <c r="G47" i="56"/>
  <c r="G46" i="59"/>
  <c r="H47" i="56"/>
  <c r="H46" i="56"/>
  <c r="I47" i="56"/>
  <c r="I46" i="59"/>
  <c r="J47" i="56"/>
  <c r="J46" i="56"/>
  <c r="K47" i="56"/>
  <c r="K46" i="59"/>
  <c r="L47" i="56"/>
  <c r="L46" i="56"/>
  <c r="M47" i="56"/>
  <c r="M46" i="59"/>
  <c r="D48" i="56"/>
  <c r="D47" i="59"/>
  <c r="E48" i="56"/>
  <c r="E47" i="59"/>
  <c r="F48" i="56"/>
  <c r="F47" i="59"/>
  <c r="G48" i="56"/>
  <c r="G46" i="56"/>
  <c r="H48" i="56"/>
  <c r="H47" i="59"/>
  <c r="I48" i="56"/>
  <c r="I47" i="59"/>
  <c r="J48" i="56"/>
  <c r="J47" i="59"/>
  <c r="K48" i="56"/>
  <c r="K46" i="56"/>
  <c r="L48" i="56"/>
  <c r="L47" i="59"/>
  <c r="M48" i="56"/>
  <c r="M47" i="59"/>
  <c r="D49" i="56"/>
  <c r="D48" i="59"/>
  <c r="E49" i="56"/>
  <c r="E48" i="59"/>
  <c r="F49" i="56"/>
  <c r="F48" i="59"/>
  <c r="G49" i="56"/>
  <c r="G48" i="59"/>
  <c r="H49" i="56"/>
  <c r="H48" i="59"/>
  <c r="I49" i="56"/>
  <c r="I46" i="56"/>
  <c r="J49" i="56"/>
  <c r="J48" i="59"/>
  <c r="K49" i="56"/>
  <c r="K48" i="59"/>
  <c r="L49" i="56"/>
  <c r="L48" i="59"/>
  <c r="M49" i="56"/>
  <c r="M46" i="56"/>
  <c r="D50" i="56"/>
  <c r="D49" i="59"/>
  <c r="E50" i="56"/>
  <c r="E49" i="59"/>
  <c r="F50" i="56"/>
  <c r="F49" i="59"/>
  <c r="G50" i="56"/>
  <c r="G49" i="59"/>
  <c r="H50" i="56"/>
  <c r="H49" i="59"/>
  <c r="I50" i="56"/>
  <c r="I49" i="59"/>
  <c r="J50" i="56"/>
  <c r="J49" i="59"/>
  <c r="K50" i="56"/>
  <c r="K49" i="59"/>
  <c r="L50" i="56"/>
  <c r="L49" i="59"/>
  <c r="M50" i="56"/>
  <c r="M49" i="59"/>
  <c r="D51" i="56"/>
  <c r="D50" i="59"/>
  <c r="E51" i="56"/>
  <c r="E50" i="59"/>
  <c r="F51" i="56"/>
  <c r="F50" i="59"/>
  <c r="G51" i="56"/>
  <c r="G50" i="59"/>
  <c r="H51" i="56"/>
  <c r="H50" i="59"/>
  <c r="I51" i="56"/>
  <c r="I50" i="59"/>
  <c r="J51" i="56"/>
  <c r="J50" i="59"/>
  <c r="K51" i="56"/>
  <c r="K50" i="59"/>
  <c r="L51" i="56"/>
  <c r="L50" i="59"/>
  <c r="M51" i="56"/>
  <c r="M50" i="59"/>
  <c r="D52" i="56"/>
  <c r="D51" i="59"/>
  <c r="E52" i="56"/>
  <c r="E51" i="59"/>
  <c r="F52" i="56"/>
  <c r="F51" i="59"/>
  <c r="G52" i="56"/>
  <c r="G51" i="59"/>
  <c r="H52" i="56"/>
  <c r="H51" i="59"/>
  <c r="I52" i="56"/>
  <c r="I51" i="59"/>
  <c r="J52" i="56"/>
  <c r="J51" i="59"/>
  <c r="K52" i="56"/>
  <c r="K51" i="59"/>
  <c r="L52" i="56"/>
  <c r="L51" i="59"/>
  <c r="M52" i="56"/>
  <c r="M51" i="59"/>
  <c r="O53" i="56"/>
  <c r="D54" i="56"/>
  <c r="D52" i="59"/>
  <c r="E54" i="56"/>
  <c r="E52" i="59"/>
  <c r="E53" i="56"/>
  <c r="F54" i="56"/>
  <c r="F53" i="56"/>
  <c r="G54" i="56"/>
  <c r="G52" i="59"/>
  <c r="H54" i="56"/>
  <c r="H52" i="59"/>
  <c r="I54" i="56"/>
  <c r="I52" i="59"/>
  <c r="I53" i="56"/>
  <c r="J54" i="56"/>
  <c r="J53" i="56"/>
  <c r="K54" i="56"/>
  <c r="K52" i="59"/>
  <c r="L54" i="56"/>
  <c r="L52" i="59"/>
  <c r="M54" i="56"/>
  <c r="M52" i="59"/>
  <c r="M53" i="56"/>
  <c r="D55" i="56"/>
  <c r="D53" i="59"/>
  <c r="E55" i="56"/>
  <c r="E53" i="59"/>
  <c r="F55" i="56"/>
  <c r="F53" i="59"/>
  <c r="G55" i="56"/>
  <c r="G53" i="59"/>
  <c r="H55" i="56"/>
  <c r="H53" i="59"/>
  <c r="I55" i="56"/>
  <c r="I53" i="59"/>
  <c r="J55" i="56"/>
  <c r="J53" i="59"/>
  <c r="K55" i="56"/>
  <c r="K53" i="59"/>
  <c r="L55" i="56"/>
  <c r="L53" i="59"/>
  <c r="M55" i="56"/>
  <c r="M53" i="59"/>
  <c r="O56" i="56"/>
  <c r="D57" i="56"/>
  <c r="D55" i="59"/>
  <c r="E57" i="56"/>
  <c r="E56" i="56"/>
  <c r="F57" i="56"/>
  <c r="F56" i="56"/>
  <c r="G57" i="56"/>
  <c r="G55" i="59"/>
  <c r="H57" i="56"/>
  <c r="H55" i="59"/>
  <c r="I57" i="56"/>
  <c r="I56" i="56"/>
  <c r="J57" i="56"/>
  <c r="J56" i="56"/>
  <c r="K57" i="56"/>
  <c r="K55" i="59"/>
  <c r="L57" i="56"/>
  <c r="L55" i="59"/>
  <c r="M57" i="56"/>
  <c r="M56" i="56"/>
  <c r="D58" i="56"/>
  <c r="D56" i="59"/>
  <c r="E58" i="56"/>
  <c r="E56" i="59"/>
  <c r="F58" i="56"/>
  <c r="F56" i="59"/>
  <c r="G58" i="56"/>
  <c r="G56" i="59"/>
  <c r="H58" i="56"/>
  <c r="H56" i="59"/>
  <c r="I58" i="56"/>
  <c r="I56" i="59"/>
  <c r="J58" i="56"/>
  <c r="J56" i="59"/>
  <c r="K58" i="56"/>
  <c r="K56" i="59"/>
  <c r="L58" i="56"/>
  <c r="L56" i="59"/>
  <c r="M58" i="56"/>
  <c r="M56" i="59"/>
  <c r="D59" i="56"/>
  <c r="D57" i="59"/>
  <c r="E59" i="56"/>
  <c r="E57" i="59"/>
  <c r="F59" i="56"/>
  <c r="F57" i="59"/>
  <c r="G59" i="56"/>
  <c r="G57" i="59"/>
  <c r="H59" i="56"/>
  <c r="H57" i="59"/>
  <c r="I59" i="56"/>
  <c r="I57" i="59"/>
  <c r="J59" i="56"/>
  <c r="J57" i="59"/>
  <c r="K59" i="56"/>
  <c r="K57" i="59"/>
  <c r="L59" i="56"/>
  <c r="L57" i="59"/>
  <c r="M59" i="56"/>
  <c r="M57" i="59"/>
  <c r="D60" i="56"/>
  <c r="D58" i="59"/>
  <c r="E60" i="56"/>
  <c r="E58" i="59"/>
  <c r="F60" i="56"/>
  <c r="F58" i="59"/>
  <c r="G60" i="56"/>
  <c r="G58" i="59"/>
  <c r="H60" i="56"/>
  <c r="H58" i="59"/>
  <c r="I60" i="56"/>
  <c r="I58" i="59"/>
  <c r="J60" i="56"/>
  <c r="J58" i="59"/>
  <c r="K60" i="56"/>
  <c r="K58" i="59"/>
  <c r="L60" i="56"/>
  <c r="L58" i="59"/>
  <c r="M60" i="56"/>
  <c r="M58" i="59"/>
  <c r="D61" i="56"/>
  <c r="D59" i="59"/>
  <c r="E61" i="56"/>
  <c r="E59" i="59"/>
  <c r="F61" i="56"/>
  <c r="F59" i="59"/>
  <c r="G61" i="56"/>
  <c r="G59" i="59"/>
  <c r="H61" i="56"/>
  <c r="H59" i="59"/>
  <c r="I61" i="56"/>
  <c r="I59" i="59"/>
  <c r="J61" i="56"/>
  <c r="J59" i="59"/>
  <c r="K61" i="56"/>
  <c r="K59" i="59"/>
  <c r="L61" i="56"/>
  <c r="L59" i="59"/>
  <c r="M61" i="56"/>
  <c r="M59" i="59"/>
  <c r="D62" i="56"/>
  <c r="D60" i="59"/>
  <c r="E62" i="56"/>
  <c r="E60" i="59"/>
  <c r="F62" i="56"/>
  <c r="F60" i="59"/>
  <c r="G62" i="56"/>
  <c r="G60" i="59"/>
  <c r="H62" i="56"/>
  <c r="H60" i="59"/>
  <c r="I62" i="56"/>
  <c r="I60" i="59"/>
  <c r="J62" i="56"/>
  <c r="J60" i="59"/>
  <c r="K62" i="56"/>
  <c r="K60" i="59"/>
  <c r="L62" i="56"/>
  <c r="L60" i="59"/>
  <c r="M62" i="56"/>
  <c r="M60" i="59"/>
  <c r="D63" i="56"/>
  <c r="D61" i="59"/>
  <c r="E63" i="56"/>
  <c r="E61" i="59"/>
  <c r="F63" i="56"/>
  <c r="F61" i="59"/>
  <c r="G63" i="56"/>
  <c r="G61" i="59"/>
  <c r="H63" i="56"/>
  <c r="H61" i="59"/>
  <c r="I63" i="56"/>
  <c r="I61" i="59"/>
  <c r="J63" i="56"/>
  <c r="J61" i="59"/>
  <c r="K63" i="56"/>
  <c r="K61" i="59"/>
  <c r="L63" i="56"/>
  <c r="L61" i="59"/>
  <c r="M63" i="56"/>
  <c r="M61" i="59"/>
  <c r="D64" i="56"/>
  <c r="D62" i="59"/>
  <c r="E64" i="56"/>
  <c r="E62" i="59"/>
  <c r="F64" i="56"/>
  <c r="F62" i="59"/>
  <c r="G64" i="56"/>
  <c r="G62" i="59"/>
  <c r="H64" i="56"/>
  <c r="H62" i="59"/>
  <c r="I64" i="56"/>
  <c r="I62" i="59"/>
  <c r="J64" i="56"/>
  <c r="J62" i="59"/>
  <c r="K64" i="56"/>
  <c r="K62" i="59"/>
  <c r="L64" i="56"/>
  <c r="L62" i="59"/>
  <c r="M64" i="56"/>
  <c r="M62" i="59"/>
  <c r="D65" i="56"/>
  <c r="D63" i="59"/>
  <c r="E65" i="56"/>
  <c r="E63" i="59"/>
  <c r="F65" i="56"/>
  <c r="F63" i="59"/>
  <c r="G65" i="56"/>
  <c r="G63" i="59"/>
  <c r="H65" i="56"/>
  <c r="H63" i="59"/>
  <c r="I65" i="56"/>
  <c r="I63" i="59"/>
  <c r="J65" i="56"/>
  <c r="J63" i="59"/>
  <c r="K65" i="56"/>
  <c r="K63" i="59"/>
  <c r="L65" i="56"/>
  <c r="L63" i="59"/>
  <c r="M65" i="56"/>
  <c r="M63" i="59"/>
  <c r="O66" i="56"/>
  <c r="D67" i="56"/>
  <c r="D64" i="59"/>
  <c r="E67" i="56"/>
  <c r="E64" i="59"/>
  <c r="E66" i="56"/>
  <c r="F67" i="56"/>
  <c r="F64" i="59"/>
  <c r="G67" i="56"/>
  <c r="G64" i="59"/>
  <c r="H67" i="56"/>
  <c r="H64" i="59"/>
  <c r="I67" i="56"/>
  <c r="I64" i="59"/>
  <c r="I66" i="56"/>
  <c r="J67" i="56"/>
  <c r="J64" i="59"/>
  <c r="K67" i="56"/>
  <c r="K64" i="59"/>
  <c r="L67" i="56"/>
  <c r="L64" i="59"/>
  <c r="M67" i="56"/>
  <c r="M64" i="59"/>
  <c r="M66" i="56"/>
  <c r="D68" i="56"/>
  <c r="D65" i="59"/>
  <c r="E68" i="56"/>
  <c r="E65" i="59"/>
  <c r="F68" i="56"/>
  <c r="F65" i="59"/>
  <c r="G68" i="56"/>
  <c r="G65" i="59"/>
  <c r="H68" i="56"/>
  <c r="H65" i="59"/>
  <c r="I68" i="56"/>
  <c r="I65" i="59"/>
  <c r="J68" i="56"/>
  <c r="J65" i="59"/>
  <c r="K68" i="56"/>
  <c r="K65" i="59"/>
  <c r="L68" i="56"/>
  <c r="L65" i="59"/>
  <c r="M68" i="56"/>
  <c r="M65" i="59"/>
  <c r="D71" i="56"/>
  <c r="E71" i="56"/>
  <c r="F71" i="56"/>
  <c r="G71" i="56"/>
  <c r="H71" i="56"/>
  <c r="I71" i="56"/>
  <c r="J71" i="56"/>
  <c r="K71" i="56"/>
  <c r="L71" i="56"/>
  <c r="M71" i="56"/>
  <c r="N71" i="56"/>
  <c r="O71" i="56"/>
  <c r="O74" i="56"/>
  <c r="O75" i="56"/>
  <c r="D81" i="56"/>
  <c r="E81" i="56"/>
  <c r="F81" i="56"/>
  <c r="G81" i="56"/>
  <c r="H81" i="56"/>
  <c r="I81" i="56"/>
  <c r="D83" i="56"/>
  <c r="E83" i="56"/>
  <c r="F83" i="56"/>
  <c r="G83" i="56"/>
  <c r="H83" i="56"/>
  <c r="I83" i="56"/>
  <c r="J83" i="56"/>
  <c r="D88" i="56"/>
  <c r="E88" i="56"/>
  <c r="F88" i="56"/>
  <c r="G88" i="56"/>
  <c r="H88" i="56"/>
  <c r="I88" i="56"/>
  <c r="J88" i="56"/>
  <c r="K88" i="56"/>
  <c r="L88" i="56"/>
  <c r="M88" i="56"/>
  <c r="N88" i="56"/>
  <c r="O88" i="56"/>
  <c r="D89" i="56"/>
  <c r="E89" i="56"/>
  <c r="F89" i="56"/>
  <c r="G89" i="56"/>
  <c r="H89" i="56"/>
  <c r="I89" i="56"/>
  <c r="J89" i="56"/>
  <c r="K89" i="56"/>
  <c r="D8" i="55"/>
  <c r="E8" i="55"/>
  <c r="F8" i="55"/>
  <c r="G8" i="55"/>
  <c r="H8" i="55"/>
  <c r="I8" i="55"/>
  <c r="J8" i="55"/>
  <c r="K8" i="55"/>
  <c r="L8" i="55"/>
  <c r="M8" i="55"/>
  <c r="N8" i="55"/>
  <c r="O8" i="55"/>
  <c r="P8" i="55"/>
  <c r="D9" i="55"/>
  <c r="E9" i="55"/>
  <c r="F9" i="55"/>
  <c r="G9" i="55"/>
  <c r="H9" i="55"/>
  <c r="I9" i="55"/>
  <c r="J9" i="55"/>
  <c r="K9" i="55"/>
  <c r="L9" i="55"/>
  <c r="M9" i="55"/>
  <c r="N9" i="55"/>
  <c r="O9" i="55"/>
  <c r="P9" i="55"/>
  <c r="D10" i="55"/>
  <c r="E10" i="55"/>
  <c r="F10" i="55"/>
  <c r="G10" i="55"/>
  <c r="H10" i="55"/>
  <c r="I10" i="55"/>
  <c r="J10" i="55"/>
  <c r="K10" i="55"/>
  <c r="L10" i="55"/>
  <c r="M10" i="55"/>
  <c r="N10" i="55"/>
  <c r="O10" i="55"/>
  <c r="P10" i="55"/>
  <c r="D11" i="55"/>
  <c r="E11" i="55"/>
  <c r="F11" i="55"/>
  <c r="G11" i="55"/>
  <c r="H11" i="55"/>
  <c r="I11" i="55"/>
  <c r="J11" i="55"/>
  <c r="K11" i="55"/>
  <c r="L11" i="55"/>
  <c r="M11" i="55"/>
  <c r="N11" i="55"/>
  <c r="O11" i="55"/>
  <c r="P11" i="55"/>
  <c r="D12" i="55"/>
  <c r="E12" i="55"/>
  <c r="F12" i="55"/>
  <c r="G12" i="55"/>
  <c r="H12" i="55"/>
  <c r="I12" i="55"/>
  <c r="J12" i="55"/>
  <c r="K12" i="55"/>
  <c r="L12" i="55"/>
  <c r="M12" i="55"/>
  <c r="N12" i="55"/>
  <c r="O12" i="55"/>
  <c r="P12" i="55"/>
  <c r="S12" i="55"/>
  <c r="T12" i="55"/>
  <c r="U12" i="55"/>
  <c r="V12" i="55"/>
  <c r="W12" i="55"/>
  <c r="D13" i="55"/>
  <c r="E13" i="55"/>
  <c r="F13" i="55"/>
  <c r="G13" i="55"/>
  <c r="H13" i="55"/>
  <c r="I13" i="55"/>
  <c r="J13" i="55"/>
  <c r="K13" i="55"/>
  <c r="L13" i="55"/>
  <c r="M13" i="55"/>
  <c r="N13" i="55"/>
  <c r="O13" i="55"/>
  <c r="P13" i="55"/>
  <c r="D14" i="55"/>
  <c r="E14" i="55"/>
  <c r="F14" i="55"/>
  <c r="G14" i="55"/>
  <c r="H14" i="55"/>
  <c r="I14" i="55"/>
  <c r="J14" i="55"/>
  <c r="K14" i="55"/>
  <c r="L14" i="55"/>
  <c r="M14" i="55"/>
  <c r="N14" i="55"/>
  <c r="O14" i="55"/>
  <c r="P14" i="55"/>
  <c r="S14" i="55"/>
  <c r="T14" i="55"/>
  <c r="U14" i="55"/>
  <c r="P16" i="55"/>
  <c r="D17" i="55"/>
  <c r="E17" i="55"/>
  <c r="F17" i="55"/>
  <c r="G17" i="55"/>
  <c r="H17" i="55"/>
  <c r="I17" i="55"/>
  <c r="J17" i="55"/>
  <c r="K17" i="55"/>
  <c r="L17" i="55"/>
  <c r="M17" i="55"/>
  <c r="N17" i="55"/>
  <c r="O17" i="55"/>
  <c r="P17" i="55"/>
  <c r="D18" i="55"/>
  <c r="E18" i="55"/>
  <c r="F18" i="55"/>
  <c r="G18" i="55"/>
  <c r="H18" i="55"/>
  <c r="I18" i="55"/>
  <c r="J18" i="55"/>
  <c r="K18" i="55"/>
  <c r="L18" i="55"/>
  <c r="M18" i="55"/>
  <c r="N18" i="55"/>
  <c r="O18" i="55"/>
  <c r="P18" i="55"/>
  <c r="D19" i="55"/>
  <c r="E19" i="55"/>
  <c r="F19" i="55"/>
  <c r="G19" i="55"/>
  <c r="H19" i="55"/>
  <c r="I19" i="55"/>
  <c r="J19" i="55"/>
  <c r="K19" i="55"/>
  <c r="L19" i="55"/>
  <c r="M19" i="55"/>
  <c r="N19" i="55"/>
  <c r="O19" i="55"/>
  <c r="P19" i="55"/>
  <c r="P20" i="55"/>
  <c r="D21" i="55"/>
  <c r="E21" i="55"/>
  <c r="F21" i="55"/>
  <c r="G21" i="55"/>
  <c r="H21" i="55"/>
  <c r="I21" i="55"/>
  <c r="J21" i="55"/>
  <c r="K21" i="55"/>
  <c r="L21" i="55"/>
  <c r="M21" i="55"/>
  <c r="N21" i="55"/>
  <c r="O21" i="55"/>
  <c r="P21" i="55"/>
  <c r="D22" i="55"/>
  <c r="E22" i="55"/>
  <c r="F22" i="55"/>
  <c r="G22" i="55"/>
  <c r="H22" i="55"/>
  <c r="I22" i="55"/>
  <c r="J22" i="55"/>
  <c r="K22" i="55"/>
  <c r="L22" i="55"/>
  <c r="M22" i="55"/>
  <c r="N22" i="55"/>
  <c r="O22" i="55"/>
  <c r="P22" i="55"/>
  <c r="D27" i="55"/>
  <c r="E27" i="55"/>
  <c r="F27" i="55"/>
  <c r="G27" i="55"/>
  <c r="H27" i="55"/>
  <c r="I27" i="55"/>
  <c r="J27" i="55"/>
  <c r="K27" i="55"/>
  <c r="L27" i="55"/>
  <c r="M27" i="55"/>
  <c r="N27" i="55"/>
  <c r="O27" i="55"/>
  <c r="P27" i="55"/>
  <c r="D28" i="55"/>
  <c r="E28" i="55"/>
  <c r="F28" i="55"/>
  <c r="G28" i="55"/>
  <c r="H28" i="55"/>
  <c r="I28" i="55"/>
  <c r="J28" i="55"/>
  <c r="K28" i="55"/>
  <c r="L28" i="55"/>
  <c r="M28" i="55"/>
  <c r="N28" i="55"/>
  <c r="O28" i="55"/>
  <c r="P28" i="55"/>
  <c r="D29" i="55"/>
  <c r="E29" i="55"/>
  <c r="F29" i="55"/>
  <c r="G29" i="55"/>
  <c r="H29" i="55"/>
  <c r="I29" i="55"/>
  <c r="J29" i="55"/>
  <c r="K29" i="55"/>
  <c r="L29" i="55"/>
  <c r="M29" i="55"/>
  <c r="N29" i="55"/>
  <c r="O29" i="55"/>
  <c r="P29" i="55"/>
  <c r="D30" i="55"/>
  <c r="E30" i="55"/>
  <c r="F30" i="55"/>
  <c r="G30" i="55"/>
  <c r="H30" i="55"/>
  <c r="I30" i="55"/>
  <c r="J30" i="55"/>
  <c r="K30" i="55"/>
  <c r="L30" i="55"/>
  <c r="M30" i="55"/>
  <c r="N30" i="55"/>
  <c r="O30" i="55"/>
  <c r="P30" i="55"/>
  <c r="P31" i="55"/>
  <c r="P32" i="55"/>
  <c r="P33" i="55"/>
  <c r="D34" i="55"/>
  <c r="E34" i="55"/>
  <c r="F34" i="55"/>
  <c r="G34" i="55"/>
  <c r="H34" i="55"/>
  <c r="I34" i="55"/>
  <c r="J34" i="55"/>
  <c r="K34" i="55"/>
  <c r="L34" i="55"/>
  <c r="M34" i="55"/>
  <c r="N34" i="55"/>
  <c r="O34" i="55"/>
  <c r="P34" i="55"/>
  <c r="P35" i="55"/>
  <c r="P36" i="55"/>
  <c r="D37" i="55"/>
  <c r="E37" i="55"/>
  <c r="F37" i="55"/>
  <c r="G37" i="55"/>
  <c r="H37" i="55"/>
  <c r="I37" i="55"/>
  <c r="J37" i="55"/>
  <c r="K37" i="55"/>
  <c r="L37" i="55"/>
  <c r="M37" i="55"/>
  <c r="N37" i="55"/>
  <c r="O37" i="55"/>
  <c r="P37" i="55"/>
  <c r="P38" i="55"/>
  <c r="P39" i="55"/>
  <c r="D40" i="55"/>
  <c r="E40" i="55"/>
  <c r="F40" i="55"/>
  <c r="G40" i="55"/>
  <c r="H40" i="55"/>
  <c r="I40" i="55"/>
  <c r="J40" i="55"/>
  <c r="K40" i="55"/>
  <c r="L40" i="55"/>
  <c r="M40" i="55"/>
  <c r="N40" i="55"/>
  <c r="O40" i="55"/>
  <c r="P40" i="55"/>
  <c r="D42" i="55"/>
  <c r="E42" i="55"/>
  <c r="F42" i="55"/>
  <c r="G42" i="55"/>
  <c r="H42" i="55"/>
  <c r="I42" i="55"/>
  <c r="J42" i="55"/>
  <c r="K42" i="55"/>
  <c r="L42" i="55"/>
  <c r="M42" i="55"/>
  <c r="N42" i="55"/>
  <c r="O42" i="55"/>
  <c r="P42" i="55"/>
  <c r="P43" i="55"/>
  <c r="P44" i="55"/>
  <c r="D46" i="55"/>
  <c r="E46" i="55"/>
  <c r="F46" i="55"/>
  <c r="G46" i="55"/>
  <c r="H46" i="55"/>
  <c r="I46" i="55"/>
  <c r="J46" i="55"/>
  <c r="K46" i="55"/>
  <c r="L46" i="55"/>
  <c r="M46" i="55"/>
  <c r="N46" i="55"/>
  <c r="O46" i="55"/>
  <c r="D47" i="55"/>
  <c r="E47" i="55"/>
  <c r="F47" i="55"/>
  <c r="G47" i="55"/>
  <c r="H47" i="55"/>
  <c r="I47" i="55"/>
  <c r="P47" i="55"/>
  <c r="J47" i="55"/>
  <c r="K47" i="55"/>
  <c r="L47" i="55"/>
  <c r="M47" i="55"/>
  <c r="N47" i="55"/>
  <c r="O47" i="55"/>
  <c r="D48" i="55"/>
  <c r="E48" i="55"/>
  <c r="F48" i="55"/>
  <c r="G48" i="55"/>
  <c r="H48" i="55"/>
  <c r="I48" i="55"/>
  <c r="J48" i="55"/>
  <c r="K48" i="55"/>
  <c r="L48" i="55"/>
  <c r="P48" i="55"/>
  <c r="M48" i="55"/>
  <c r="N48" i="55"/>
  <c r="O48" i="55"/>
  <c r="D49" i="55"/>
  <c r="E49" i="55"/>
  <c r="F49" i="55"/>
  <c r="G49" i="55"/>
  <c r="H49" i="55"/>
  <c r="I49" i="55"/>
  <c r="J49" i="55"/>
  <c r="K49" i="55"/>
  <c r="L49" i="55"/>
  <c r="M49" i="55"/>
  <c r="N49" i="55"/>
  <c r="O49" i="55"/>
  <c r="P49" i="55"/>
  <c r="D50" i="55"/>
  <c r="E50" i="55"/>
  <c r="F50" i="55"/>
  <c r="G50" i="55"/>
  <c r="H50" i="55"/>
  <c r="I50" i="55"/>
  <c r="J50" i="55"/>
  <c r="K50" i="55"/>
  <c r="L50" i="55"/>
  <c r="M50" i="55"/>
  <c r="N50" i="55"/>
  <c r="O50" i="55"/>
  <c r="P50" i="55"/>
  <c r="D51" i="55"/>
  <c r="E51" i="55"/>
  <c r="F51" i="55"/>
  <c r="G51" i="55"/>
  <c r="H51" i="55"/>
  <c r="I51" i="55"/>
  <c r="J51" i="55"/>
  <c r="K51" i="55"/>
  <c r="L51" i="55"/>
  <c r="M51" i="55"/>
  <c r="N51" i="55"/>
  <c r="O51" i="55"/>
  <c r="P51" i="55"/>
  <c r="D53" i="55"/>
  <c r="E53" i="55"/>
  <c r="F53" i="55"/>
  <c r="G53" i="55"/>
  <c r="H53" i="55"/>
  <c r="I53" i="55"/>
  <c r="J53" i="55"/>
  <c r="K53" i="55"/>
  <c r="L53" i="55"/>
  <c r="M53" i="55"/>
  <c r="N53" i="55"/>
  <c r="O53" i="55"/>
  <c r="P53" i="55"/>
  <c r="D54" i="55"/>
  <c r="E54" i="55"/>
  <c r="F54" i="55"/>
  <c r="G54" i="55"/>
  <c r="H54" i="55"/>
  <c r="I54" i="55"/>
  <c r="J54" i="55"/>
  <c r="K54" i="55"/>
  <c r="L54" i="55"/>
  <c r="M54" i="55"/>
  <c r="P54" i="55"/>
  <c r="P52" i="55"/>
  <c r="N54" i="55"/>
  <c r="O54" i="55"/>
  <c r="D55" i="55"/>
  <c r="E55" i="55"/>
  <c r="F55" i="55"/>
  <c r="G55" i="55"/>
  <c r="H55" i="55"/>
  <c r="I55" i="55"/>
  <c r="J55" i="55"/>
  <c r="K55" i="55"/>
  <c r="L55" i="55"/>
  <c r="M55" i="55"/>
  <c r="N55" i="55"/>
  <c r="O55" i="55"/>
  <c r="P55" i="55"/>
  <c r="D57" i="55"/>
  <c r="E57" i="55"/>
  <c r="F57" i="55"/>
  <c r="G57" i="55"/>
  <c r="H57" i="55"/>
  <c r="I57" i="55"/>
  <c r="J57" i="55"/>
  <c r="K57" i="55"/>
  <c r="L57" i="55"/>
  <c r="M57" i="55"/>
  <c r="N57" i="55"/>
  <c r="O57" i="55"/>
  <c r="P57" i="55"/>
  <c r="D58" i="55"/>
  <c r="E58" i="55"/>
  <c r="F58" i="55"/>
  <c r="G58" i="55"/>
  <c r="H58" i="55"/>
  <c r="I58" i="55"/>
  <c r="J58" i="55"/>
  <c r="K58" i="55"/>
  <c r="L58" i="55"/>
  <c r="P58" i="55"/>
  <c r="M58" i="55"/>
  <c r="N58" i="55"/>
  <c r="O58" i="55"/>
  <c r="D59" i="55"/>
  <c r="E59" i="55"/>
  <c r="F59" i="55"/>
  <c r="G59" i="55"/>
  <c r="H59" i="55"/>
  <c r="I59" i="55"/>
  <c r="J59" i="55"/>
  <c r="K59" i="55"/>
  <c r="L59" i="55"/>
  <c r="M59" i="55"/>
  <c r="N59" i="55"/>
  <c r="O59" i="55"/>
  <c r="D60" i="55"/>
  <c r="E60" i="55"/>
  <c r="F60" i="55"/>
  <c r="G60" i="55"/>
  <c r="H60" i="55"/>
  <c r="I60" i="55"/>
  <c r="J60" i="55"/>
  <c r="K60" i="55"/>
  <c r="L60" i="55"/>
  <c r="M60" i="55"/>
  <c r="N60" i="55"/>
  <c r="O60" i="55"/>
  <c r="P60" i="55"/>
  <c r="D61" i="55"/>
  <c r="E61" i="55"/>
  <c r="F61" i="55"/>
  <c r="G61" i="55"/>
  <c r="H61" i="55"/>
  <c r="I61" i="55"/>
  <c r="J61" i="55"/>
  <c r="K61" i="55"/>
  <c r="L61" i="55"/>
  <c r="M61" i="55"/>
  <c r="N61" i="55"/>
  <c r="O61" i="55"/>
  <c r="P61" i="55"/>
  <c r="D62" i="55"/>
  <c r="E62" i="55"/>
  <c r="F62" i="55"/>
  <c r="G62" i="55"/>
  <c r="H62" i="55"/>
  <c r="I62" i="55"/>
  <c r="J62" i="55"/>
  <c r="K62" i="55"/>
  <c r="L62" i="55"/>
  <c r="M62" i="55"/>
  <c r="P62" i="55"/>
  <c r="N62" i="55"/>
  <c r="O62" i="55"/>
  <c r="D63" i="55"/>
  <c r="E63" i="55"/>
  <c r="F63" i="55"/>
  <c r="G63" i="55"/>
  <c r="H63" i="55"/>
  <c r="I63" i="55"/>
  <c r="J63" i="55"/>
  <c r="K63" i="55"/>
  <c r="L63" i="55"/>
  <c r="M63" i="55"/>
  <c r="N63" i="55"/>
  <c r="P63" i="55"/>
  <c r="O63" i="55"/>
  <c r="D64" i="55"/>
  <c r="E64" i="55"/>
  <c r="F64" i="55"/>
  <c r="G64" i="55"/>
  <c r="H64" i="55"/>
  <c r="I64" i="55"/>
  <c r="J64" i="55"/>
  <c r="K64" i="55"/>
  <c r="L64" i="55"/>
  <c r="M64" i="55"/>
  <c r="N64" i="55"/>
  <c r="O64" i="55"/>
  <c r="P64" i="55"/>
  <c r="D65" i="55"/>
  <c r="E65" i="55"/>
  <c r="F65" i="55"/>
  <c r="G65" i="55"/>
  <c r="H65" i="55"/>
  <c r="I65" i="55"/>
  <c r="J65" i="55"/>
  <c r="K65" i="55"/>
  <c r="L65" i="55"/>
  <c r="M65" i="55"/>
  <c r="N65" i="55"/>
  <c r="O65" i="55"/>
  <c r="D67" i="55"/>
  <c r="D66" i="55"/>
  <c r="E67" i="55"/>
  <c r="E66" i="55"/>
  <c r="F67" i="55"/>
  <c r="F66" i="55"/>
  <c r="G67" i="55"/>
  <c r="G66" i="55"/>
  <c r="H67" i="55"/>
  <c r="H66" i="55"/>
  <c r="I67" i="55"/>
  <c r="I66" i="55"/>
  <c r="J67" i="55"/>
  <c r="J66" i="55"/>
  <c r="K67" i="55"/>
  <c r="K66" i="55"/>
  <c r="L67" i="55"/>
  <c r="L66" i="55"/>
  <c r="M67" i="55"/>
  <c r="M66" i="55"/>
  <c r="N67" i="55"/>
  <c r="N66" i="55"/>
  <c r="O67" i="55"/>
  <c r="O66" i="55"/>
  <c r="P67" i="55"/>
  <c r="P66" i="55"/>
  <c r="D68" i="55"/>
  <c r="E68" i="55"/>
  <c r="F68" i="55"/>
  <c r="G68" i="55"/>
  <c r="H68" i="55"/>
  <c r="I68" i="55"/>
  <c r="J68" i="55"/>
  <c r="K68" i="55"/>
  <c r="L68" i="55"/>
  <c r="M68" i="55"/>
  <c r="N68" i="55"/>
  <c r="O68" i="55"/>
  <c r="D8" i="54"/>
  <c r="E8" i="54"/>
  <c r="F8" i="54"/>
  <c r="G8" i="54"/>
  <c r="H8" i="54"/>
  <c r="I8" i="54"/>
  <c r="J8" i="54"/>
  <c r="K8" i="54"/>
  <c r="L8" i="54"/>
  <c r="M8" i="54"/>
  <c r="N8" i="54"/>
  <c r="O8" i="54"/>
  <c r="P8" i="54"/>
  <c r="D9" i="54"/>
  <c r="E9" i="54"/>
  <c r="F9" i="54"/>
  <c r="G9" i="54"/>
  <c r="H9" i="54"/>
  <c r="I9" i="54"/>
  <c r="J9" i="54"/>
  <c r="K9" i="54"/>
  <c r="L9" i="54"/>
  <c r="M9" i="54"/>
  <c r="N9" i="54"/>
  <c r="O9" i="54"/>
  <c r="P9" i="54"/>
  <c r="D10" i="54"/>
  <c r="E10" i="54"/>
  <c r="F10" i="54"/>
  <c r="G10" i="54"/>
  <c r="H10" i="54"/>
  <c r="I10" i="54"/>
  <c r="J10" i="54"/>
  <c r="K10" i="54"/>
  <c r="L10" i="54"/>
  <c r="M10" i="54"/>
  <c r="N10" i="54"/>
  <c r="O10" i="54"/>
  <c r="P10" i="54"/>
  <c r="D11" i="54"/>
  <c r="E11" i="54"/>
  <c r="F11" i="54"/>
  <c r="G11" i="54"/>
  <c r="H11" i="54"/>
  <c r="I11" i="54"/>
  <c r="J11" i="54"/>
  <c r="K11" i="54"/>
  <c r="L11" i="54"/>
  <c r="M11" i="54"/>
  <c r="N11" i="54"/>
  <c r="O11" i="54"/>
  <c r="P11" i="54"/>
  <c r="D12" i="54"/>
  <c r="E12" i="54"/>
  <c r="F12" i="54"/>
  <c r="G12" i="54"/>
  <c r="H12" i="54"/>
  <c r="I12" i="54"/>
  <c r="J12" i="54"/>
  <c r="K12" i="54"/>
  <c r="L12" i="54"/>
  <c r="M12" i="54"/>
  <c r="N12" i="54"/>
  <c r="O12" i="54"/>
  <c r="P12" i="54"/>
  <c r="D13" i="54"/>
  <c r="E13" i="54"/>
  <c r="F13" i="54"/>
  <c r="G13" i="54"/>
  <c r="H13" i="54"/>
  <c r="I13" i="54"/>
  <c r="J13" i="54"/>
  <c r="K13" i="54"/>
  <c r="L13" i="54"/>
  <c r="M13" i="54"/>
  <c r="N13" i="54"/>
  <c r="O13" i="54"/>
  <c r="P13" i="54"/>
  <c r="D14" i="54"/>
  <c r="E14" i="54"/>
  <c r="F14" i="54"/>
  <c r="G14" i="54"/>
  <c r="H14" i="54"/>
  <c r="I14" i="54"/>
  <c r="J14" i="54"/>
  <c r="K14" i="54"/>
  <c r="L14" i="54"/>
  <c r="M14" i="54"/>
  <c r="N14" i="54"/>
  <c r="O14" i="54"/>
  <c r="P14" i="54"/>
  <c r="P16" i="54"/>
  <c r="D17" i="54"/>
  <c r="E17" i="54"/>
  <c r="F17" i="54"/>
  <c r="G17" i="54"/>
  <c r="H17" i="54"/>
  <c r="I17" i="54"/>
  <c r="J17" i="54"/>
  <c r="K17" i="54"/>
  <c r="L17" i="54"/>
  <c r="M17" i="54"/>
  <c r="N17" i="54"/>
  <c r="O17" i="54"/>
  <c r="P17" i="54"/>
  <c r="D18" i="54"/>
  <c r="E18" i="54"/>
  <c r="F18" i="54"/>
  <c r="G18" i="54"/>
  <c r="H18" i="54"/>
  <c r="I18" i="54"/>
  <c r="J18" i="54"/>
  <c r="K18" i="54"/>
  <c r="L18" i="54"/>
  <c r="M18" i="54"/>
  <c r="N18" i="54"/>
  <c r="O18" i="54"/>
  <c r="P18" i="54"/>
  <c r="D19" i="54"/>
  <c r="E19" i="54"/>
  <c r="F19" i="54"/>
  <c r="G19" i="54"/>
  <c r="H19" i="54"/>
  <c r="I19" i="54"/>
  <c r="J19" i="54"/>
  <c r="K19" i="54"/>
  <c r="L19" i="54"/>
  <c r="M19" i="54"/>
  <c r="N19" i="54"/>
  <c r="O19" i="54"/>
  <c r="P19" i="54"/>
  <c r="P20" i="54"/>
  <c r="D21" i="54"/>
  <c r="E21" i="54"/>
  <c r="F21" i="54"/>
  <c r="G21" i="54"/>
  <c r="H21" i="54"/>
  <c r="I21" i="54"/>
  <c r="J21" i="54"/>
  <c r="K21" i="54"/>
  <c r="L21" i="54"/>
  <c r="M21" i="54"/>
  <c r="N21" i="54"/>
  <c r="O21" i="54"/>
  <c r="P21" i="54"/>
  <c r="D22" i="54"/>
  <c r="E22" i="54"/>
  <c r="F22" i="54"/>
  <c r="G22" i="54"/>
  <c r="H22" i="54"/>
  <c r="I22" i="54"/>
  <c r="J22" i="54"/>
  <c r="K22" i="54"/>
  <c r="L22" i="54"/>
  <c r="M22" i="54"/>
  <c r="N22" i="54"/>
  <c r="O22" i="54"/>
  <c r="P22" i="54"/>
  <c r="D27" i="54"/>
  <c r="E27" i="54"/>
  <c r="F27" i="54"/>
  <c r="G27" i="54"/>
  <c r="H27" i="54"/>
  <c r="I27" i="54"/>
  <c r="J27" i="54"/>
  <c r="K27" i="54"/>
  <c r="L27" i="54"/>
  <c r="M27" i="54"/>
  <c r="N27" i="54"/>
  <c r="O27" i="54"/>
  <c r="P27" i="54"/>
  <c r="D28" i="54"/>
  <c r="E28" i="54"/>
  <c r="F28" i="54"/>
  <c r="G28" i="54"/>
  <c r="H28" i="54"/>
  <c r="I28" i="54"/>
  <c r="J28" i="54"/>
  <c r="K28" i="54"/>
  <c r="L28" i="54"/>
  <c r="M28" i="54"/>
  <c r="N28" i="54"/>
  <c r="O28" i="54"/>
  <c r="P28" i="54"/>
  <c r="D29" i="54"/>
  <c r="E29" i="54"/>
  <c r="F29" i="54"/>
  <c r="G29" i="54"/>
  <c r="H29" i="54"/>
  <c r="I29" i="54"/>
  <c r="J29" i="54"/>
  <c r="K29" i="54"/>
  <c r="L29" i="54"/>
  <c r="M29" i="54"/>
  <c r="N29" i="54"/>
  <c r="O29" i="54"/>
  <c r="P29" i="54"/>
  <c r="D30" i="54"/>
  <c r="E30" i="54"/>
  <c r="F30" i="54"/>
  <c r="G30" i="54"/>
  <c r="H30" i="54"/>
  <c r="I30" i="54"/>
  <c r="J30" i="54"/>
  <c r="K30" i="54"/>
  <c r="L30" i="54"/>
  <c r="M30" i="54"/>
  <c r="N30" i="54"/>
  <c r="O30" i="54"/>
  <c r="P30" i="54"/>
  <c r="P31" i="54"/>
  <c r="P32" i="54"/>
  <c r="P33" i="54"/>
  <c r="D34" i="54"/>
  <c r="E34" i="54"/>
  <c r="F34" i="54"/>
  <c r="G34" i="54"/>
  <c r="H34" i="54"/>
  <c r="I34" i="54"/>
  <c r="J34" i="54"/>
  <c r="K34" i="54"/>
  <c r="L34" i="54"/>
  <c r="M34" i="54"/>
  <c r="N34" i="54"/>
  <c r="O34" i="54"/>
  <c r="P34" i="54"/>
  <c r="P35" i="54"/>
  <c r="P36" i="54"/>
  <c r="D37" i="54"/>
  <c r="E37" i="54"/>
  <c r="F37" i="54"/>
  <c r="G37" i="54"/>
  <c r="H37" i="54"/>
  <c r="I37" i="54"/>
  <c r="J37" i="54"/>
  <c r="K37" i="54"/>
  <c r="L37" i="54"/>
  <c r="M37" i="54"/>
  <c r="N37" i="54"/>
  <c r="O37" i="54"/>
  <c r="P37" i="54"/>
  <c r="P38" i="54"/>
  <c r="P39" i="54"/>
  <c r="D40" i="54"/>
  <c r="E40" i="54"/>
  <c r="F40" i="54"/>
  <c r="G40" i="54"/>
  <c r="H40" i="54"/>
  <c r="I40" i="54"/>
  <c r="J40" i="54"/>
  <c r="K40" i="54"/>
  <c r="L40" i="54"/>
  <c r="M40" i="54"/>
  <c r="N40" i="54"/>
  <c r="O40" i="54"/>
  <c r="P40" i="54"/>
  <c r="D42" i="54"/>
  <c r="E42" i="54"/>
  <c r="F42" i="54"/>
  <c r="G42" i="54"/>
  <c r="H42" i="54"/>
  <c r="I42" i="54"/>
  <c r="J42" i="54"/>
  <c r="K42" i="54"/>
  <c r="L42" i="54"/>
  <c r="M42" i="54"/>
  <c r="N42" i="54"/>
  <c r="O42" i="54"/>
  <c r="P42" i="54"/>
  <c r="P43" i="54"/>
  <c r="P44" i="54"/>
  <c r="D46" i="54"/>
  <c r="E46" i="54"/>
  <c r="F46" i="54"/>
  <c r="G46" i="54"/>
  <c r="H46" i="54"/>
  <c r="I46" i="54"/>
  <c r="J46" i="54"/>
  <c r="K46" i="54"/>
  <c r="L46" i="54"/>
  <c r="M46" i="54"/>
  <c r="N46" i="54"/>
  <c r="O46" i="54"/>
  <c r="P46" i="54"/>
  <c r="D47" i="54"/>
  <c r="E47" i="54"/>
  <c r="F47" i="54"/>
  <c r="G47" i="54"/>
  <c r="H47" i="54"/>
  <c r="I47" i="54"/>
  <c r="J47" i="54"/>
  <c r="K47" i="54"/>
  <c r="L47" i="54"/>
  <c r="M47" i="54"/>
  <c r="N47" i="54"/>
  <c r="O47" i="54"/>
  <c r="P47" i="54"/>
  <c r="D48" i="54"/>
  <c r="E48" i="54"/>
  <c r="F48" i="54"/>
  <c r="G48" i="54"/>
  <c r="H48" i="54"/>
  <c r="I48" i="54"/>
  <c r="J48" i="54"/>
  <c r="K48" i="54"/>
  <c r="L48" i="54"/>
  <c r="M48" i="54"/>
  <c r="N48" i="54"/>
  <c r="O48" i="54"/>
  <c r="P48" i="54"/>
  <c r="D49" i="54"/>
  <c r="E49" i="54"/>
  <c r="F49" i="54"/>
  <c r="G49" i="54"/>
  <c r="H49" i="54"/>
  <c r="I49" i="54"/>
  <c r="J49" i="54"/>
  <c r="K49" i="54"/>
  <c r="L49" i="54"/>
  <c r="M49" i="54"/>
  <c r="N49" i="54"/>
  <c r="O49" i="54"/>
  <c r="P49" i="54"/>
  <c r="D50" i="54"/>
  <c r="E50" i="54"/>
  <c r="F50" i="54"/>
  <c r="G50" i="54"/>
  <c r="H50" i="54"/>
  <c r="I50" i="54"/>
  <c r="J50" i="54"/>
  <c r="K50" i="54"/>
  <c r="L50" i="54"/>
  <c r="M50" i="54"/>
  <c r="N50" i="54"/>
  <c r="O50" i="54"/>
  <c r="P50" i="54"/>
  <c r="D51" i="54"/>
  <c r="E51" i="54"/>
  <c r="F51" i="54"/>
  <c r="G51" i="54"/>
  <c r="H51" i="54"/>
  <c r="I51" i="54"/>
  <c r="J51" i="54"/>
  <c r="K51" i="54"/>
  <c r="L51" i="54"/>
  <c r="M51" i="54"/>
  <c r="N51" i="54"/>
  <c r="O51" i="54"/>
  <c r="P51" i="54"/>
  <c r="D53" i="54"/>
  <c r="E53" i="54"/>
  <c r="F53" i="54"/>
  <c r="G53" i="54"/>
  <c r="H53" i="54"/>
  <c r="I53" i="54"/>
  <c r="J53" i="54"/>
  <c r="K53" i="54"/>
  <c r="L53" i="54"/>
  <c r="M53" i="54"/>
  <c r="N53" i="54"/>
  <c r="O53" i="54"/>
  <c r="P53" i="54"/>
  <c r="D54" i="54"/>
  <c r="E54" i="54"/>
  <c r="F54" i="54"/>
  <c r="G54" i="54"/>
  <c r="H54" i="54"/>
  <c r="I54" i="54"/>
  <c r="J54" i="54"/>
  <c r="K54" i="54"/>
  <c r="L54" i="54"/>
  <c r="M54" i="54"/>
  <c r="N54" i="54"/>
  <c r="P54" i="54"/>
  <c r="O54" i="54"/>
  <c r="D55" i="54"/>
  <c r="E55" i="54"/>
  <c r="F55" i="54"/>
  <c r="G55" i="54"/>
  <c r="H55" i="54"/>
  <c r="I55" i="54"/>
  <c r="J55" i="54"/>
  <c r="K55" i="54"/>
  <c r="L55" i="54"/>
  <c r="M55" i="54"/>
  <c r="N55" i="54"/>
  <c r="O55" i="54"/>
  <c r="P55" i="54"/>
  <c r="D57" i="54"/>
  <c r="E57" i="54"/>
  <c r="F57" i="54"/>
  <c r="G57" i="54"/>
  <c r="H57" i="54"/>
  <c r="I57" i="54"/>
  <c r="J57" i="54"/>
  <c r="K57" i="54"/>
  <c r="L57" i="54"/>
  <c r="M57" i="54"/>
  <c r="N57" i="54"/>
  <c r="O57" i="54"/>
  <c r="P57" i="54"/>
  <c r="D58" i="54"/>
  <c r="E58" i="54"/>
  <c r="F58" i="54"/>
  <c r="G58" i="54"/>
  <c r="H58" i="54"/>
  <c r="I58" i="54"/>
  <c r="J58" i="54"/>
  <c r="K58" i="54"/>
  <c r="L58" i="54"/>
  <c r="M58" i="54"/>
  <c r="N58" i="54"/>
  <c r="O58" i="54"/>
  <c r="D59" i="54"/>
  <c r="E59" i="54"/>
  <c r="F59" i="54"/>
  <c r="G59" i="54"/>
  <c r="H59" i="54"/>
  <c r="I59" i="54"/>
  <c r="J59" i="54"/>
  <c r="K59" i="54"/>
  <c r="L59" i="54"/>
  <c r="M59" i="54"/>
  <c r="N59" i="54"/>
  <c r="O59" i="54"/>
  <c r="D60" i="54"/>
  <c r="E60" i="54"/>
  <c r="F60" i="54"/>
  <c r="G60" i="54"/>
  <c r="H60" i="54"/>
  <c r="I60" i="54"/>
  <c r="J60" i="54"/>
  <c r="K60" i="54"/>
  <c r="L60" i="54"/>
  <c r="M60" i="54"/>
  <c r="N60" i="54"/>
  <c r="P60" i="54"/>
  <c r="O60" i="54"/>
  <c r="D61" i="54"/>
  <c r="E61" i="54"/>
  <c r="F61" i="54"/>
  <c r="G61" i="54"/>
  <c r="H61" i="54"/>
  <c r="I61" i="54"/>
  <c r="J61" i="54"/>
  <c r="K61" i="54"/>
  <c r="L61" i="54"/>
  <c r="M61" i="54"/>
  <c r="N61" i="54"/>
  <c r="O61" i="54"/>
  <c r="P61" i="54"/>
  <c r="D62" i="54"/>
  <c r="E62" i="54"/>
  <c r="F62" i="54"/>
  <c r="G62" i="54"/>
  <c r="H62" i="54"/>
  <c r="I62" i="54"/>
  <c r="J62" i="54"/>
  <c r="K62" i="54"/>
  <c r="L62" i="54"/>
  <c r="M62" i="54"/>
  <c r="N62" i="54"/>
  <c r="O62" i="54"/>
  <c r="P62" i="54"/>
  <c r="D63" i="54"/>
  <c r="E63" i="54"/>
  <c r="F63" i="54"/>
  <c r="G63" i="54"/>
  <c r="H63" i="54"/>
  <c r="I63" i="54"/>
  <c r="J63" i="54"/>
  <c r="K63" i="54"/>
  <c r="L63" i="54"/>
  <c r="M63" i="54"/>
  <c r="N63" i="54"/>
  <c r="O63" i="54"/>
  <c r="P63" i="54"/>
  <c r="D64" i="54"/>
  <c r="E64" i="54"/>
  <c r="F64" i="54"/>
  <c r="G64" i="54"/>
  <c r="H64" i="54"/>
  <c r="I64" i="54"/>
  <c r="J64" i="54"/>
  <c r="K64" i="54"/>
  <c r="L64" i="54"/>
  <c r="M64" i="54"/>
  <c r="N64" i="54"/>
  <c r="O64" i="54"/>
  <c r="P64" i="54"/>
  <c r="D65" i="54"/>
  <c r="E65" i="54"/>
  <c r="F65" i="54"/>
  <c r="G65" i="54"/>
  <c r="H65" i="54"/>
  <c r="I65" i="54"/>
  <c r="J65" i="54"/>
  <c r="K65" i="54"/>
  <c r="L65" i="54"/>
  <c r="M65" i="54"/>
  <c r="N65" i="54"/>
  <c r="O65" i="54"/>
  <c r="P65" i="54"/>
  <c r="D67" i="54"/>
  <c r="D66" i="54"/>
  <c r="E67" i="54"/>
  <c r="E66" i="54"/>
  <c r="F67" i="54"/>
  <c r="F66" i="54"/>
  <c r="G67" i="54"/>
  <c r="G66" i="54"/>
  <c r="H67" i="54"/>
  <c r="H66" i="54"/>
  <c r="I67" i="54"/>
  <c r="I66" i="54"/>
  <c r="J67" i="54"/>
  <c r="K67" i="54"/>
  <c r="L67" i="54"/>
  <c r="M67" i="54"/>
  <c r="N67" i="54"/>
  <c r="O67" i="54"/>
  <c r="P67" i="54"/>
  <c r="J68" i="54"/>
  <c r="K68" i="54"/>
  <c r="L68" i="54"/>
  <c r="M68" i="54"/>
  <c r="N68" i="54"/>
  <c r="O68" i="54"/>
  <c r="D69" i="54"/>
  <c r="E69" i="54"/>
  <c r="F69" i="54"/>
  <c r="G69" i="54"/>
  <c r="H69" i="54"/>
  <c r="I69" i="54"/>
  <c r="J69" i="54"/>
  <c r="K69" i="54"/>
  <c r="L69" i="54"/>
  <c r="M69" i="54"/>
  <c r="N69" i="54"/>
  <c r="O69" i="54"/>
  <c r="D78" i="54"/>
  <c r="E78" i="54"/>
  <c r="F78" i="54"/>
  <c r="G78" i="54"/>
  <c r="H78" i="54"/>
  <c r="I78" i="54"/>
  <c r="J78" i="54"/>
  <c r="K78" i="54"/>
  <c r="L78" i="54"/>
  <c r="M78" i="54"/>
  <c r="N78" i="54"/>
  <c r="O78" i="54"/>
  <c r="P78" i="54"/>
  <c r="P8" i="53"/>
  <c r="P9" i="53"/>
  <c r="P10" i="53"/>
  <c r="P11" i="53"/>
  <c r="P12" i="53"/>
  <c r="P13" i="53"/>
  <c r="D14" i="53"/>
  <c r="E14" i="53"/>
  <c r="F14" i="53"/>
  <c r="G14" i="53"/>
  <c r="H14" i="53"/>
  <c r="J14" i="53"/>
  <c r="K14" i="53"/>
  <c r="L14" i="53"/>
  <c r="M14" i="53"/>
  <c r="N14" i="53"/>
  <c r="O14" i="53"/>
  <c r="P14" i="53"/>
  <c r="P16" i="53"/>
  <c r="P17" i="53"/>
  <c r="P18" i="53"/>
  <c r="P19" i="53"/>
  <c r="P20" i="53"/>
  <c r="D21" i="53"/>
  <c r="E21" i="53"/>
  <c r="F21" i="53"/>
  <c r="G21" i="53"/>
  <c r="H21" i="53"/>
  <c r="J21" i="53"/>
  <c r="K21" i="53"/>
  <c r="L21" i="53"/>
  <c r="M21" i="53"/>
  <c r="N21" i="53"/>
  <c r="O21" i="53"/>
  <c r="P21" i="53"/>
  <c r="D22" i="53"/>
  <c r="E22" i="53"/>
  <c r="F22" i="53"/>
  <c r="G22" i="53"/>
  <c r="H22" i="53"/>
  <c r="J22" i="53"/>
  <c r="K22" i="53"/>
  <c r="L22" i="53"/>
  <c r="M22" i="53"/>
  <c r="N22" i="53"/>
  <c r="O22" i="53"/>
  <c r="P22" i="53"/>
  <c r="D27" i="53"/>
  <c r="E27" i="53"/>
  <c r="F27" i="53"/>
  <c r="G27" i="53"/>
  <c r="H27" i="53"/>
  <c r="I27" i="53"/>
  <c r="J27" i="53"/>
  <c r="K27" i="53"/>
  <c r="L27" i="53"/>
  <c r="M27" i="53"/>
  <c r="N27" i="53"/>
  <c r="O27" i="53"/>
  <c r="P27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D29" i="53"/>
  <c r="E29" i="53"/>
  <c r="F29" i="53"/>
  <c r="G29" i="53"/>
  <c r="H29" i="53"/>
  <c r="I29" i="53"/>
  <c r="J29" i="53"/>
  <c r="K29" i="53"/>
  <c r="L29" i="53"/>
  <c r="M29" i="53"/>
  <c r="N29" i="53"/>
  <c r="O29" i="53"/>
  <c r="P29" i="53"/>
  <c r="D30" i="53"/>
  <c r="E30" i="53"/>
  <c r="F30" i="53"/>
  <c r="G30" i="53"/>
  <c r="H30" i="53"/>
  <c r="I30" i="53"/>
  <c r="J30" i="53"/>
  <c r="K30" i="53"/>
  <c r="L30" i="53"/>
  <c r="M30" i="53"/>
  <c r="N30" i="53"/>
  <c r="O30" i="53"/>
  <c r="P30" i="53"/>
  <c r="P31" i="53"/>
  <c r="P32" i="53"/>
  <c r="D34" i="53"/>
  <c r="E34" i="53"/>
  <c r="F34" i="53"/>
  <c r="G34" i="53"/>
  <c r="H34" i="53"/>
  <c r="I34" i="53"/>
  <c r="J34" i="53"/>
  <c r="K34" i="53"/>
  <c r="L34" i="53"/>
  <c r="M34" i="53"/>
  <c r="N34" i="53"/>
  <c r="O34" i="53"/>
  <c r="P34" i="53"/>
  <c r="M35" i="53"/>
  <c r="P35" i="53"/>
  <c r="M36" i="53"/>
  <c r="P36" i="53"/>
  <c r="D37" i="53"/>
  <c r="E37" i="53"/>
  <c r="F37" i="53"/>
  <c r="G37" i="53"/>
  <c r="H37" i="53"/>
  <c r="I37" i="53"/>
  <c r="J37" i="53"/>
  <c r="K37" i="53"/>
  <c r="L37" i="53"/>
  <c r="M37" i="53"/>
  <c r="N37" i="53"/>
  <c r="O37" i="53"/>
  <c r="P37" i="53"/>
  <c r="K38" i="53"/>
  <c r="M38" i="53"/>
  <c r="P38" i="53"/>
  <c r="K39" i="53"/>
  <c r="M39" i="53"/>
  <c r="P39" i="53"/>
  <c r="D40" i="53"/>
  <c r="E40" i="53"/>
  <c r="F40" i="53"/>
  <c r="G40" i="53"/>
  <c r="H40" i="53"/>
  <c r="I40" i="53"/>
  <c r="J40" i="53"/>
  <c r="K40" i="53"/>
  <c r="L40" i="53"/>
  <c r="M40" i="53"/>
  <c r="N40" i="53"/>
  <c r="O40" i="53"/>
  <c r="P40" i="53"/>
  <c r="D41" i="53"/>
  <c r="E41" i="53"/>
  <c r="F41" i="53"/>
  <c r="G41" i="53"/>
  <c r="H41" i="53"/>
  <c r="I41" i="53"/>
  <c r="J41" i="53"/>
  <c r="K41" i="53"/>
  <c r="L41" i="53"/>
  <c r="M41" i="53"/>
  <c r="N41" i="53"/>
  <c r="O41" i="53"/>
  <c r="P41" i="53"/>
  <c r="D42" i="53"/>
  <c r="E42" i="53"/>
  <c r="F42" i="53"/>
  <c r="G42" i="53"/>
  <c r="H42" i="53"/>
  <c r="I42" i="53"/>
  <c r="J42" i="53"/>
  <c r="K42" i="53"/>
  <c r="L42" i="53"/>
  <c r="M42" i="53"/>
  <c r="N42" i="53"/>
  <c r="O42" i="53"/>
  <c r="P42" i="53"/>
  <c r="P43" i="53"/>
  <c r="D44" i="53"/>
  <c r="E44" i="53"/>
  <c r="F44" i="53"/>
  <c r="G44" i="53"/>
  <c r="H44" i="53"/>
  <c r="I44" i="53"/>
  <c r="J44" i="53"/>
  <c r="K44" i="53"/>
  <c r="L44" i="53"/>
  <c r="M44" i="53"/>
  <c r="N44" i="53"/>
  <c r="O44" i="53"/>
  <c r="P44" i="53"/>
  <c r="P45" i="53"/>
  <c r="P46" i="53"/>
  <c r="P47" i="53"/>
  <c r="P48" i="53"/>
  <c r="P49" i="53"/>
  <c r="P50" i="53"/>
  <c r="D51" i="53"/>
  <c r="E51" i="53"/>
  <c r="F51" i="53"/>
  <c r="G51" i="53"/>
  <c r="H51" i="53"/>
  <c r="I51" i="53"/>
  <c r="J51" i="53"/>
  <c r="K51" i="53"/>
  <c r="L51" i="53"/>
  <c r="M51" i="53"/>
  <c r="N51" i="53"/>
  <c r="O51" i="53"/>
  <c r="P51" i="53"/>
  <c r="P52" i="53"/>
  <c r="P53" i="53"/>
  <c r="P54" i="53"/>
  <c r="P55" i="53"/>
  <c r="D56" i="53"/>
  <c r="E56" i="53"/>
  <c r="F56" i="53"/>
  <c r="G56" i="53"/>
  <c r="H56" i="53"/>
  <c r="I56" i="53"/>
  <c r="J56" i="53"/>
  <c r="K56" i="53"/>
  <c r="L56" i="53"/>
  <c r="M56" i="53"/>
  <c r="N56" i="53"/>
  <c r="O56" i="53"/>
  <c r="P56" i="53"/>
  <c r="P57" i="53"/>
  <c r="P58" i="53"/>
  <c r="P59" i="53"/>
  <c r="P60" i="53"/>
  <c r="P61" i="53"/>
  <c r="P62" i="53"/>
  <c r="P63" i="53"/>
  <c r="P64" i="53"/>
  <c r="P65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P67" i="53"/>
  <c r="P68" i="53"/>
  <c r="D69" i="53"/>
  <c r="E69" i="53"/>
  <c r="F69" i="53"/>
  <c r="G69" i="53"/>
  <c r="H69" i="53"/>
  <c r="I69" i="53"/>
  <c r="J69" i="53"/>
  <c r="K69" i="53"/>
  <c r="L69" i="53"/>
  <c r="M69" i="53"/>
  <c r="N69" i="53"/>
  <c r="O69" i="53"/>
  <c r="D74" i="53"/>
  <c r="E74" i="53"/>
  <c r="F74" i="53"/>
  <c r="G74" i="53"/>
  <c r="H74" i="53"/>
  <c r="I74" i="53"/>
  <c r="J74" i="53"/>
  <c r="K74" i="53"/>
  <c r="L74" i="53"/>
  <c r="M74" i="53"/>
  <c r="N74" i="53"/>
  <c r="O74" i="53"/>
  <c r="D75" i="53"/>
  <c r="E75" i="53"/>
  <c r="F75" i="53"/>
  <c r="G75" i="53"/>
  <c r="H75" i="53"/>
  <c r="I75" i="53"/>
  <c r="J75" i="53"/>
  <c r="K75" i="53"/>
  <c r="L75" i="53"/>
  <c r="M75" i="53"/>
  <c r="N75" i="53"/>
  <c r="O75" i="53"/>
  <c r="D76" i="53"/>
  <c r="E76" i="53"/>
  <c r="F76" i="53"/>
  <c r="G76" i="53"/>
  <c r="H76" i="53"/>
  <c r="I76" i="53"/>
  <c r="J76" i="53"/>
  <c r="K76" i="53"/>
  <c r="L76" i="53"/>
  <c r="M76" i="53"/>
  <c r="N76" i="53"/>
  <c r="O76" i="53"/>
  <c r="D78" i="53"/>
  <c r="E78" i="53"/>
  <c r="F78" i="53"/>
  <c r="G78" i="53"/>
  <c r="H78" i="53"/>
  <c r="I78" i="53"/>
  <c r="J78" i="53"/>
  <c r="K78" i="53"/>
  <c r="L78" i="53"/>
  <c r="M78" i="53"/>
  <c r="N78" i="53"/>
  <c r="O78" i="53"/>
  <c r="E84" i="53"/>
  <c r="E85" i="53"/>
  <c r="E86" i="53"/>
  <c r="E87" i="53"/>
  <c r="E88" i="53"/>
  <c r="E89" i="53"/>
  <c r="E90" i="53"/>
  <c r="E91" i="53"/>
  <c r="E92" i="53"/>
  <c r="E93" i="53"/>
  <c r="E94" i="53"/>
  <c r="E95" i="53"/>
  <c r="E96" i="53"/>
  <c r="E97" i="53"/>
  <c r="E98" i="53"/>
  <c r="E99" i="53"/>
  <c r="E100" i="53"/>
  <c r="E101" i="53"/>
  <c r="E102" i="53"/>
  <c r="E103" i="53"/>
  <c r="E104" i="53"/>
  <c r="E105" i="53"/>
  <c r="E106" i="53"/>
  <c r="P8" i="52"/>
  <c r="P9" i="52"/>
  <c r="P10" i="52"/>
  <c r="P11" i="52"/>
  <c r="P12" i="52"/>
  <c r="S12" i="52"/>
  <c r="T12" i="52"/>
  <c r="U12" i="52"/>
  <c r="V12" i="52"/>
  <c r="W12" i="52"/>
  <c r="P13" i="52"/>
  <c r="D14" i="52"/>
  <c r="E14" i="52"/>
  <c r="F14" i="52"/>
  <c r="G14" i="52"/>
  <c r="H14" i="52"/>
  <c r="I14" i="52"/>
  <c r="J14" i="52"/>
  <c r="K14" i="52"/>
  <c r="L14" i="52"/>
  <c r="M14" i="52"/>
  <c r="N14" i="52"/>
  <c r="O14" i="52"/>
  <c r="P14" i="52"/>
  <c r="S14" i="52"/>
  <c r="T14" i="52"/>
  <c r="U14" i="52"/>
  <c r="P16" i="52"/>
  <c r="P17" i="52"/>
  <c r="P18" i="52"/>
  <c r="P19" i="52"/>
  <c r="P20" i="52"/>
  <c r="D21" i="52"/>
  <c r="E21" i="52"/>
  <c r="F21" i="52"/>
  <c r="G21" i="52"/>
  <c r="H21" i="52"/>
  <c r="I21" i="52"/>
  <c r="J21" i="52"/>
  <c r="K21" i="52"/>
  <c r="L21" i="52"/>
  <c r="M21" i="52"/>
  <c r="N21" i="52"/>
  <c r="O21" i="52"/>
  <c r="P21" i="52"/>
  <c r="D22" i="52"/>
  <c r="E22" i="52"/>
  <c r="F22" i="52"/>
  <c r="G22" i="52"/>
  <c r="H22" i="52"/>
  <c r="I22" i="52"/>
  <c r="J22" i="52"/>
  <c r="K22" i="52"/>
  <c r="L22" i="52"/>
  <c r="M22" i="52"/>
  <c r="N22" i="52"/>
  <c r="O22" i="52"/>
  <c r="P22" i="52"/>
  <c r="D27" i="52"/>
  <c r="E27" i="52"/>
  <c r="F27" i="52"/>
  <c r="G27" i="52"/>
  <c r="H27" i="52"/>
  <c r="I27" i="52"/>
  <c r="J27" i="52"/>
  <c r="K27" i="52"/>
  <c r="L27" i="52"/>
  <c r="M27" i="52"/>
  <c r="N27" i="52"/>
  <c r="O27" i="52"/>
  <c r="P27" i="52"/>
  <c r="R27" i="52"/>
  <c r="D28" i="52"/>
  <c r="E28" i="52"/>
  <c r="F28" i="52"/>
  <c r="G28" i="52"/>
  <c r="H28" i="52"/>
  <c r="I28" i="52"/>
  <c r="J28" i="52"/>
  <c r="K28" i="52"/>
  <c r="L28" i="52"/>
  <c r="M28" i="52"/>
  <c r="N28" i="52"/>
  <c r="O28" i="52"/>
  <c r="P28" i="52"/>
  <c r="R28" i="52"/>
  <c r="D29" i="52"/>
  <c r="E29" i="52"/>
  <c r="F29" i="52"/>
  <c r="G29" i="52"/>
  <c r="H29" i="52"/>
  <c r="I29" i="52"/>
  <c r="J29" i="52"/>
  <c r="K29" i="52"/>
  <c r="L29" i="52"/>
  <c r="M29" i="52"/>
  <c r="N29" i="52"/>
  <c r="O29" i="52"/>
  <c r="P29" i="52"/>
  <c r="R29" i="52"/>
  <c r="D30" i="52"/>
  <c r="E30" i="52"/>
  <c r="F30" i="52"/>
  <c r="G30" i="52"/>
  <c r="H30" i="52"/>
  <c r="I30" i="52"/>
  <c r="J30" i="52"/>
  <c r="K30" i="52"/>
  <c r="L30" i="52"/>
  <c r="M30" i="52"/>
  <c r="N30" i="52"/>
  <c r="O30" i="52"/>
  <c r="P30" i="52"/>
  <c r="R30" i="52"/>
  <c r="P31" i="52"/>
  <c r="R31" i="52"/>
  <c r="P32" i="52"/>
  <c r="R32" i="52"/>
  <c r="P33" i="52"/>
  <c r="R33" i="52"/>
  <c r="D34" i="52"/>
  <c r="E34" i="52"/>
  <c r="F34" i="52"/>
  <c r="G34" i="52"/>
  <c r="H34" i="52"/>
  <c r="I34" i="52"/>
  <c r="J34" i="52"/>
  <c r="K34" i="52"/>
  <c r="L34" i="52"/>
  <c r="M34" i="52"/>
  <c r="N34" i="52"/>
  <c r="O34" i="52"/>
  <c r="P34" i="52"/>
  <c r="R34" i="52"/>
  <c r="P35" i="52"/>
  <c r="R35" i="52"/>
  <c r="P36" i="52"/>
  <c r="R36" i="52"/>
  <c r="D37" i="52"/>
  <c r="E37" i="52"/>
  <c r="F37" i="52"/>
  <c r="G37" i="52"/>
  <c r="H37" i="52"/>
  <c r="I37" i="52"/>
  <c r="J37" i="52"/>
  <c r="K37" i="52"/>
  <c r="L37" i="52"/>
  <c r="M37" i="52"/>
  <c r="N37" i="52"/>
  <c r="O37" i="52"/>
  <c r="P37" i="52"/>
  <c r="R37" i="52"/>
  <c r="P38" i="52"/>
  <c r="R38" i="52"/>
  <c r="P39" i="52"/>
  <c r="R39" i="52"/>
  <c r="D40" i="52"/>
  <c r="E40" i="52"/>
  <c r="F40" i="52"/>
  <c r="G40" i="52"/>
  <c r="H40" i="52"/>
  <c r="I40" i="52"/>
  <c r="J40" i="52"/>
  <c r="K40" i="52"/>
  <c r="L40" i="52"/>
  <c r="M40" i="52"/>
  <c r="N40" i="52"/>
  <c r="O40" i="52"/>
  <c r="P40" i="52"/>
  <c r="R40" i="52"/>
  <c r="D41" i="52"/>
  <c r="E41" i="52"/>
  <c r="F41" i="52"/>
  <c r="G41" i="52"/>
  <c r="H41" i="52"/>
  <c r="I41" i="52"/>
  <c r="J41" i="52"/>
  <c r="K41" i="52"/>
  <c r="L41" i="52"/>
  <c r="M41" i="52"/>
  <c r="N41" i="52"/>
  <c r="O41" i="52"/>
  <c r="P41" i="52"/>
  <c r="R41" i="52"/>
  <c r="D42" i="52"/>
  <c r="E42" i="52"/>
  <c r="F42" i="52"/>
  <c r="G42" i="52"/>
  <c r="H42" i="52"/>
  <c r="I42" i="52"/>
  <c r="J42" i="52"/>
  <c r="K42" i="52"/>
  <c r="L42" i="52"/>
  <c r="M42" i="52"/>
  <c r="N42" i="52"/>
  <c r="O42" i="52"/>
  <c r="P42" i="52"/>
  <c r="R42" i="52"/>
  <c r="P43" i="52"/>
  <c r="R43" i="52"/>
  <c r="P44" i="52"/>
  <c r="R44" i="52"/>
  <c r="D45" i="52"/>
  <c r="E45" i="52"/>
  <c r="F45" i="52"/>
  <c r="G45" i="52"/>
  <c r="H45" i="52"/>
  <c r="I45" i="52"/>
  <c r="J45" i="52"/>
  <c r="K45" i="52"/>
  <c r="L45" i="52"/>
  <c r="M45" i="52"/>
  <c r="N45" i="52"/>
  <c r="O45" i="52"/>
  <c r="P45" i="52"/>
  <c r="R45" i="52"/>
  <c r="D46" i="52"/>
  <c r="E46" i="52"/>
  <c r="F46" i="52"/>
  <c r="G46" i="52"/>
  <c r="H46" i="52"/>
  <c r="I46" i="52"/>
  <c r="J46" i="52"/>
  <c r="K46" i="52"/>
  <c r="L46" i="52"/>
  <c r="M46" i="52"/>
  <c r="N46" i="52"/>
  <c r="O46" i="52"/>
  <c r="P46" i="52"/>
  <c r="R46" i="52"/>
  <c r="D47" i="52"/>
  <c r="E47" i="52"/>
  <c r="F47" i="52"/>
  <c r="G47" i="52"/>
  <c r="H47" i="52"/>
  <c r="I47" i="52"/>
  <c r="J47" i="52"/>
  <c r="K47" i="52"/>
  <c r="L47" i="52"/>
  <c r="M47" i="52"/>
  <c r="N47" i="52"/>
  <c r="O47" i="52"/>
  <c r="P47" i="52"/>
  <c r="R47" i="52"/>
  <c r="D48" i="52"/>
  <c r="E48" i="52"/>
  <c r="F48" i="52"/>
  <c r="G48" i="52"/>
  <c r="H48" i="52"/>
  <c r="I48" i="52"/>
  <c r="J48" i="52"/>
  <c r="K48" i="52"/>
  <c r="L48" i="52"/>
  <c r="M48" i="52"/>
  <c r="N48" i="52"/>
  <c r="O48" i="52"/>
  <c r="P48" i="52"/>
  <c r="R48" i="52"/>
  <c r="D49" i="52"/>
  <c r="E49" i="52"/>
  <c r="F49" i="52"/>
  <c r="G49" i="52"/>
  <c r="H49" i="52"/>
  <c r="I49" i="52"/>
  <c r="J49" i="52"/>
  <c r="K49" i="52"/>
  <c r="L49" i="52"/>
  <c r="M49" i="52"/>
  <c r="N49" i="52"/>
  <c r="O49" i="52"/>
  <c r="P49" i="52"/>
  <c r="R49" i="52"/>
  <c r="D50" i="52"/>
  <c r="E50" i="52"/>
  <c r="F50" i="52"/>
  <c r="G50" i="52"/>
  <c r="H50" i="52"/>
  <c r="I50" i="52"/>
  <c r="J50" i="52"/>
  <c r="K50" i="52"/>
  <c r="L50" i="52"/>
  <c r="M50" i="52"/>
  <c r="N50" i="52"/>
  <c r="O50" i="52"/>
  <c r="P50" i="52"/>
  <c r="R50" i="52"/>
  <c r="D51" i="52"/>
  <c r="E51" i="52"/>
  <c r="F51" i="52"/>
  <c r="G51" i="52"/>
  <c r="H51" i="52"/>
  <c r="I51" i="52"/>
  <c r="J51" i="52"/>
  <c r="K51" i="52"/>
  <c r="L51" i="52"/>
  <c r="M51" i="52"/>
  <c r="N51" i="52"/>
  <c r="O51" i="52"/>
  <c r="P51" i="52"/>
  <c r="R51" i="52"/>
  <c r="D52" i="52"/>
  <c r="E52" i="52"/>
  <c r="F52" i="52"/>
  <c r="G52" i="52"/>
  <c r="H52" i="52"/>
  <c r="I52" i="52"/>
  <c r="J52" i="52"/>
  <c r="K52" i="52"/>
  <c r="L52" i="52"/>
  <c r="M52" i="52"/>
  <c r="N52" i="52"/>
  <c r="O52" i="52"/>
  <c r="P52" i="52"/>
  <c r="R52" i="52"/>
  <c r="D53" i="52"/>
  <c r="E53" i="52"/>
  <c r="F53" i="52"/>
  <c r="G53" i="52"/>
  <c r="H53" i="52"/>
  <c r="I53" i="52"/>
  <c r="J53" i="52"/>
  <c r="K53" i="52"/>
  <c r="L53" i="52"/>
  <c r="M53" i="52"/>
  <c r="N53" i="52"/>
  <c r="O53" i="52"/>
  <c r="P53" i="52"/>
  <c r="R53" i="52"/>
  <c r="D54" i="52"/>
  <c r="E54" i="52"/>
  <c r="F54" i="52"/>
  <c r="G54" i="52"/>
  <c r="H54" i="52"/>
  <c r="I54" i="52"/>
  <c r="J54" i="52"/>
  <c r="K54" i="52"/>
  <c r="L54" i="52"/>
  <c r="M54" i="52"/>
  <c r="N54" i="52"/>
  <c r="O54" i="52"/>
  <c r="P54" i="52"/>
  <c r="R54" i="52"/>
  <c r="D55" i="52"/>
  <c r="E55" i="52"/>
  <c r="F55" i="52"/>
  <c r="G55" i="52"/>
  <c r="H55" i="52"/>
  <c r="I55" i="52"/>
  <c r="J55" i="52"/>
  <c r="K55" i="52"/>
  <c r="L55" i="52"/>
  <c r="M55" i="52"/>
  <c r="N55" i="52"/>
  <c r="O55" i="52"/>
  <c r="P55" i="52"/>
  <c r="R55" i="52"/>
  <c r="D56" i="52"/>
  <c r="E56" i="52"/>
  <c r="F56" i="52"/>
  <c r="G56" i="52"/>
  <c r="H56" i="52"/>
  <c r="I56" i="52"/>
  <c r="J56" i="52"/>
  <c r="K56" i="52"/>
  <c r="L56" i="52"/>
  <c r="M56" i="52"/>
  <c r="N56" i="52"/>
  <c r="O56" i="52"/>
  <c r="P56" i="52"/>
  <c r="R56" i="52"/>
  <c r="D57" i="52"/>
  <c r="E57" i="52"/>
  <c r="F57" i="52"/>
  <c r="G57" i="52"/>
  <c r="H57" i="52"/>
  <c r="I57" i="52"/>
  <c r="J57" i="52"/>
  <c r="K57" i="52"/>
  <c r="L57" i="52"/>
  <c r="M57" i="52"/>
  <c r="N57" i="52"/>
  <c r="O57" i="52"/>
  <c r="P57" i="52"/>
  <c r="R57" i="52"/>
  <c r="D58" i="52"/>
  <c r="E58" i="52"/>
  <c r="F58" i="52"/>
  <c r="G58" i="52"/>
  <c r="H58" i="52"/>
  <c r="I58" i="52"/>
  <c r="J58" i="52"/>
  <c r="K58" i="52"/>
  <c r="L58" i="52"/>
  <c r="M58" i="52"/>
  <c r="N58" i="52"/>
  <c r="O58" i="52"/>
  <c r="P58" i="52"/>
  <c r="R58" i="52"/>
  <c r="D59" i="52"/>
  <c r="E59" i="52"/>
  <c r="F59" i="52"/>
  <c r="G59" i="52"/>
  <c r="H59" i="52"/>
  <c r="I59" i="52"/>
  <c r="J59" i="52"/>
  <c r="K59" i="52"/>
  <c r="L59" i="52"/>
  <c r="M59" i="52"/>
  <c r="N59" i="52"/>
  <c r="O59" i="52"/>
  <c r="P59" i="52"/>
  <c r="R59" i="52"/>
  <c r="D60" i="52"/>
  <c r="E60" i="52"/>
  <c r="F60" i="52"/>
  <c r="G60" i="52"/>
  <c r="H60" i="52"/>
  <c r="I60" i="52"/>
  <c r="J60" i="52"/>
  <c r="K60" i="52"/>
  <c r="L60" i="52"/>
  <c r="M60" i="52"/>
  <c r="N60" i="52"/>
  <c r="O60" i="52"/>
  <c r="P60" i="52"/>
  <c r="R60" i="52"/>
  <c r="D61" i="52"/>
  <c r="E61" i="52"/>
  <c r="F61" i="52"/>
  <c r="G61" i="52"/>
  <c r="H61" i="52"/>
  <c r="I61" i="52"/>
  <c r="J61" i="52"/>
  <c r="K61" i="52"/>
  <c r="L61" i="52"/>
  <c r="M61" i="52"/>
  <c r="N61" i="52"/>
  <c r="O61" i="52"/>
  <c r="P61" i="52"/>
  <c r="R61" i="52"/>
  <c r="D62" i="52"/>
  <c r="E62" i="52"/>
  <c r="F62" i="52"/>
  <c r="G62" i="52"/>
  <c r="H62" i="52"/>
  <c r="I62" i="52"/>
  <c r="J62" i="52"/>
  <c r="K62" i="52"/>
  <c r="L62" i="52"/>
  <c r="M62" i="52"/>
  <c r="N62" i="52"/>
  <c r="O62" i="52"/>
  <c r="P62" i="52"/>
  <c r="R62" i="52"/>
  <c r="D63" i="52"/>
  <c r="E63" i="52"/>
  <c r="F63" i="52"/>
  <c r="G63" i="52"/>
  <c r="H63" i="52"/>
  <c r="I63" i="52"/>
  <c r="J63" i="52"/>
  <c r="K63" i="52"/>
  <c r="L63" i="52"/>
  <c r="M63" i="52"/>
  <c r="N63" i="52"/>
  <c r="O63" i="52"/>
  <c r="P63" i="52"/>
  <c r="R63" i="52"/>
  <c r="D64" i="52"/>
  <c r="E64" i="52"/>
  <c r="F64" i="52"/>
  <c r="G64" i="52"/>
  <c r="H64" i="52"/>
  <c r="I64" i="52"/>
  <c r="J64" i="52"/>
  <c r="K64" i="52"/>
  <c r="L64" i="52"/>
  <c r="M64" i="52"/>
  <c r="N64" i="52"/>
  <c r="O64" i="52"/>
  <c r="P64" i="52"/>
  <c r="R64" i="52"/>
  <c r="D65" i="52"/>
  <c r="E65" i="52"/>
  <c r="F65" i="52"/>
  <c r="G65" i="52"/>
  <c r="H65" i="52"/>
  <c r="I65" i="52"/>
  <c r="J65" i="52"/>
  <c r="K65" i="52"/>
  <c r="L65" i="52"/>
  <c r="M65" i="52"/>
  <c r="N65" i="52"/>
  <c r="O65" i="52"/>
  <c r="P65" i="52"/>
  <c r="R65" i="52"/>
  <c r="D66" i="52"/>
  <c r="E66" i="52"/>
  <c r="F66" i="52"/>
  <c r="G66" i="52"/>
  <c r="H66" i="52"/>
  <c r="I66" i="52"/>
  <c r="J66" i="52"/>
  <c r="K66" i="52"/>
  <c r="L66" i="52"/>
  <c r="M66" i="52"/>
  <c r="N66" i="52"/>
  <c r="O66" i="52"/>
  <c r="D69" i="52"/>
  <c r="E69" i="52"/>
  <c r="F69" i="52"/>
  <c r="G69" i="52"/>
  <c r="H69" i="52"/>
  <c r="I69" i="52"/>
  <c r="J69" i="52"/>
  <c r="K69" i="52"/>
  <c r="L69" i="52"/>
  <c r="M69" i="52"/>
  <c r="N69" i="52"/>
  <c r="O69" i="52"/>
  <c r="D71" i="52"/>
  <c r="E71" i="52"/>
  <c r="F71" i="52"/>
  <c r="G71" i="52"/>
  <c r="H71" i="52"/>
  <c r="I71" i="52"/>
  <c r="J71" i="52"/>
  <c r="K71" i="52"/>
  <c r="L71" i="52"/>
  <c r="M71" i="52"/>
  <c r="N71" i="52"/>
  <c r="O71" i="52"/>
  <c r="D72" i="52"/>
  <c r="E72" i="52"/>
  <c r="F72" i="52"/>
  <c r="G72" i="52"/>
  <c r="H72" i="52"/>
  <c r="I72" i="52"/>
  <c r="J72" i="52"/>
  <c r="K72" i="52"/>
  <c r="L72" i="52"/>
  <c r="M72" i="52"/>
  <c r="N72" i="52"/>
  <c r="O72" i="52"/>
  <c r="D73" i="52"/>
  <c r="E73" i="52"/>
  <c r="F73" i="52"/>
  <c r="G73" i="52"/>
  <c r="H73" i="52"/>
  <c r="I73" i="52"/>
  <c r="J73" i="52"/>
  <c r="K73" i="52"/>
  <c r="L73" i="52"/>
  <c r="M73" i="52"/>
  <c r="N73" i="52"/>
  <c r="O73" i="52"/>
  <c r="D75" i="52"/>
  <c r="E75" i="52"/>
  <c r="F75" i="52"/>
  <c r="G75" i="52"/>
  <c r="H75" i="52"/>
  <c r="I75" i="52"/>
  <c r="J75" i="52"/>
  <c r="K75" i="52"/>
  <c r="L75" i="52"/>
  <c r="M75" i="52"/>
  <c r="N75" i="52"/>
  <c r="O75" i="52"/>
  <c r="E78" i="52"/>
  <c r="E79" i="52"/>
  <c r="E80" i="52"/>
  <c r="E81" i="52"/>
  <c r="E82" i="52"/>
  <c r="E83" i="52"/>
  <c r="E84" i="52"/>
  <c r="E85" i="52"/>
  <c r="E86" i="52"/>
  <c r="E87" i="52"/>
  <c r="E88" i="52"/>
  <c r="E89" i="52"/>
  <c r="E90" i="52"/>
  <c r="E91" i="52"/>
  <c r="E92" i="52"/>
  <c r="E93" i="52"/>
  <c r="E94" i="52"/>
  <c r="E95" i="52"/>
  <c r="E96" i="52"/>
  <c r="E97" i="52"/>
  <c r="E98" i="52"/>
  <c r="E99" i="52"/>
  <c r="E100" i="52"/>
  <c r="P8" i="51"/>
  <c r="P9" i="51"/>
  <c r="P10" i="51"/>
  <c r="P11" i="51"/>
  <c r="P12" i="51"/>
  <c r="P13" i="51"/>
  <c r="D14" i="51"/>
  <c r="E14" i="51"/>
  <c r="F14" i="51"/>
  <c r="G14" i="51"/>
  <c r="H14" i="51"/>
  <c r="I14" i="51"/>
  <c r="J14" i="51"/>
  <c r="K14" i="51"/>
  <c r="L14" i="51"/>
  <c r="M14" i="51"/>
  <c r="N14" i="51"/>
  <c r="O14" i="51"/>
  <c r="P14" i="51"/>
  <c r="P16" i="51"/>
  <c r="P17" i="51"/>
  <c r="P18" i="51"/>
  <c r="P19" i="51"/>
  <c r="P20" i="51"/>
  <c r="D21" i="51"/>
  <c r="E21" i="51"/>
  <c r="F21" i="51"/>
  <c r="G21" i="51"/>
  <c r="H21" i="51"/>
  <c r="I21" i="51"/>
  <c r="J21" i="51"/>
  <c r="K21" i="51"/>
  <c r="L21" i="51"/>
  <c r="M21" i="51"/>
  <c r="N21" i="51"/>
  <c r="O21" i="51"/>
  <c r="P21" i="51"/>
  <c r="D22" i="51"/>
  <c r="E22" i="51"/>
  <c r="F22" i="51"/>
  <c r="G22" i="51"/>
  <c r="H22" i="51"/>
  <c r="I22" i="51"/>
  <c r="J22" i="51"/>
  <c r="K22" i="51"/>
  <c r="L22" i="51"/>
  <c r="M22" i="51"/>
  <c r="N22" i="51"/>
  <c r="O22" i="51"/>
  <c r="P22" i="51"/>
  <c r="D27" i="51"/>
  <c r="E27" i="51"/>
  <c r="F27" i="51"/>
  <c r="G27" i="51"/>
  <c r="H27" i="51"/>
  <c r="I27" i="51"/>
  <c r="J27" i="51"/>
  <c r="K27" i="51"/>
  <c r="L27" i="51"/>
  <c r="M27" i="51"/>
  <c r="N27" i="51"/>
  <c r="O27" i="51"/>
  <c r="P27" i="51"/>
  <c r="D28" i="51"/>
  <c r="E28" i="51"/>
  <c r="F28" i="51"/>
  <c r="G28" i="51"/>
  <c r="H28" i="51"/>
  <c r="I28" i="51"/>
  <c r="J28" i="51"/>
  <c r="K28" i="51"/>
  <c r="L28" i="51"/>
  <c r="M28" i="51"/>
  <c r="N28" i="51"/>
  <c r="O28" i="51"/>
  <c r="P28" i="51"/>
  <c r="D29" i="51"/>
  <c r="E29" i="51"/>
  <c r="F29" i="51"/>
  <c r="G29" i="51"/>
  <c r="H29" i="51"/>
  <c r="I29" i="51"/>
  <c r="J29" i="51"/>
  <c r="K29" i="51"/>
  <c r="L29" i="51"/>
  <c r="M29" i="51"/>
  <c r="N29" i="51"/>
  <c r="O29" i="51"/>
  <c r="P29" i="51"/>
  <c r="D30" i="51"/>
  <c r="E30" i="51"/>
  <c r="F30" i="51"/>
  <c r="G30" i="51"/>
  <c r="H30" i="51"/>
  <c r="I30" i="51"/>
  <c r="J30" i="51"/>
  <c r="K30" i="51"/>
  <c r="L30" i="51"/>
  <c r="M30" i="51"/>
  <c r="N30" i="51"/>
  <c r="O30" i="51"/>
  <c r="P30" i="51"/>
  <c r="P31" i="51"/>
  <c r="P32" i="51"/>
  <c r="D34" i="51"/>
  <c r="E34" i="51"/>
  <c r="F34" i="51"/>
  <c r="G34" i="51"/>
  <c r="H34" i="51"/>
  <c r="I34" i="51"/>
  <c r="J34" i="51"/>
  <c r="K34" i="51"/>
  <c r="L34" i="51"/>
  <c r="M34" i="51"/>
  <c r="N34" i="51"/>
  <c r="O34" i="51"/>
  <c r="P34" i="51"/>
  <c r="P35" i="51"/>
  <c r="P36" i="51"/>
  <c r="D37" i="51"/>
  <c r="E37" i="51"/>
  <c r="F37" i="51"/>
  <c r="G37" i="51"/>
  <c r="H37" i="51"/>
  <c r="I37" i="51"/>
  <c r="J37" i="51"/>
  <c r="K37" i="51"/>
  <c r="L37" i="51"/>
  <c r="M37" i="51"/>
  <c r="N37" i="51"/>
  <c r="O37" i="51"/>
  <c r="P37" i="51"/>
  <c r="P38" i="51"/>
  <c r="P39" i="51"/>
  <c r="D40" i="51"/>
  <c r="E40" i="51"/>
  <c r="F40" i="51"/>
  <c r="G40" i="51"/>
  <c r="H40" i="51"/>
  <c r="I40" i="51"/>
  <c r="J40" i="51"/>
  <c r="K40" i="51"/>
  <c r="L40" i="51"/>
  <c r="M40" i="51"/>
  <c r="N40" i="51"/>
  <c r="O40" i="51"/>
  <c r="P40" i="51"/>
  <c r="D41" i="51"/>
  <c r="E41" i="51"/>
  <c r="F41" i="51"/>
  <c r="G41" i="51"/>
  <c r="H41" i="51"/>
  <c r="I41" i="51"/>
  <c r="J41" i="51"/>
  <c r="K41" i="51"/>
  <c r="L41" i="51"/>
  <c r="M41" i="51"/>
  <c r="N41" i="51"/>
  <c r="O41" i="51"/>
  <c r="P41" i="51"/>
  <c r="D42" i="51"/>
  <c r="E42" i="51"/>
  <c r="F42" i="51"/>
  <c r="G42" i="51"/>
  <c r="H42" i="51"/>
  <c r="I42" i="51"/>
  <c r="J42" i="51"/>
  <c r="K42" i="51"/>
  <c r="L42" i="51"/>
  <c r="M42" i="51"/>
  <c r="N42" i="51"/>
  <c r="O42" i="51"/>
  <c r="P42" i="51"/>
  <c r="P43" i="51"/>
  <c r="P44" i="51"/>
  <c r="D45" i="51"/>
  <c r="E45" i="51"/>
  <c r="F45" i="51"/>
  <c r="G45" i="51"/>
  <c r="H45" i="51"/>
  <c r="I45" i="51"/>
  <c r="J45" i="51"/>
  <c r="K45" i="51"/>
  <c r="L45" i="51"/>
  <c r="M45" i="51"/>
  <c r="N45" i="51"/>
  <c r="O45" i="51"/>
  <c r="P45" i="51"/>
  <c r="N46" i="51"/>
  <c r="P46" i="51"/>
  <c r="N47" i="51"/>
  <c r="P47" i="51"/>
  <c r="N48" i="51"/>
  <c r="P48" i="51"/>
  <c r="N49" i="51"/>
  <c r="P49" i="51"/>
  <c r="N50" i="51"/>
  <c r="P50" i="51"/>
  <c r="N51" i="51"/>
  <c r="P51" i="51"/>
  <c r="N52" i="51"/>
  <c r="P52" i="51"/>
  <c r="N53" i="51"/>
  <c r="P53" i="51"/>
  <c r="N54" i="51"/>
  <c r="P54" i="51"/>
  <c r="Q54" i="51"/>
  <c r="D55" i="51"/>
  <c r="E55" i="51"/>
  <c r="F55" i="51"/>
  <c r="G55" i="51"/>
  <c r="H55" i="51"/>
  <c r="I55" i="51"/>
  <c r="J55" i="51"/>
  <c r="K55" i="51"/>
  <c r="L55" i="51"/>
  <c r="M55" i="51"/>
  <c r="N55" i="51"/>
  <c r="O55" i="51"/>
  <c r="P55" i="51"/>
  <c r="N56" i="51"/>
  <c r="P56" i="51"/>
  <c r="N57" i="51"/>
  <c r="P57" i="51"/>
  <c r="N58" i="51"/>
  <c r="P58" i="51"/>
  <c r="N59" i="51"/>
  <c r="P59" i="51"/>
  <c r="N60" i="51"/>
  <c r="P60" i="51"/>
  <c r="N61" i="51"/>
  <c r="P61" i="51"/>
  <c r="N62" i="51"/>
  <c r="P62" i="51"/>
  <c r="N63" i="51"/>
  <c r="P63" i="51"/>
  <c r="N64" i="51"/>
  <c r="P64" i="51"/>
  <c r="D65" i="51"/>
  <c r="E65" i="51"/>
  <c r="F65" i="51"/>
  <c r="G65" i="51"/>
  <c r="H65" i="51"/>
  <c r="I65" i="51"/>
  <c r="J65" i="51"/>
  <c r="K65" i="51"/>
  <c r="L65" i="51"/>
  <c r="M65" i="51"/>
  <c r="N65" i="51"/>
  <c r="O65" i="51"/>
  <c r="D70" i="51"/>
  <c r="E70" i="51"/>
  <c r="F70" i="51"/>
  <c r="G70" i="51"/>
  <c r="H70" i="51"/>
  <c r="I70" i="51"/>
  <c r="J70" i="51"/>
  <c r="K70" i="51"/>
  <c r="L70" i="51"/>
  <c r="M70" i="51"/>
  <c r="N70" i="51"/>
  <c r="O70" i="51"/>
  <c r="D71" i="51"/>
  <c r="E71" i="51"/>
  <c r="F71" i="51"/>
  <c r="G71" i="51"/>
  <c r="H71" i="51"/>
  <c r="I71" i="51"/>
  <c r="J71" i="51"/>
  <c r="K71" i="51"/>
  <c r="L71" i="51"/>
  <c r="M71" i="51"/>
  <c r="N71" i="51"/>
  <c r="O71" i="51"/>
  <c r="D72" i="51"/>
  <c r="E72" i="51"/>
  <c r="F72" i="51"/>
  <c r="G72" i="51"/>
  <c r="H72" i="51"/>
  <c r="I72" i="51"/>
  <c r="J72" i="51"/>
  <c r="K72" i="51"/>
  <c r="L72" i="51"/>
  <c r="M72" i="51"/>
  <c r="N72" i="51"/>
  <c r="O72" i="51"/>
  <c r="D74" i="51"/>
  <c r="E74" i="51"/>
  <c r="F74" i="51"/>
  <c r="G74" i="51"/>
  <c r="H74" i="51"/>
  <c r="I74" i="51"/>
  <c r="J74" i="51"/>
  <c r="K74" i="51"/>
  <c r="L74" i="51"/>
  <c r="M74" i="51"/>
  <c r="N74" i="51"/>
  <c r="O74" i="51"/>
  <c r="E77" i="51"/>
  <c r="E78" i="51"/>
  <c r="E79" i="51"/>
  <c r="E80" i="51"/>
  <c r="E81" i="51"/>
  <c r="E82" i="51"/>
  <c r="E83" i="51"/>
  <c r="E84" i="51"/>
  <c r="E85" i="51"/>
  <c r="E86" i="51"/>
  <c r="E87" i="51"/>
  <c r="E88" i="51"/>
  <c r="E89" i="51"/>
  <c r="E90" i="51"/>
  <c r="E91" i="51"/>
  <c r="E92" i="51"/>
  <c r="E93" i="51"/>
  <c r="E94" i="51"/>
  <c r="E95" i="51"/>
  <c r="E96" i="51"/>
  <c r="E97" i="51"/>
  <c r="E98" i="51"/>
  <c r="E99" i="51"/>
  <c r="D8" i="50"/>
  <c r="E8" i="50"/>
  <c r="F8" i="50"/>
  <c r="G8" i="50"/>
  <c r="H8" i="50"/>
  <c r="I8" i="50"/>
  <c r="J8" i="50"/>
  <c r="K8" i="50"/>
  <c r="L8" i="50"/>
  <c r="M8" i="50"/>
  <c r="N8" i="50"/>
  <c r="O8" i="50"/>
  <c r="P8" i="50"/>
  <c r="D9" i="50"/>
  <c r="E9" i="50"/>
  <c r="F9" i="50"/>
  <c r="G9" i="50"/>
  <c r="H9" i="50"/>
  <c r="I9" i="50"/>
  <c r="J9" i="50"/>
  <c r="K9" i="50"/>
  <c r="L9" i="50"/>
  <c r="M9" i="50"/>
  <c r="N9" i="50"/>
  <c r="O9" i="50"/>
  <c r="P9" i="50"/>
  <c r="D10" i="50"/>
  <c r="E10" i="50"/>
  <c r="F10" i="50"/>
  <c r="G10" i="50"/>
  <c r="H10" i="50"/>
  <c r="I10" i="50"/>
  <c r="J10" i="50"/>
  <c r="K10" i="50"/>
  <c r="L10" i="50"/>
  <c r="M10" i="50"/>
  <c r="N10" i="50"/>
  <c r="O10" i="50"/>
  <c r="P10" i="50"/>
  <c r="D11" i="50"/>
  <c r="E11" i="50"/>
  <c r="F11" i="50"/>
  <c r="G11" i="50"/>
  <c r="H11" i="50"/>
  <c r="I11" i="50"/>
  <c r="J11" i="50"/>
  <c r="K11" i="50"/>
  <c r="L11" i="50"/>
  <c r="M11" i="50"/>
  <c r="N11" i="50"/>
  <c r="O11" i="50"/>
  <c r="P11" i="50"/>
  <c r="D12" i="50"/>
  <c r="E12" i="50"/>
  <c r="F12" i="50"/>
  <c r="G12" i="50"/>
  <c r="H12" i="50"/>
  <c r="I12" i="50"/>
  <c r="J12" i="50"/>
  <c r="K12" i="50"/>
  <c r="L12" i="50"/>
  <c r="M12" i="50"/>
  <c r="N12" i="50"/>
  <c r="O12" i="50"/>
  <c r="P12" i="50"/>
  <c r="D13" i="50"/>
  <c r="E13" i="50"/>
  <c r="F13" i="50"/>
  <c r="G13" i="50"/>
  <c r="H13" i="50"/>
  <c r="I13" i="50"/>
  <c r="J13" i="50"/>
  <c r="K13" i="50"/>
  <c r="L13" i="50"/>
  <c r="M13" i="50"/>
  <c r="N13" i="50"/>
  <c r="O13" i="50"/>
  <c r="P13" i="50"/>
  <c r="D14" i="50"/>
  <c r="E14" i="50"/>
  <c r="F14" i="50"/>
  <c r="G14" i="50"/>
  <c r="H14" i="50"/>
  <c r="I14" i="50"/>
  <c r="J14" i="50"/>
  <c r="K14" i="50"/>
  <c r="L14" i="50"/>
  <c r="M14" i="50"/>
  <c r="N14" i="50"/>
  <c r="O14" i="50"/>
  <c r="P14" i="50"/>
  <c r="D16" i="50"/>
  <c r="E16" i="50"/>
  <c r="F16" i="50"/>
  <c r="G16" i="50"/>
  <c r="H16" i="50"/>
  <c r="I16" i="50"/>
  <c r="J16" i="50"/>
  <c r="K16" i="50"/>
  <c r="L16" i="50"/>
  <c r="M16" i="50"/>
  <c r="N16" i="50"/>
  <c r="O16" i="50"/>
  <c r="P16" i="50"/>
  <c r="D17" i="50"/>
  <c r="E17" i="50"/>
  <c r="F17" i="50"/>
  <c r="G17" i="50"/>
  <c r="H17" i="50"/>
  <c r="I17" i="50"/>
  <c r="J17" i="50"/>
  <c r="K17" i="50"/>
  <c r="L17" i="50"/>
  <c r="M17" i="50"/>
  <c r="N17" i="50"/>
  <c r="O17" i="50"/>
  <c r="P17" i="50"/>
  <c r="D18" i="50"/>
  <c r="E18" i="50"/>
  <c r="F18" i="50"/>
  <c r="G18" i="50"/>
  <c r="H18" i="50"/>
  <c r="I18" i="50"/>
  <c r="J18" i="50"/>
  <c r="K18" i="50"/>
  <c r="L18" i="50"/>
  <c r="M18" i="50"/>
  <c r="N18" i="50"/>
  <c r="O18" i="50"/>
  <c r="P18" i="50"/>
  <c r="D19" i="50"/>
  <c r="E19" i="50"/>
  <c r="F19" i="50"/>
  <c r="G19" i="50"/>
  <c r="H19" i="50"/>
  <c r="I19" i="50"/>
  <c r="J19" i="50"/>
  <c r="K19" i="50"/>
  <c r="L19" i="50"/>
  <c r="M19" i="50"/>
  <c r="N19" i="50"/>
  <c r="O19" i="50"/>
  <c r="P19" i="50"/>
  <c r="D20" i="50"/>
  <c r="E20" i="50"/>
  <c r="F20" i="50"/>
  <c r="G20" i="50"/>
  <c r="H20" i="50"/>
  <c r="I20" i="50"/>
  <c r="J20" i="50"/>
  <c r="K20" i="50"/>
  <c r="L20" i="50"/>
  <c r="M20" i="50"/>
  <c r="N20" i="50"/>
  <c r="O20" i="50"/>
  <c r="P20" i="50"/>
  <c r="D21" i="50"/>
  <c r="E21" i="50"/>
  <c r="F21" i="50"/>
  <c r="G21" i="50"/>
  <c r="H21" i="50"/>
  <c r="I21" i="50"/>
  <c r="J21" i="50"/>
  <c r="K21" i="50"/>
  <c r="L21" i="50"/>
  <c r="M21" i="50"/>
  <c r="N21" i="50"/>
  <c r="O21" i="50"/>
  <c r="P21" i="50"/>
  <c r="D22" i="50"/>
  <c r="E22" i="50"/>
  <c r="F22" i="50"/>
  <c r="G22" i="50"/>
  <c r="H22" i="50"/>
  <c r="I22" i="50"/>
  <c r="J22" i="50"/>
  <c r="K22" i="50"/>
  <c r="L22" i="50"/>
  <c r="M22" i="50"/>
  <c r="N22" i="50"/>
  <c r="O22" i="50"/>
  <c r="P22" i="50"/>
  <c r="D27" i="50"/>
  <c r="E27" i="50"/>
  <c r="F27" i="50"/>
  <c r="G27" i="50"/>
  <c r="H27" i="50"/>
  <c r="I27" i="50"/>
  <c r="J27" i="50"/>
  <c r="K27" i="50"/>
  <c r="L27" i="50"/>
  <c r="M27" i="50"/>
  <c r="N27" i="50"/>
  <c r="O27" i="50"/>
  <c r="P27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D29" i="50"/>
  <c r="E29" i="50"/>
  <c r="F29" i="50"/>
  <c r="G29" i="50"/>
  <c r="H29" i="50"/>
  <c r="I29" i="50"/>
  <c r="J29" i="50"/>
  <c r="K29" i="50"/>
  <c r="L29" i="50"/>
  <c r="M29" i="50"/>
  <c r="N29" i="50"/>
  <c r="O29" i="50"/>
  <c r="P29" i="50"/>
  <c r="D30" i="50"/>
  <c r="E30" i="50"/>
  <c r="F30" i="50"/>
  <c r="G30" i="50"/>
  <c r="H30" i="50"/>
  <c r="I30" i="50"/>
  <c r="J30" i="50"/>
  <c r="K30" i="50"/>
  <c r="L30" i="50"/>
  <c r="M30" i="50"/>
  <c r="N30" i="50"/>
  <c r="O30" i="50"/>
  <c r="P30" i="50"/>
  <c r="D31" i="50"/>
  <c r="E31" i="50"/>
  <c r="F31" i="50"/>
  <c r="G31" i="50"/>
  <c r="H31" i="50"/>
  <c r="I31" i="50"/>
  <c r="J31" i="50"/>
  <c r="K31" i="50"/>
  <c r="L31" i="50"/>
  <c r="M31" i="50"/>
  <c r="N31" i="50"/>
  <c r="O31" i="50"/>
  <c r="P31" i="50"/>
  <c r="D32" i="50"/>
  <c r="E32" i="50"/>
  <c r="F32" i="50"/>
  <c r="G32" i="50"/>
  <c r="H32" i="50"/>
  <c r="I32" i="50"/>
  <c r="J32" i="50"/>
  <c r="K32" i="50"/>
  <c r="L32" i="50"/>
  <c r="M32" i="50"/>
  <c r="N32" i="50"/>
  <c r="O32" i="50"/>
  <c r="P32" i="50"/>
  <c r="D33" i="50"/>
  <c r="E33" i="50"/>
  <c r="F33" i="50"/>
  <c r="G33" i="50"/>
  <c r="H33" i="50"/>
  <c r="I33" i="50"/>
  <c r="J33" i="50"/>
  <c r="K33" i="50"/>
  <c r="L33" i="50"/>
  <c r="M33" i="50"/>
  <c r="N33" i="50"/>
  <c r="O33" i="50"/>
  <c r="P33" i="50"/>
  <c r="D34" i="50"/>
  <c r="E34" i="50"/>
  <c r="F34" i="50"/>
  <c r="G34" i="50"/>
  <c r="H34" i="50"/>
  <c r="I34" i="50"/>
  <c r="J34" i="50"/>
  <c r="K34" i="50"/>
  <c r="L34" i="50"/>
  <c r="M34" i="50"/>
  <c r="N34" i="50"/>
  <c r="O34" i="50"/>
  <c r="P34" i="50"/>
  <c r="D35" i="50"/>
  <c r="E35" i="50"/>
  <c r="F35" i="50"/>
  <c r="G35" i="50"/>
  <c r="H35" i="50"/>
  <c r="I35" i="50"/>
  <c r="J35" i="50"/>
  <c r="K35" i="50"/>
  <c r="L35" i="50"/>
  <c r="M35" i="50"/>
  <c r="N35" i="50"/>
  <c r="O35" i="50"/>
  <c r="P35" i="50"/>
  <c r="D36" i="50"/>
  <c r="E36" i="50"/>
  <c r="F36" i="50"/>
  <c r="G36" i="50"/>
  <c r="H36" i="50"/>
  <c r="I36" i="50"/>
  <c r="J36" i="50"/>
  <c r="K36" i="50"/>
  <c r="L36" i="50"/>
  <c r="M36" i="50"/>
  <c r="N36" i="50"/>
  <c r="O36" i="50"/>
  <c r="P36" i="50"/>
  <c r="P37" i="50"/>
  <c r="P38" i="50"/>
  <c r="D39" i="50"/>
  <c r="E39" i="50"/>
  <c r="F39" i="50"/>
  <c r="G39" i="50"/>
  <c r="H39" i="50"/>
  <c r="I39" i="50"/>
  <c r="J39" i="50"/>
  <c r="K39" i="50"/>
  <c r="L39" i="50"/>
  <c r="M39" i="50"/>
  <c r="N39" i="50"/>
  <c r="O39" i="50"/>
  <c r="P39" i="50"/>
  <c r="D40" i="50"/>
  <c r="E40" i="50"/>
  <c r="F40" i="50"/>
  <c r="G40" i="50"/>
  <c r="H40" i="50"/>
  <c r="I40" i="50"/>
  <c r="J40" i="50"/>
  <c r="K40" i="50"/>
  <c r="L40" i="50"/>
  <c r="M40" i="50"/>
  <c r="N40" i="50"/>
  <c r="O40" i="50"/>
  <c r="P40" i="50"/>
  <c r="D41" i="50"/>
  <c r="E41" i="50"/>
  <c r="F41" i="50"/>
  <c r="G41" i="50"/>
  <c r="H41" i="50"/>
  <c r="I41" i="50"/>
  <c r="J41" i="50"/>
  <c r="K41" i="50"/>
  <c r="L41" i="50"/>
  <c r="M41" i="50"/>
  <c r="N41" i="50"/>
  <c r="O41" i="50"/>
  <c r="P41" i="50"/>
  <c r="D42" i="50"/>
  <c r="E42" i="50"/>
  <c r="F42" i="50"/>
  <c r="G42" i="50"/>
  <c r="H42" i="50"/>
  <c r="I42" i="50"/>
  <c r="J42" i="50"/>
  <c r="K42" i="50"/>
  <c r="L42" i="50"/>
  <c r="M42" i="50"/>
  <c r="N42" i="50"/>
  <c r="O42" i="50"/>
  <c r="P42" i="50"/>
  <c r="P43" i="50"/>
  <c r="D44" i="50"/>
  <c r="E44" i="50"/>
  <c r="F44" i="50"/>
  <c r="G44" i="50"/>
  <c r="H44" i="50"/>
  <c r="I44" i="50"/>
  <c r="J44" i="50"/>
  <c r="K44" i="50"/>
  <c r="L44" i="50"/>
  <c r="M44" i="50"/>
  <c r="N44" i="50"/>
  <c r="O44" i="50"/>
  <c r="P44" i="50"/>
  <c r="D45" i="50"/>
  <c r="E45" i="50"/>
  <c r="F45" i="50"/>
  <c r="G45" i="50"/>
  <c r="H45" i="50"/>
  <c r="I45" i="50"/>
  <c r="J45" i="50"/>
  <c r="K45" i="50"/>
  <c r="L45" i="50"/>
  <c r="M45" i="50"/>
  <c r="N45" i="50"/>
  <c r="O45" i="50"/>
  <c r="P45" i="50"/>
  <c r="S45" i="50"/>
  <c r="D46" i="50"/>
  <c r="E46" i="50"/>
  <c r="F46" i="50"/>
  <c r="G46" i="50"/>
  <c r="H46" i="50"/>
  <c r="I46" i="50"/>
  <c r="J46" i="50"/>
  <c r="K46" i="50"/>
  <c r="L46" i="50"/>
  <c r="M46" i="50"/>
  <c r="N46" i="50"/>
  <c r="O46" i="50"/>
  <c r="P46" i="50"/>
  <c r="S46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S47" i="50"/>
  <c r="D48" i="50"/>
  <c r="E48" i="50"/>
  <c r="F48" i="50"/>
  <c r="G48" i="50"/>
  <c r="H48" i="50"/>
  <c r="I48" i="50"/>
  <c r="J48" i="50"/>
  <c r="K48" i="50"/>
  <c r="L48" i="50"/>
  <c r="M48" i="50"/>
  <c r="N48" i="50"/>
  <c r="O48" i="50"/>
  <c r="P48" i="50"/>
  <c r="S48" i="50"/>
  <c r="D49" i="50"/>
  <c r="E49" i="50"/>
  <c r="F49" i="50"/>
  <c r="G49" i="50"/>
  <c r="H49" i="50"/>
  <c r="I49" i="50"/>
  <c r="J49" i="50"/>
  <c r="K49" i="50"/>
  <c r="L49" i="50"/>
  <c r="M49" i="50"/>
  <c r="N49" i="50"/>
  <c r="O49" i="50"/>
  <c r="P49" i="50"/>
  <c r="S49" i="50"/>
  <c r="D50" i="50"/>
  <c r="E50" i="50"/>
  <c r="F50" i="50"/>
  <c r="G50" i="50"/>
  <c r="H50" i="50"/>
  <c r="I50" i="50"/>
  <c r="J50" i="50"/>
  <c r="K50" i="50"/>
  <c r="L50" i="50"/>
  <c r="M50" i="50"/>
  <c r="N50" i="50"/>
  <c r="O50" i="50"/>
  <c r="P50" i="50"/>
  <c r="S50" i="50"/>
  <c r="D51" i="50"/>
  <c r="E51" i="50"/>
  <c r="F51" i="50"/>
  <c r="G51" i="50"/>
  <c r="H51" i="50"/>
  <c r="I51" i="50"/>
  <c r="J51" i="50"/>
  <c r="K51" i="50"/>
  <c r="L51" i="50"/>
  <c r="M51" i="50"/>
  <c r="N51" i="50"/>
  <c r="O51" i="50"/>
  <c r="P51" i="50"/>
  <c r="S51" i="50"/>
  <c r="D52" i="50"/>
  <c r="E52" i="50"/>
  <c r="F52" i="50"/>
  <c r="G52" i="50"/>
  <c r="H52" i="50"/>
  <c r="I52" i="50"/>
  <c r="J52" i="50"/>
  <c r="K52" i="50"/>
  <c r="L52" i="50"/>
  <c r="M52" i="50"/>
  <c r="N52" i="50"/>
  <c r="O52" i="50"/>
  <c r="P52" i="50"/>
  <c r="S52" i="50"/>
  <c r="D53" i="50"/>
  <c r="E53" i="50"/>
  <c r="F53" i="50"/>
  <c r="G53" i="50"/>
  <c r="H53" i="50"/>
  <c r="I53" i="50"/>
  <c r="J53" i="50"/>
  <c r="K53" i="50"/>
  <c r="L53" i="50"/>
  <c r="M53" i="50"/>
  <c r="N53" i="50"/>
  <c r="O53" i="50"/>
  <c r="P53" i="50"/>
  <c r="S53" i="50"/>
  <c r="D54" i="50"/>
  <c r="E54" i="50"/>
  <c r="F54" i="50"/>
  <c r="G54" i="50"/>
  <c r="H54" i="50"/>
  <c r="I54" i="50"/>
  <c r="J54" i="50"/>
  <c r="K54" i="50"/>
  <c r="L54" i="50"/>
  <c r="M54" i="50"/>
  <c r="N54" i="50"/>
  <c r="O54" i="50"/>
  <c r="P54" i="50"/>
  <c r="D55" i="50"/>
  <c r="E55" i="50"/>
  <c r="F55" i="50"/>
  <c r="G55" i="50"/>
  <c r="H55" i="50"/>
  <c r="I55" i="50"/>
  <c r="J55" i="50"/>
  <c r="K55" i="50"/>
  <c r="L55" i="50"/>
  <c r="M55" i="50"/>
  <c r="N55" i="50"/>
  <c r="O55" i="50"/>
  <c r="P55" i="50"/>
  <c r="D56" i="50"/>
  <c r="E56" i="50"/>
  <c r="F56" i="50"/>
  <c r="G56" i="50"/>
  <c r="H56" i="50"/>
  <c r="I56" i="50"/>
  <c r="J56" i="50"/>
  <c r="K56" i="50"/>
  <c r="L56" i="50"/>
  <c r="M56" i="50"/>
  <c r="N56" i="50"/>
  <c r="O56" i="50"/>
  <c r="P56" i="50"/>
  <c r="D57" i="50"/>
  <c r="E57" i="50"/>
  <c r="F57" i="50"/>
  <c r="G57" i="50"/>
  <c r="H57" i="50"/>
  <c r="I57" i="50"/>
  <c r="J57" i="50"/>
  <c r="K57" i="50"/>
  <c r="L57" i="50"/>
  <c r="M57" i="50"/>
  <c r="N57" i="50"/>
  <c r="O57" i="50"/>
  <c r="P57" i="50"/>
  <c r="D58" i="50"/>
  <c r="E58" i="50"/>
  <c r="F58" i="50"/>
  <c r="G58" i="50"/>
  <c r="H58" i="50"/>
  <c r="I58" i="50"/>
  <c r="J58" i="50"/>
  <c r="K58" i="50"/>
  <c r="L58" i="50"/>
  <c r="M58" i="50"/>
  <c r="N58" i="50"/>
  <c r="O58" i="50"/>
  <c r="P58" i="50"/>
  <c r="D59" i="50"/>
  <c r="E59" i="50"/>
  <c r="F59" i="50"/>
  <c r="G59" i="50"/>
  <c r="H59" i="50"/>
  <c r="I59" i="50"/>
  <c r="J59" i="50"/>
  <c r="K59" i="50"/>
  <c r="L59" i="50"/>
  <c r="M59" i="50"/>
  <c r="N59" i="50"/>
  <c r="O59" i="50"/>
  <c r="P59" i="50"/>
  <c r="D60" i="50"/>
  <c r="E60" i="50"/>
  <c r="F60" i="50"/>
  <c r="G60" i="50"/>
  <c r="H60" i="50"/>
  <c r="I60" i="50"/>
  <c r="J60" i="50"/>
  <c r="K60" i="50"/>
  <c r="L60" i="50"/>
  <c r="M60" i="50"/>
  <c r="N60" i="50"/>
  <c r="O60" i="50"/>
  <c r="P60" i="50"/>
  <c r="D61" i="50"/>
  <c r="E61" i="50"/>
  <c r="F61" i="50"/>
  <c r="G61" i="50"/>
  <c r="H61" i="50"/>
  <c r="I61" i="50"/>
  <c r="J61" i="50"/>
  <c r="K61" i="50"/>
  <c r="L61" i="50"/>
  <c r="M61" i="50"/>
  <c r="N61" i="50"/>
  <c r="O61" i="50"/>
  <c r="P61" i="50"/>
  <c r="D62" i="50"/>
  <c r="E62" i="50"/>
  <c r="F62" i="50"/>
  <c r="G62" i="50"/>
  <c r="H62" i="50"/>
  <c r="I62" i="50"/>
  <c r="J62" i="50"/>
  <c r="K62" i="50"/>
  <c r="L62" i="50"/>
  <c r="M62" i="50"/>
  <c r="N62" i="50"/>
  <c r="O62" i="50"/>
  <c r="P62" i="50"/>
  <c r="D63" i="50"/>
  <c r="E63" i="50"/>
  <c r="F63" i="50"/>
  <c r="G63" i="50"/>
  <c r="H63" i="50"/>
  <c r="I63" i="50"/>
  <c r="J63" i="50"/>
  <c r="K63" i="50"/>
  <c r="L63" i="50"/>
  <c r="M63" i="50"/>
  <c r="N63" i="50"/>
  <c r="O63" i="50"/>
  <c r="P63" i="50"/>
  <c r="D64" i="50"/>
  <c r="E64" i="50"/>
  <c r="F64" i="50"/>
  <c r="G64" i="50"/>
  <c r="H64" i="50"/>
  <c r="I64" i="50"/>
  <c r="J64" i="50"/>
  <c r="K64" i="50"/>
  <c r="L64" i="50"/>
  <c r="M64" i="50"/>
  <c r="N64" i="50"/>
  <c r="O64" i="50"/>
  <c r="P64" i="50"/>
  <c r="P65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D69" i="50"/>
  <c r="E69" i="50"/>
  <c r="F69" i="50"/>
  <c r="G69" i="50"/>
  <c r="H69" i="50"/>
  <c r="I69" i="50"/>
  <c r="J69" i="50"/>
  <c r="K69" i="50"/>
  <c r="L69" i="50"/>
  <c r="M69" i="50"/>
  <c r="N69" i="50"/>
  <c r="O69" i="50"/>
  <c r="D71" i="50"/>
  <c r="E71" i="50"/>
  <c r="F71" i="50"/>
  <c r="G71" i="50"/>
  <c r="H71" i="50"/>
  <c r="I71" i="50"/>
  <c r="J71" i="50"/>
  <c r="K71" i="50"/>
  <c r="L71" i="50"/>
  <c r="M71" i="50"/>
  <c r="N71" i="50"/>
  <c r="O71" i="50"/>
  <c r="D72" i="50"/>
  <c r="E72" i="50"/>
  <c r="F72" i="50"/>
  <c r="G72" i="50"/>
  <c r="H72" i="50"/>
  <c r="I72" i="50"/>
  <c r="J72" i="50"/>
  <c r="K72" i="50"/>
  <c r="L72" i="50"/>
  <c r="M72" i="50"/>
  <c r="N72" i="50"/>
  <c r="O72" i="50"/>
  <c r="D73" i="50"/>
  <c r="E73" i="50"/>
  <c r="F73" i="50"/>
  <c r="G73" i="50"/>
  <c r="H73" i="50"/>
  <c r="I73" i="50"/>
  <c r="J73" i="50"/>
  <c r="K73" i="50"/>
  <c r="L73" i="50"/>
  <c r="M73" i="50"/>
  <c r="N73" i="50"/>
  <c r="O73" i="50"/>
  <c r="D75" i="50"/>
  <c r="E75" i="50"/>
  <c r="F75" i="50"/>
  <c r="G75" i="50"/>
  <c r="H75" i="50"/>
  <c r="I75" i="50"/>
  <c r="J75" i="50"/>
  <c r="K75" i="50"/>
  <c r="L75" i="50"/>
  <c r="M75" i="50"/>
  <c r="N75" i="50"/>
  <c r="O75" i="50"/>
  <c r="D78" i="50"/>
  <c r="E78" i="50"/>
  <c r="F78" i="50"/>
  <c r="G78" i="50"/>
  <c r="H78" i="50"/>
  <c r="I78" i="50"/>
  <c r="J78" i="50"/>
  <c r="K78" i="50"/>
  <c r="L78" i="50"/>
  <c r="M78" i="50"/>
  <c r="N78" i="50"/>
  <c r="O78" i="50"/>
  <c r="P78" i="50"/>
  <c r="D80" i="50"/>
  <c r="E80" i="50"/>
  <c r="F80" i="50"/>
  <c r="G80" i="50"/>
  <c r="H80" i="50"/>
  <c r="I80" i="50"/>
  <c r="J80" i="50"/>
  <c r="K80" i="50"/>
  <c r="L80" i="50"/>
  <c r="M80" i="50"/>
  <c r="N80" i="50"/>
  <c r="O80" i="50"/>
  <c r="P80" i="50"/>
  <c r="D8" i="49"/>
  <c r="E8" i="49"/>
  <c r="F8" i="49"/>
  <c r="G8" i="49"/>
  <c r="H8" i="49"/>
  <c r="I8" i="49"/>
  <c r="J8" i="49"/>
  <c r="K8" i="49"/>
  <c r="L8" i="49"/>
  <c r="M8" i="49"/>
  <c r="N8" i="49"/>
  <c r="O8" i="49"/>
  <c r="P8" i="49"/>
  <c r="D9" i="49"/>
  <c r="E9" i="49"/>
  <c r="F9" i="49"/>
  <c r="G9" i="49"/>
  <c r="H9" i="49"/>
  <c r="I9" i="49"/>
  <c r="J9" i="49"/>
  <c r="K9" i="49"/>
  <c r="L9" i="49"/>
  <c r="M9" i="49"/>
  <c r="N9" i="49"/>
  <c r="O9" i="49"/>
  <c r="P9" i="49"/>
  <c r="D10" i="49"/>
  <c r="E10" i="49"/>
  <c r="F10" i="49"/>
  <c r="G10" i="49"/>
  <c r="H10" i="49"/>
  <c r="I10" i="49"/>
  <c r="J10" i="49"/>
  <c r="K10" i="49"/>
  <c r="L10" i="49"/>
  <c r="M10" i="49"/>
  <c r="N10" i="49"/>
  <c r="O10" i="49"/>
  <c r="P10" i="49"/>
  <c r="D11" i="49"/>
  <c r="E11" i="49"/>
  <c r="F11" i="49"/>
  <c r="G11" i="49"/>
  <c r="H11" i="49"/>
  <c r="I11" i="49"/>
  <c r="J11" i="49"/>
  <c r="K11" i="49"/>
  <c r="L11" i="49"/>
  <c r="M11" i="49"/>
  <c r="N11" i="49"/>
  <c r="O11" i="49"/>
  <c r="P11" i="49"/>
  <c r="D12" i="49"/>
  <c r="E12" i="49"/>
  <c r="F12" i="49"/>
  <c r="G12" i="49"/>
  <c r="H12" i="49"/>
  <c r="I12" i="49"/>
  <c r="J12" i="49"/>
  <c r="K12" i="49"/>
  <c r="L12" i="49"/>
  <c r="M12" i="49"/>
  <c r="N12" i="49"/>
  <c r="O12" i="49"/>
  <c r="P12" i="49"/>
  <c r="D13" i="49"/>
  <c r="E13" i="49"/>
  <c r="F13" i="49"/>
  <c r="G13" i="49"/>
  <c r="H13" i="49"/>
  <c r="I13" i="49"/>
  <c r="J13" i="49"/>
  <c r="K13" i="49"/>
  <c r="L13" i="49"/>
  <c r="M13" i="49"/>
  <c r="N13" i="49"/>
  <c r="O13" i="49"/>
  <c r="P13" i="49"/>
  <c r="D14" i="49"/>
  <c r="E14" i="49"/>
  <c r="F14" i="49"/>
  <c r="G14" i="49"/>
  <c r="H14" i="49"/>
  <c r="I14" i="49"/>
  <c r="J14" i="49"/>
  <c r="K14" i="49"/>
  <c r="L14" i="49"/>
  <c r="M14" i="49"/>
  <c r="N14" i="49"/>
  <c r="O14" i="49"/>
  <c r="P14" i="49"/>
  <c r="D16" i="49"/>
  <c r="E16" i="49"/>
  <c r="F16" i="49"/>
  <c r="G16" i="49"/>
  <c r="H16" i="49"/>
  <c r="I16" i="49"/>
  <c r="J16" i="49"/>
  <c r="K16" i="49"/>
  <c r="L16" i="49"/>
  <c r="M16" i="49"/>
  <c r="N16" i="49"/>
  <c r="O16" i="49"/>
  <c r="P16" i="49"/>
  <c r="D17" i="49"/>
  <c r="E17" i="49"/>
  <c r="F17" i="49"/>
  <c r="G17" i="49"/>
  <c r="H17" i="49"/>
  <c r="I17" i="49"/>
  <c r="J17" i="49"/>
  <c r="K17" i="49"/>
  <c r="L17" i="49"/>
  <c r="M17" i="49"/>
  <c r="N17" i="49"/>
  <c r="O17" i="49"/>
  <c r="P17" i="49"/>
  <c r="D18" i="49"/>
  <c r="E18" i="49"/>
  <c r="F18" i="49"/>
  <c r="G18" i="49"/>
  <c r="H18" i="49"/>
  <c r="I18" i="49"/>
  <c r="J18" i="49"/>
  <c r="K18" i="49"/>
  <c r="L18" i="49"/>
  <c r="M18" i="49"/>
  <c r="N18" i="49"/>
  <c r="O18" i="49"/>
  <c r="P18" i="49"/>
  <c r="D19" i="49"/>
  <c r="E19" i="49"/>
  <c r="F19" i="49"/>
  <c r="G19" i="49"/>
  <c r="H19" i="49"/>
  <c r="I19" i="49"/>
  <c r="J19" i="49"/>
  <c r="K19" i="49"/>
  <c r="L19" i="49"/>
  <c r="M19" i="49"/>
  <c r="N19" i="49"/>
  <c r="O19" i="49"/>
  <c r="P19" i="49"/>
  <c r="D20" i="49"/>
  <c r="E20" i="49"/>
  <c r="F20" i="49"/>
  <c r="G20" i="49"/>
  <c r="H20" i="49"/>
  <c r="I20" i="49"/>
  <c r="J20" i="49"/>
  <c r="K20" i="49"/>
  <c r="L20" i="49"/>
  <c r="M20" i="49"/>
  <c r="N20" i="49"/>
  <c r="O20" i="49"/>
  <c r="P20" i="49"/>
  <c r="D21" i="49"/>
  <c r="E21" i="49"/>
  <c r="F21" i="49"/>
  <c r="G21" i="49"/>
  <c r="H21" i="49"/>
  <c r="I21" i="49"/>
  <c r="J21" i="49"/>
  <c r="K21" i="49"/>
  <c r="L21" i="49"/>
  <c r="M21" i="49"/>
  <c r="N21" i="49"/>
  <c r="O21" i="49"/>
  <c r="P21" i="49"/>
  <c r="D22" i="49"/>
  <c r="E22" i="49"/>
  <c r="F22" i="49"/>
  <c r="G22" i="49"/>
  <c r="H22" i="49"/>
  <c r="I22" i="49"/>
  <c r="J22" i="49"/>
  <c r="K22" i="49"/>
  <c r="L22" i="49"/>
  <c r="M22" i="49"/>
  <c r="N22" i="49"/>
  <c r="O22" i="49"/>
  <c r="P22" i="49"/>
  <c r="D27" i="49"/>
  <c r="E27" i="49"/>
  <c r="F27" i="49"/>
  <c r="G27" i="49"/>
  <c r="H27" i="49"/>
  <c r="I27" i="49"/>
  <c r="J27" i="49"/>
  <c r="K27" i="49"/>
  <c r="L27" i="49"/>
  <c r="M27" i="49"/>
  <c r="N27" i="49"/>
  <c r="O27" i="49"/>
  <c r="P27" i="49"/>
  <c r="D28" i="49"/>
  <c r="E28" i="49"/>
  <c r="F28" i="49"/>
  <c r="G28" i="49"/>
  <c r="H28" i="49"/>
  <c r="I28" i="49"/>
  <c r="J28" i="49"/>
  <c r="K28" i="49"/>
  <c r="L28" i="49"/>
  <c r="M28" i="49"/>
  <c r="N28" i="49"/>
  <c r="O28" i="49"/>
  <c r="P28" i="49"/>
  <c r="D29" i="49"/>
  <c r="E29" i="49"/>
  <c r="F29" i="49"/>
  <c r="G29" i="49"/>
  <c r="H29" i="49"/>
  <c r="I29" i="49"/>
  <c r="J29" i="49"/>
  <c r="K29" i="49"/>
  <c r="L29" i="49"/>
  <c r="M29" i="49"/>
  <c r="N29" i="49"/>
  <c r="O29" i="49"/>
  <c r="P29" i="49"/>
  <c r="D30" i="49"/>
  <c r="E30" i="49"/>
  <c r="F30" i="49"/>
  <c r="G30" i="49"/>
  <c r="H30" i="49"/>
  <c r="I30" i="49"/>
  <c r="J30" i="49"/>
  <c r="K30" i="49"/>
  <c r="L30" i="49"/>
  <c r="M30" i="49"/>
  <c r="N30" i="49"/>
  <c r="O30" i="49"/>
  <c r="P30" i="49"/>
  <c r="D31" i="49"/>
  <c r="E31" i="49"/>
  <c r="F31" i="49"/>
  <c r="G31" i="49"/>
  <c r="H31" i="49"/>
  <c r="I31" i="49"/>
  <c r="J31" i="49"/>
  <c r="K31" i="49"/>
  <c r="L31" i="49"/>
  <c r="M31" i="49"/>
  <c r="N31" i="49"/>
  <c r="O31" i="49"/>
  <c r="P31" i="49"/>
  <c r="D32" i="49"/>
  <c r="E32" i="49"/>
  <c r="F32" i="49"/>
  <c r="G32" i="49"/>
  <c r="H32" i="49"/>
  <c r="I32" i="49"/>
  <c r="J32" i="49"/>
  <c r="K32" i="49"/>
  <c r="L32" i="49"/>
  <c r="M32" i="49"/>
  <c r="N32" i="49"/>
  <c r="O32" i="49"/>
  <c r="P32" i="49"/>
  <c r="D33" i="49"/>
  <c r="E33" i="49"/>
  <c r="F33" i="49"/>
  <c r="G33" i="49"/>
  <c r="H33" i="49"/>
  <c r="I33" i="49"/>
  <c r="J33" i="49"/>
  <c r="K33" i="49"/>
  <c r="L33" i="49"/>
  <c r="M33" i="49"/>
  <c r="N33" i="49"/>
  <c r="O33" i="49"/>
  <c r="P33" i="49"/>
  <c r="P34" i="49"/>
  <c r="P35" i="49"/>
  <c r="D36" i="49"/>
  <c r="E36" i="49"/>
  <c r="F36" i="49"/>
  <c r="G36" i="49"/>
  <c r="H36" i="49"/>
  <c r="I36" i="49"/>
  <c r="J36" i="49"/>
  <c r="K36" i="49"/>
  <c r="L36" i="49"/>
  <c r="M36" i="49"/>
  <c r="N36" i="49"/>
  <c r="O36" i="49"/>
  <c r="P36" i="49"/>
  <c r="P37" i="49"/>
  <c r="P38" i="49"/>
  <c r="D39" i="49"/>
  <c r="E39" i="49"/>
  <c r="F39" i="49"/>
  <c r="G39" i="49"/>
  <c r="H39" i="49"/>
  <c r="I39" i="49"/>
  <c r="J39" i="49"/>
  <c r="K39" i="49"/>
  <c r="L39" i="49"/>
  <c r="M39" i="49"/>
  <c r="N39" i="49"/>
  <c r="O39" i="49"/>
  <c r="P39" i="49"/>
  <c r="D40" i="49"/>
  <c r="E40" i="49"/>
  <c r="F40" i="49"/>
  <c r="G40" i="49"/>
  <c r="H40" i="49"/>
  <c r="I40" i="49"/>
  <c r="J40" i="49"/>
  <c r="K40" i="49"/>
  <c r="L40" i="49"/>
  <c r="M40" i="49"/>
  <c r="N40" i="49"/>
  <c r="O40" i="49"/>
  <c r="P40" i="49"/>
  <c r="D41" i="49"/>
  <c r="E41" i="49"/>
  <c r="F41" i="49"/>
  <c r="G41" i="49"/>
  <c r="H41" i="49"/>
  <c r="I41" i="49"/>
  <c r="J41" i="49"/>
  <c r="K41" i="49"/>
  <c r="L41" i="49"/>
  <c r="M41" i="49"/>
  <c r="N41" i="49"/>
  <c r="O41" i="49"/>
  <c r="P41" i="49"/>
  <c r="P42" i="49"/>
  <c r="P43" i="49"/>
  <c r="D44" i="49"/>
  <c r="E44" i="49"/>
  <c r="F44" i="49"/>
  <c r="G44" i="49"/>
  <c r="H44" i="49"/>
  <c r="I44" i="49"/>
  <c r="J44" i="49"/>
  <c r="K44" i="49"/>
  <c r="L44" i="49"/>
  <c r="M44" i="49"/>
  <c r="N44" i="49"/>
  <c r="O44" i="49"/>
  <c r="P44" i="49"/>
  <c r="Q44" i="49"/>
  <c r="R44" i="49"/>
  <c r="D45" i="49"/>
  <c r="E45" i="49"/>
  <c r="F45" i="49"/>
  <c r="G45" i="49"/>
  <c r="H45" i="49"/>
  <c r="I45" i="49"/>
  <c r="J45" i="49"/>
  <c r="K45" i="49"/>
  <c r="L45" i="49"/>
  <c r="M45" i="49"/>
  <c r="N45" i="49"/>
  <c r="O45" i="49"/>
  <c r="P45" i="49"/>
  <c r="D46" i="49"/>
  <c r="E46" i="49"/>
  <c r="F46" i="49"/>
  <c r="G46" i="49"/>
  <c r="H46" i="49"/>
  <c r="I46" i="49"/>
  <c r="J46" i="49"/>
  <c r="K46" i="49"/>
  <c r="L46" i="49"/>
  <c r="M46" i="49"/>
  <c r="N46" i="49"/>
  <c r="O46" i="49"/>
  <c r="P46" i="49"/>
  <c r="D47" i="49"/>
  <c r="E47" i="49"/>
  <c r="F47" i="49"/>
  <c r="G47" i="49"/>
  <c r="H47" i="49"/>
  <c r="I47" i="49"/>
  <c r="J47" i="49"/>
  <c r="K47" i="49"/>
  <c r="L47" i="49"/>
  <c r="M47" i="49"/>
  <c r="N47" i="49"/>
  <c r="O47" i="49"/>
  <c r="P47" i="49"/>
  <c r="D48" i="49"/>
  <c r="E48" i="49"/>
  <c r="F48" i="49"/>
  <c r="G48" i="49"/>
  <c r="H48" i="49"/>
  <c r="I48" i="49"/>
  <c r="J48" i="49"/>
  <c r="K48" i="49"/>
  <c r="L48" i="49"/>
  <c r="M48" i="49"/>
  <c r="N48" i="49"/>
  <c r="O48" i="49"/>
  <c r="P48" i="49"/>
  <c r="D49" i="49"/>
  <c r="E49" i="49"/>
  <c r="F49" i="49"/>
  <c r="G49" i="49"/>
  <c r="H49" i="49"/>
  <c r="I49" i="49"/>
  <c r="J49" i="49"/>
  <c r="K49" i="49"/>
  <c r="L49" i="49"/>
  <c r="M49" i="49"/>
  <c r="N49" i="49"/>
  <c r="O49" i="49"/>
  <c r="P49" i="49"/>
  <c r="D50" i="49"/>
  <c r="E50" i="49"/>
  <c r="F50" i="49"/>
  <c r="G50" i="49"/>
  <c r="H50" i="49"/>
  <c r="I50" i="49"/>
  <c r="J50" i="49"/>
  <c r="K50" i="49"/>
  <c r="L50" i="49"/>
  <c r="M50" i="49"/>
  <c r="N50" i="49"/>
  <c r="O50" i="49"/>
  <c r="P50" i="49"/>
  <c r="D51" i="49"/>
  <c r="E51" i="49"/>
  <c r="F51" i="49"/>
  <c r="G51" i="49"/>
  <c r="H51" i="49"/>
  <c r="I51" i="49"/>
  <c r="J51" i="49"/>
  <c r="K51" i="49"/>
  <c r="L51" i="49"/>
  <c r="M51" i="49"/>
  <c r="N51" i="49"/>
  <c r="O51" i="49"/>
  <c r="P51" i="49"/>
  <c r="D52" i="49"/>
  <c r="E52" i="49"/>
  <c r="F52" i="49"/>
  <c r="G52" i="49"/>
  <c r="H52" i="49"/>
  <c r="I52" i="49"/>
  <c r="J52" i="49"/>
  <c r="K52" i="49"/>
  <c r="L52" i="49"/>
  <c r="M52" i="49"/>
  <c r="N52" i="49"/>
  <c r="O52" i="49"/>
  <c r="P52" i="49"/>
  <c r="D53" i="49"/>
  <c r="E53" i="49"/>
  <c r="F53" i="49"/>
  <c r="G53" i="49"/>
  <c r="H53" i="49"/>
  <c r="I53" i="49"/>
  <c r="J53" i="49"/>
  <c r="K53" i="49"/>
  <c r="L53" i="49"/>
  <c r="M53" i="49"/>
  <c r="N53" i="49"/>
  <c r="O53" i="49"/>
  <c r="P53" i="49"/>
  <c r="D54" i="49"/>
  <c r="E54" i="49"/>
  <c r="F54" i="49"/>
  <c r="G54" i="49"/>
  <c r="H54" i="49"/>
  <c r="I54" i="49"/>
  <c r="J54" i="49"/>
  <c r="K54" i="49"/>
  <c r="L54" i="49"/>
  <c r="M54" i="49"/>
  <c r="N54" i="49"/>
  <c r="O54" i="49"/>
  <c r="P54" i="49"/>
  <c r="D55" i="49"/>
  <c r="E55" i="49"/>
  <c r="F55" i="49"/>
  <c r="G55" i="49"/>
  <c r="H55" i="49"/>
  <c r="I55" i="49"/>
  <c r="J55" i="49"/>
  <c r="K55" i="49"/>
  <c r="L55" i="49"/>
  <c r="M55" i="49"/>
  <c r="N55" i="49"/>
  <c r="O55" i="49"/>
  <c r="P55" i="49"/>
  <c r="D56" i="49"/>
  <c r="E56" i="49"/>
  <c r="F56" i="49"/>
  <c r="G56" i="49"/>
  <c r="H56" i="49"/>
  <c r="I56" i="49"/>
  <c r="J56" i="49"/>
  <c r="K56" i="49"/>
  <c r="L56" i="49"/>
  <c r="M56" i="49"/>
  <c r="N56" i="49"/>
  <c r="O56" i="49"/>
  <c r="P56" i="49"/>
  <c r="D57" i="49"/>
  <c r="E57" i="49"/>
  <c r="F57" i="49"/>
  <c r="G57" i="49"/>
  <c r="H57" i="49"/>
  <c r="I57" i="49"/>
  <c r="J57" i="49"/>
  <c r="K57" i="49"/>
  <c r="L57" i="49"/>
  <c r="M57" i="49"/>
  <c r="N57" i="49"/>
  <c r="O57" i="49"/>
  <c r="P57" i="49"/>
  <c r="D58" i="49"/>
  <c r="E58" i="49"/>
  <c r="F58" i="49"/>
  <c r="G58" i="49"/>
  <c r="H58" i="49"/>
  <c r="I58" i="49"/>
  <c r="J58" i="49"/>
  <c r="K58" i="49"/>
  <c r="L58" i="49"/>
  <c r="M58" i="49"/>
  <c r="N58" i="49"/>
  <c r="O58" i="49"/>
  <c r="P58" i="49"/>
  <c r="D59" i="49"/>
  <c r="E59" i="49"/>
  <c r="F59" i="49"/>
  <c r="G59" i="49"/>
  <c r="H59" i="49"/>
  <c r="I59" i="49"/>
  <c r="J59" i="49"/>
  <c r="K59" i="49"/>
  <c r="L59" i="49"/>
  <c r="M59" i="49"/>
  <c r="N59" i="49"/>
  <c r="O59" i="49"/>
  <c r="P59" i="49"/>
  <c r="D60" i="49"/>
  <c r="E60" i="49"/>
  <c r="F60" i="49"/>
  <c r="G60" i="49"/>
  <c r="H60" i="49"/>
  <c r="I60" i="49"/>
  <c r="J60" i="49"/>
  <c r="K60" i="49"/>
  <c r="L60" i="49"/>
  <c r="M60" i="49"/>
  <c r="N60" i="49"/>
  <c r="O60" i="49"/>
  <c r="P60" i="49"/>
  <c r="D61" i="49"/>
  <c r="E61" i="49"/>
  <c r="F61" i="49"/>
  <c r="G61" i="49"/>
  <c r="H61" i="49"/>
  <c r="I61" i="49"/>
  <c r="J61" i="49"/>
  <c r="K61" i="49"/>
  <c r="L61" i="49"/>
  <c r="M61" i="49"/>
  <c r="N61" i="49"/>
  <c r="O61" i="49"/>
  <c r="P61" i="49"/>
  <c r="D62" i="49"/>
  <c r="E62" i="49"/>
  <c r="F62" i="49"/>
  <c r="G62" i="49"/>
  <c r="H62" i="49"/>
  <c r="I62" i="49"/>
  <c r="J62" i="49"/>
  <c r="K62" i="49"/>
  <c r="L62" i="49"/>
  <c r="M62" i="49"/>
  <c r="N62" i="49"/>
  <c r="O62" i="49"/>
  <c r="P62" i="49"/>
  <c r="D63" i="49"/>
  <c r="E63" i="49"/>
  <c r="F63" i="49"/>
  <c r="G63" i="49"/>
  <c r="H63" i="49"/>
  <c r="I63" i="49"/>
  <c r="J63" i="49"/>
  <c r="K63" i="49"/>
  <c r="L63" i="49"/>
  <c r="M63" i="49"/>
  <c r="N63" i="49"/>
  <c r="O63" i="49"/>
  <c r="P63" i="49"/>
  <c r="D64" i="49"/>
  <c r="E64" i="49"/>
  <c r="F64" i="49"/>
  <c r="G64" i="49"/>
  <c r="H64" i="49"/>
  <c r="I64" i="49"/>
  <c r="J64" i="49"/>
  <c r="K64" i="49"/>
  <c r="L64" i="49"/>
  <c r="M64" i="49"/>
  <c r="N64" i="49"/>
  <c r="O64" i="49"/>
  <c r="P64" i="49"/>
  <c r="P65" i="49"/>
  <c r="D66" i="49"/>
  <c r="E66" i="49"/>
  <c r="F66" i="49"/>
  <c r="G66" i="49"/>
  <c r="H66" i="49"/>
  <c r="I66" i="49"/>
  <c r="J66" i="49"/>
  <c r="K66" i="49"/>
  <c r="L66" i="49"/>
  <c r="M66" i="49"/>
  <c r="N66" i="49"/>
  <c r="O66" i="49"/>
  <c r="D69" i="49"/>
  <c r="E69" i="49"/>
  <c r="F69" i="49"/>
  <c r="G69" i="49"/>
  <c r="H69" i="49"/>
  <c r="I69" i="49"/>
  <c r="J69" i="49"/>
  <c r="K69" i="49"/>
  <c r="L69" i="49"/>
  <c r="M69" i="49"/>
  <c r="N69" i="49"/>
  <c r="O69" i="49"/>
  <c r="D71" i="49"/>
  <c r="E71" i="49"/>
  <c r="F71" i="49"/>
  <c r="G71" i="49"/>
  <c r="H71" i="49"/>
  <c r="I71" i="49"/>
  <c r="J71" i="49"/>
  <c r="K71" i="49"/>
  <c r="L71" i="49"/>
  <c r="M71" i="49"/>
  <c r="N71" i="49"/>
  <c r="O71" i="49"/>
  <c r="D72" i="49"/>
  <c r="E72" i="49"/>
  <c r="F72" i="49"/>
  <c r="G72" i="49"/>
  <c r="H72" i="49"/>
  <c r="I72" i="49"/>
  <c r="J72" i="49"/>
  <c r="K72" i="49"/>
  <c r="L72" i="49"/>
  <c r="M72" i="49"/>
  <c r="N72" i="49"/>
  <c r="O72" i="49"/>
  <c r="D73" i="49"/>
  <c r="E73" i="49"/>
  <c r="F73" i="49"/>
  <c r="G73" i="49"/>
  <c r="H73" i="49"/>
  <c r="I73" i="49"/>
  <c r="J73" i="49"/>
  <c r="K73" i="49"/>
  <c r="L73" i="49"/>
  <c r="M73" i="49"/>
  <c r="N73" i="49"/>
  <c r="O73" i="49"/>
  <c r="D75" i="49"/>
  <c r="E75" i="49"/>
  <c r="F75" i="49"/>
  <c r="G75" i="49"/>
  <c r="H75" i="49"/>
  <c r="I75" i="49"/>
  <c r="J75" i="49"/>
  <c r="K75" i="49"/>
  <c r="L75" i="49"/>
  <c r="M75" i="49"/>
  <c r="N75" i="49"/>
  <c r="O75" i="49"/>
  <c r="D78" i="49"/>
  <c r="E78" i="49"/>
  <c r="F78" i="49"/>
  <c r="G78" i="49"/>
  <c r="H78" i="49"/>
  <c r="I78" i="49"/>
  <c r="J78" i="49"/>
  <c r="K78" i="49"/>
  <c r="L78" i="49"/>
  <c r="M78" i="49"/>
  <c r="N78" i="49"/>
  <c r="O78" i="49"/>
  <c r="P78" i="49"/>
  <c r="D80" i="49"/>
  <c r="E80" i="49"/>
  <c r="F80" i="49"/>
  <c r="G80" i="49"/>
  <c r="H80" i="49"/>
  <c r="I80" i="49"/>
  <c r="J80" i="49"/>
  <c r="K80" i="49"/>
  <c r="L80" i="49"/>
  <c r="M80" i="49"/>
  <c r="N80" i="49"/>
  <c r="O80" i="49"/>
  <c r="P80" i="49"/>
  <c r="P8" i="48"/>
  <c r="P9" i="48"/>
  <c r="P10" i="48"/>
  <c r="P11" i="48"/>
  <c r="P12" i="48"/>
  <c r="P13" i="48"/>
  <c r="D14" i="48"/>
  <c r="E14" i="48"/>
  <c r="F14" i="48"/>
  <c r="G14" i="48"/>
  <c r="H14" i="48"/>
  <c r="I14" i="48"/>
  <c r="J14" i="48"/>
  <c r="K14" i="48"/>
  <c r="L14" i="48"/>
  <c r="M14" i="48"/>
  <c r="N14" i="48"/>
  <c r="O14" i="48"/>
  <c r="P14" i="48"/>
  <c r="P16" i="48"/>
  <c r="P17" i="48"/>
  <c r="P18" i="48"/>
  <c r="P19" i="48"/>
  <c r="P20" i="48"/>
  <c r="D21" i="48"/>
  <c r="E21" i="48"/>
  <c r="F21" i="48"/>
  <c r="G21" i="48"/>
  <c r="H21" i="48"/>
  <c r="I21" i="48"/>
  <c r="J21" i="48"/>
  <c r="K21" i="48"/>
  <c r="L21" i="48"/>
  <c r="M21" i="48"/>
  <c r="N21" i="48"/>
  <c r="O21" i="48"/>
  <c r="P21" i="48"/>
  <c r="D22" i="48"/>
  <c r="E22" i="48"/>
  <c r="F22" i="48"/>
  <c r="G22" i="48"/>
  <c r="H22" i="48"/>
  <c r="I22" i="48"/>
  <c r="J22" i="48"/>
  <c r="K22" i="48"/>
  <c r="L22" i="48"/>
  <c r="M22" i="48"/>
  <c r="N22" i="48"/>
  <c r="O22" i="48"/>
  <c r="P22" i="48"/>
  <c r="D27" i="48"/>
  <c r="E27" i="48"/>
  <c r="F27" i="48"/>
  <c r="G27" i="48"/>
  <c r="H27" i="48"/>
  <c r="I27" i="48"/>
  <c r="J27" i="48"/>
  <c r="K27" i="48"/>
  <c r="L27" i="48"/>
  <c r="M27" i="48"/>
  <c r="N27" i="48"/>
  <c r="O27" i="48"/>
  <c r="P27" i="48"/>
  <c r="D28" i="48"/>
  <c r="E28" i="48"/>
  <c r="F28" i="48"/>
  <c r="G28" i="48"/>
  <c r="H28" i="48"/>
  <c r="I28" i="48"/>
  <c r="J28" i="48"/>
  <c r="K28" i="48"/>
  <c r="L28" i="48"/>
  <c r="M28" i="48"/>
  <c r="N28" i="48"/>
  <c r="O28" i="48"/>
  <c r="P28" i="48"/>
  <c r="D29" i="48"/>
  <c r="E29" i="48"/>
  <c r="F29" i="48"/>
  <c r="G29" i="48"/>
  <c r="H29" i="48"/>
  <c r="I29" i="48"/>
  <c r="J29" i="48"/>
  <c r="K29" i="48"/>
  <c r="L29" i="48"/>
  <c r="M29" i="48"/>
  <c r="N29" i="48"/>
  <c r="O29" i="48"/>
  <c r="P29" i="48"/>
  <c r="D30" i="48"/>
  <c r="E30" i="48"/>
  <c r="F30" i="48"/>
  <c r="G30" i="48"/>
  <c r="H30" i="48"/>
  <c r="I30" i="48"/>
  <c r="J30" i="48"/>
  <c r="K30" i="48"/>
  <c r="L30" i="48"/>
  <c r="M30" i="48"/>
  <c r="N30" i="48"/>
  <c r="O30" i="48"/>
  <c r="P30" i="48"/>
  <c r="P31" i="48"/>
  <c r="F32" i="48"/>
  <c r="O32" i="48"/>
  <c r="P32" i="48"/>
  <c r="D33" i="48"/>
  <c r="E33" i="48"/>
  <c r="F33" i="48"/>
  <c r="G33" i="48"/>
  <c r="H33" i="48"/>
  <c r="I33" i="48"/>
  <c r="J33" i="48"/>
  <c r="K33" i="48"/>
  <c r="L33" i="48"/>
  <c r="M33" i="48"/>
  <c r="N33" i="48"/>
  <c r="O33" i="48"/>
  <c r="P33" i="48"/>
  <c r="P34" i="48"/>
  <c r="P35" i="48"/>
  <c r="D36" i="48"/>
  <c r="E36" i="48"/>
  <c r="F36" i="48"/>
  <c r="G36" i="48"/>
  <c r="H36" i="48"/>
  <c r="I36" i="48"/>
  <c r="J36" i="48"/>
  <c r="K36" i="48"/>
  <c r="L36" i="48"/>
  <c r="M36" i="48"/>
  <c r="N36" i="48"/>
  <c r="O36" i="48"/>
  <c r="P36" i="48"/>
  <c r="P37" i="48"/>
  <c r="P38" i="48"/>
  <c r="D39" i="48"/>
  <c r="E39" i="48"/>
  <c r="F39" i="48"/>
  <c r="G39" i="48"/>
  <c r="H39" i="48"/>
  <c r="I39" i="48"/>
  <c r="J39" i="48"/>
  <c r="K39" i="48"/>
  <c r="L39" i="48"/>
  <c r="M39" i="48"/>
  <c r="N39" i="48"/>
  <c r="O39" i="48"/>
  <c r="P39" i="48"/>
  <c r="D40" i="48"/>
  <c r="E40" i="48"/>
  <c r="F40" i="48"/>
  <c r="G40" i="48"/>
  <c r="H40" i="48"/>
  <c r="I40" i="48"/>
  <c r="J40" i="48"/>
  <c r="K40" i="48"/>
  <c r="L40" i="48"/>
  <c r="M40" i="48"/>
  <c r="N40" i="48"/>
  <c r="O40" i="48"/>
  <c r="P40" i="48"/>
  <c r="D41" i="48"/>
  <c r="E41" i="48"/>
  <c r="F41" i="48"/>
  <c r="G41" i="48"/>
  <c r="H41" i="48"/>
  <c r="I41" i="48"/>
  <c r="J41" i="48"/>
  <c r="K41" i="48"/>
  <c r="L41" i="48"/>
  <c r="M41" i="48"/>
  <c r="N41" i="48"/>
  <c r="O41" i="48"/>
  <c r="P41" i="48"/>
  <c r="P42" i="48"/>
  <c r="P43" i="48"/>
  <c r="D44" i="48"/>
  <c r="E44" i="48"/>
  <c r="F44" i="48"/>
  <c r="G44" i="48"/>
  <c r="H44" i="48"/>
  <c r="I44" i="48"/>
  <c r="J44" i="48"/>
  <c r="K44" i="48"/>
  <c r="L44" i="48"/>
  <c r="M44" i="48"/>
  <c r="N44" i="48"/>
  <c r="O44" i="48"/>
  <c r="P44" i="48"/>
  <c r="R44" i="48"/>
  <c r="P45" i="48"/>
  <c r="P46" i="48"/>
  <c r="P47" i="48"/>
  <c r="F48" i="48"/>
  <c r="P48" i="48"/>
  <c r="P49" i="48"/>
  <c r="F50" i="48"/>
  <c r="P50" i="48"/>
  <c r="P51" i="48"/>
  <c r="P52" i="48"/>
  <c r="P53" i="48"/>
  <c r="D54" i="48"/>
  <c r="E54" i="48"/>
  <c r="F54" i="48"/>
  <c r="G54" i="48"/>
  <c r="H54" i="48"/>
  <c r="I54" i="48"/>
  <c r="J54" i="48"/>
  <c r="K54" i="48"/>
  <c r="L54" i="48"/>
  <c r="M54" i="48"/>
  <c r="N54" i="48"/>
  <c r="O54" i="48"/>
  <c r="P54" i="48"/>
  <c r="P55" i="48"/>
  <c r="P56" i="48"/>
  <c r="P57" i="48"/>
  <c r="P58" i="48"/>
  <c r="P59" i="48"/>
  <c r="P60" i="48"/>
  <c r="P61" i="48"/>
  <c r="P62" i="48"/>
  <c r="P63" i="48"/>
  <c r="P64" i="48"/>
  <c r="D65" i="48"/>
  <c r="E65" i="48"/>
  <c r="F65" i="48"/>
  <c r="G65" i="48"/>
  <c r="H65" i="48"/>
  <c r="I65" i="48"/>
  <c r="J65" i="48"/>
  <c r="K65" i="48"/>
  <c r="L65" i="48"/>
  <c r="M65" i="48"/>
  <c r="N65" i="48"/>
  <c r="O65" i="48"/>
  <c r="D70" i="48"/>
  <c r="E70" i="48"/>
  <c r="F70" i="48"/>
  <c r="G70" i="48"/>
  <c r="H70" i="48"/>
  <c r="I70" i="48"/>
  <c r="J70" i="48"/>
  <c r="K70" i="48"/>
  <c r="L70" i="48"/>
  <c r="M70" i="48"/>
  <c r="N70" i="48"/>
  <c r="O70" i="48"/>
  <c r="D71" i="48"/>
  <c r="E71" i="48"/>
  <c r="F71" i="48"/>
  <c r="G71" i="48"/>
  <c r="H71" i="48"/>
  <c r="I71" i="48"/>
  <c r="J71" i="48"/>
  <c r="K71" i="48"/>
  <c r="L71" i="48"/>
  <c r="M71" i="48"/>
  <c r="N71" i="48"/>
  <c r="O71" i="48"/>
  <c r="D72" i="48"/>
  <c r="E72" i="48"/>
  <c r="F72" i="48"/>
  <c r="G72" i="48"/>
  <c r="H72" i="48"/>
  <c r="I72" i="48"/>
  <c r="J72" i="48"/>
  <c r="K72" i="48"/>
  <c r="L72" i="48"/>
  <c r="M72" i="48"/>
  <c r="N72" i="48"/>
  <c r="O72" i="48"/>
  <c r="D74" i="48"/>
  <c r="E74" i="48"/>
  <c r="F74" i="48"/>
  <c r="G74" i="48"/>
  <c r="H74" i="48"/>
  <c r="I74" i="48"/>
  <c r="J74" i="48"/>
  <c r="K74" i="48"/>
  <c r="L74" i="48"/>
  <c r="M74" i="48"/>
  <c r="N74" i="48"/>
  <c r="O74" i="48"/>
  <c r="P77" i="48"/>
  <c r="D78" i="48"/>
  <c r="E78" i="48"/>
  <c r="F78" i="48"/>
  <c r="G78" i="48"/>
  <c r="H78" i="48"/>
  <c r="I78" i="48"/>
  <c r="J78" i="48"/>
  <c r="K78" i="48"/>
  <c r="L78" i="48"/>
  <c r="M78" i="48"/>
  <c r="N78" i="48"/>
  <c r="O78" i="48"/>
  <c r="P79" i="48"/>
  <c r="D8" i="47"/>
  <c r="E8" i="47"/>
  <c r="F8" i="47"/>
  <c r="G8" i="47"/>
  <c r="H8" i="47"/>
  <c r="I8" i="47"/>
  <c r="J8" i="47"/>
  <c r="K8" i="47"/>
  <c r="L8" i="47"/>
  <c r="M8" i="47"/>
  <c r="N8" i="47"/>
  <c r="O8" i="47"/>
  <c r="P8" i="47"/>
  <c r="D9" i="47"/>
  <c r="E9" i="47"/>
  <c r="F9" i="47"/>
  <c r="G9" i="47"/>
  <c r="H9" i="47"/>
  <c r="I9" i="47"/>
  <c r="J9" i="47"/>
  <c r="K9" i="47"/>
  <c r="L9" i="47"/>
  <c r="M9" i="47"/>
  <c r="N9" i="47"/>
  <c r="O9" i="47"/>
  <c r="P9" i="47"/>
  <c r="D10" i="47"/>
  <c r="E10" i="47"/>
  <c r="F10" i="47"/>
  <c r="G10" i="47"/>
  <c r="H10" i="47"/>
  <c r="I10" i="47"/>
  <c r="J10" i="47"/>
  <c r="K10" i="47"/>
  <c r="L10" i="47"/>
  <c r="M10" i="47"/>
  <c r="N10" i="47"/>
  <c r="O10" i="47"/>
  <c r="P10" i="47"/>
  <c r="D11" i="47"/>
  <c r="E11" i="47"/>
  <c r="F11" i="47"/>
  <c r="G11" i="47"/>
  <c r="H11" i="47"/>
  <c r="I11" i="47"/>
  <c r="J11" i="47"/>
  <c r="K11" i="47"/>
  <c r="L11" i="47"/>
  <c r="M11" i="47"/>
  <c r="N11" i="47"/>
  <c r="O11" i="47"/>
  <c r="P11" i="47"/>
  <c r="D12" i="47"/>
  <c r="E12" i="47"/>
  <c r="F12" i="47"/>
  <c r="G12" i="47"/>
  <c r="H12" i="47"/>
  <c r="I12" i="47"/>
  <c r="J12" i="47"/>
  <c r="K12" i="47"/>
  <c r="L12" i="47"/>
  <c r="M12" i="47"/>
  <c r="N12" i="47"/>
  <c r="O12" i="47"/>
  <c r="P12" i="47"/>
  <c r="D13" i="47"/>
  <c r="E13" i="47"/>
  <c r="F13" i="47"/>
  <c r="G13" i="47"/>
  <c r="H13" i="47"/>
  <c r="I13" i="47"/>
  <c r="J13" i="47"/>
  <c r="K13" i="47"/>
  <c r="L13" i="47"/>
  <c r="M13" i="47"/>
  <c r="N13" i="47"/>
  <c r="O13" i="47"/>
  <c r="P13" i="47"/>
  <c r="D14" i="47"/>
  <c r="E14" i="47"/>
  <c r="F14" i="47"/>
  <c r="G14" i="47"/>
  <c r="H14" i="47"/>
  <c r="I14" i="47"/>
  <c r="J14" i="47"/>
  <c r="K14" i="47"/>
  <c r="L14" i="47"/>
  <c r="M14" i="47"/>
  <c r="N14" i="47"/>
  <c r="O14" i="47"/>
  <c r="P14" i="47"/>
  <c r="D16" i="47"/>
  <c r="E16" i="47"/>
  <c r="F16" i="47"/>
  <c r="G16" i="47"/>
  <c r="H16" i="47"/>
  <c r="I16" i="47"/>
  <c r="J16" i="47"/>
  <c r="K16" i="47"/>
  <c r="L16" i="47"/>
  <c r="M16" i="47"/>
  <c r="N16" i="47"/>
  <c r="O16" i="47"/>
  <c r="P16" i="47"/>
  <c r="D17" i="47"/>
  <c r="E17" i="47"/>
  <c r="F17" i="47"/>
  <c r="G17" i="47"/>
  <c r="H17" i="47"/>
  <c r="I17" i="47"/>
  <c r="J17" i="47"/>
  <c r="K17" i="47"/>
  <c r="L17" i="47"/>
  <c r="M17" i="47"/>
  <c r="N17" i="47"/>
  <c r="O17" i="47"/>
  <c r="P17" i="47"/>
  <c r="D18" i="47"/>
  <c r="E18" i="47"/>
  <c r="F18" i="47"/>
  <c r="G18" i="47"/>
  <c r="H18" i="47"/>
  <c r="I18" i="47"/>
  <c r="J18" i="47"/>
  <c r="K18" i="47"/>
  <c r="L18" i="47"/>
  <c r="M18" i="47"/>
  <c r="N18" i="47"/>
  <c r="O18" i="47"/>
  <c r="P18" i="47"/>
  <c r="D19" i="47"/>
  <c r="E19" i="47"/>
  <c r="F19" i="47"/>
  <c r="G19" i="47"/>
  <c r="H19" i="47"/>
  <c r="I19" i="47"/>
  <c r="J19" i="47"/>
  <c r="K19" i="47"/>
  <c r="L19" i="47"/>
  <c r="M19" i="47"/>
  <c r="N19" i="47"/>
  <c r="O19" i="47"/>
  <c r="P19" i="47"/>
  <c r="D20" i="47"/>
  <c r="E20" i="47"/>
  <c r="F20" i="47"/>
  <c r="G20" i="47"/>
  <c r="H20" i="47"/>
  <c r="I20" i="47"/>
  <c r="J20" i="47"/>
  <c r="K20" i="47"/>
  <c r="L20" i="47"/>
  <c r="M20" i="47"/>
  <c r="N20" i="47"/>
  <c r="O20" i="47"/>
  <c r="P20" i="47"/>
  <c r="D21" i="47"/>
  <c r="E21" i="47"/>
  <c r="F21" i="47"/>
  <c r="G21" i="47"/>
  <c r="H21" i="47"/>
  <c r="I21" i="47"/>
  <c r="J21" i="47"/>
  <c r="K21" i="47"/>
  <c r="L21" i="47"/>
  <c r="M21" i="47"/>
  <c r="N21" i="47"/>
  <c r="O21" i="47"/>
  <c r="P21" i="47"/>
  <c r="D22" i="47"/>
  <c r="E22" i="47"/>
  <c r="F22" i="47"/>
  <c r="G22" i="47"/>
  <c r="H22" i="47"/>
  <c r="I22" i="47"/>
  <c r="J22" i="47"/>
  <c r="K22" i="47"/>
  <c r="L22" i="47"/>
  <c r="M22" i="47"/>
  <c r="N22" i="47"/>
  <c r="O22" i="47"/>
  <c r="P22" i="47"/>
  <c r="D27" i="47"/>
  <c r="E27" i="47"/>
  <c r="F27" i="47"/>
  <c r="G27" i="47"/>
  <c r="H27" i="47"/>
  <c r="I27" i="47"/>
  <c r="J27" i="47"/>
  <c r="K27" i="47"/>
  <c r="L27" i="47"/>
  <c r="M27" i="47"/>
  <c r="N27" i="47"/>
  <c r="O27" i="47"/>
  <c r="P27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D29" i="47"/>
  <c r="E29" i="47"/>
  <c r="F29" i="47"/>
  <c r="G29" i="47"/>
  <c r="H29" i="47"/>
  <c r="I29" i="47"/>
  <c r="J29" i="47"/>
  <c r="K29" i="47"/>
  <c r="L29" i="47"/>
  <c r="M29" i="47"/>
  <c r="N29" i="47"/>
  <c r="O29" i="47"/>
  <c r="P29" i="47"/>
  <c r="D30" i="47"/>
  <c r="E30" i="47"/>
  <c r="F30" i="47"/>
  <c r="G30" i="47"/>
  <c r="H30" i="47"/>
  <c r="I30" i="47"/>
  <c r="J30" i="47"/>
  <c r="K30" i="47"/>
  <c r="L30" i="47"/>
  <c r="M30" i="47"/>
  <c r="N30" i="47"/>
  <c r="O30" i="47"/>
  <c r="P30" i="47"/>
  <c r="D31" i="47"/>
  <c r="E31" i="47"/>
  <c r="F31" i="47"/>
  <c r="G31" i="47"/>
  <c r="H31" i="47"/>
  <c r="I31" i="47"/>
  <c r="J31" i="47"/>
  <c r="K31" i="47"/>
  <c r="L31" i="47"/>
  <c r="M31" i="47"/>
  <c r="N31" i="47"/>
  <c r="O31" i="47"/>
  <c r="P31" i="47"/>
  <c r="D32" i="47"/>
  <c r="E32" i="47"/>
  <c r="F32" i="47"/>
  <c r="G32" i="47"/>
  <c r="H32" i="47"/>
  <c r="I32" i="47"/>
  <c r="J32" i="47"/>
  <c r="K32" i="47"/>
  <c r="L32" i="47"/>
  <c r="M32" i="47"/>
  <c r="N32" i="47"/>
  <c r="O32" i="47"/>
  <c r="P32" i="47"/>
  <c r="D33" i="47"/>
  <c r="E33" i="47"/>
  <c r="F33" i="47"/>
  <c r="G33" i="47"/>
  <c r="H33" i="47"/>
  <c r="I33" i="47"/>
  <c r="J33" i="47"/>
  <c r="K33" i="47"/>
  <c r="L33" i="47"/>
  <c r="M33" i="47"/>
  <c r="N33" i="47"/>
  <c r="O33" i="47"/>
  <c r="P33" i="47"/>
  <c r="D34" i="47"/>
  <c r="E34" i="47"/>
  <c r="F34" i="47"/>
  <c r="G34" i="47"/>
  <c r="H34" i="47"/>
  <c r="I34" i="47"/>
  <c r="J34" i="47"/>
  <c r="K34" i="47"/>
  <c r="L34" i="47"/>
  <c r="M34" i="47"/>
  <c r="N34" i="47"/>
  <c r="O34" i="47"/>
  <c r="P34" i="47"/>
  <c r="D35" i="47"/>
  <c r="E35" i="47"/>
  <c r="F35" i="47"/>
  <c r="G35" i="47"/>
  <c r="H35" i="47"/>
  <c r="I35" i="47"/>
  <c r="J35" i="47"/>
  <c r="K35" i="47"/>
  <c r="L35" i="47"/>
  <c r="M35" i="47"/>
  <c r="N35" i="47"/>
  <c r="O35" i="47"/>
  <c r="P35" i="47"/>
  <c r="D36" i="47"/>
  <c r="E36" i="47"/>
  <c r="F36" i="47"/>
  <c r="G36" i="47"/>
  <c r="H36" i="47"/>
  <c r="I36" i="47"/>
  <c r="J36" i="47"/>
  <c r="K36" i="47"/>
  <c r="L36" i="47"/>
  <c r="M36" i="47"/>
  <c r="N36" i="47"/>
  <c r="O36" i="47"/>
  <c r="P36" i="47"/>
  <c r="P37" i="47"/>
  <c r="P38" i="47"/>
  <c r="D39" i="47"/>
  <c r="E39" i="47"/>
  <c r="F39" i="47"/>
  <c r="G39" i="47"/>
  <c r="H39" i="47"/>
  <c r="I39" i="47"/>
  <c r="J39" i="47"/>
  <c r="K39" i="47"/>
  <c r="L39" i="47"/>
  <c r="M39" i="47"/>
  <c r="N39" i="47"/>
  <c r="O39" i="47"/>
  <c r="P39" i="47"/>
  <c r="D40" i="47"/>
  <c r="E40" i="47"/>
  <c r="F40" i="47"/>
  <c r="G40" i="47"/>
  <c r="H40" i="47"/>
  <c r="I40" i="47"/>
  <c r="J40" i="47"/>
  <c r="K40" i="47"/>
  <c r="L40" i="47"/>
  <c r="M40" i="47"/>
  <c r="N40" i="47"/>
  <c r="O40" i="47"/>
  <c r="P40" i="47"/>
  <c r="D41" i="47"/>
  <c r="E41" i="47"/>
  <c r="F41" i="47"/>
  <c r="G41" i="47"/>
  <c r="H41" i="47"/>
  <c r="I41" i="47"/>
  <c r="J41" i="47"/>
  <c r="K41" i="47"/>
  <c r="L41" i="47"/>
  <c r="M41" i="47"/>
  <c r="N41" i="47"/>
  <c r="O41" i="47"/>
  <c r="P41" i="47"/>
  <c r="D42" i="47"/>
  <c r="E42" i="47"/>
  <c r="F42" i="47"/>
  <c r="G42" i="47"/>
  <c r="H42" i="47"/>
  <c r="I42" i="47"/>
  <c r="J42" i="47"/>
  <c r="K42" i="47"/>
  <c r="L42" i="47"/>
  <c r="M42" i="47"/>
  <c r="N42" i="47"/>
  <c r="O42" i="47"/>
  <c r="P42" i="47"/>
  <c r="P43" i="47"/>
  <c r="D44" i="47"/>
  <c r="E44" i="47"/>
  <c r="F44" i="47"/>
  <c r="G44" i="47"/>
  <c r="H44" i="47"/>
  <c r="I44" i="47"/>
  <c r="J44" i="47"/>
  <c r="K44" i="47"/>
  <c r="L44" i="47"/>
  <c r="M44" i="47"/>
  <c r="N44" i="47"/>
  <c r="O44" i="47"/>
  <c r="P44" i="47"/>
  <c r="R44" i="47"/>
  <c r="D45" i="47"/>
  <c r="E45" i="47"/>
  <c r="F45" i="47"/>
  <c r="G45" i="47"/>
  <c r="H45" i="47"/>
  <c r="I45" i="47"/>
  <c r="J45" i="47"/>
  <c r="K45" i="47"/>
  <c r="L45" i="47"/>
  <c r="M45" i="47"/>
  <c r="N45" i="47"/>
  <c r="O45" i="47"/>
  <c r="P45" i="47"/>
  <c r="D46" i="47"/>
  <c r="E46" i="47"/>
  <c r="F46" i="47"/>
  <c r="G46" i="47"/>
  <c r="H46" i="47"/>
  <c r="I46" i="47"/>
  <c r="J46" i="47"/>
  <c r="K46" i="47"/>
  <c r="L46" i="47"/>
  <c r="M46" i="47"/>
  <c r="N46" i="47"/>
  <c r="O46" i="47"/>
  <c r="P46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D48" i="47"/>
  <c r="E48" i="47"/>
  <c r="F48" i="47"/>
  <c r="G48" i="47"/>
  <c r="H48" i="47"/>
  <c r="I48" i="47"/>
  <c r="J48" i="47"/>
  <c r="K48" i="47"/>
  <c r="L48" i="47"/>
  <c r="M48" i="47"/>
  <c r="N48" i="47"/>
  <c r="O48" i="47"/>
  <c r="P48" i="47"/>
  <c r="D49" i="47"/>
  <c r="E49" i="47"/>
  <c r="F49" i="47"/>
  <c r="G49" i="47"/>
  <c r="H49" i="47"/>
  <c r="I49" i="47"/>
  <c r="J49" i="47"/>
  <c r="K49" i="47"/>
  <c r="L49" i="47"/>
  <c r="M49" i="47"/>
  <c r="N49" i="47"/>
  <c r="O49" i="47"/>
  <c r="P49" i="47"/>
  <c r="D50" i="47"/>
  <c r="E50" i="47"/>
  <c r="F50" i="47"/>
  <c r="G50" i="47"/>
  <c r="H50" i="47"/>
  <c r="I50" i="47"/>
  <c r="J50" i="47"/>
  <c r="K50" i="47"/>
  <c r="L50" i="47"/>
  <c r="M50" i="47"/>
  <c r="N50" i="47"/>
  <c r="O50" i="47"/>
  <c r="P50" i="47"/>
  <c r="D51" i="47"/>
  <c r="E51" i="47"/>
  <c r="F51" i="47"/>
  <c r="G51" i="47"/>
  <c r="H51" i="47"/>
  <c r="I51" i="47"/>
  <c r="J51" i="47"/>
  <c r="K51" i="47"/>
  <c r="L51" i="47"/>
  <c r="M51" i="47"/>
  <c r="N51" i="47"/>
  <c r="O51" i="47"/>
  <c r="P51" i="47"/>
  <c r="D52" i="47"/>
  <c r="E52" i="47"/>
  <c r="F52" i="47"/>
  <c r="G52" i="47"/>
  <c r="H52" i="47"/>
  <c r="I52" i="47"/>
  <c r="J52" i="47"/>
  <c r="K52" i="47"/>
  <c r="L52" i="47"/>
  <c r="M52" i="47"/>
  <c r="N52" i="47"/>
  <c r="O52" i="47"/>
  <c r="P52" i="47"/>
  <c r="D53" i="47"/>
  <c r="E53" i="47"/>
  <c r="F53" i="47"/>
  <c r="G53" i="47"/>
  <c r="H53" i="47"/>
  <c r="I53" i="47"/>
  <c r="J53" i="47"/>
  <c r="K53" i="47"/>
  <c r="L53" i="47"/>
  <c r="M53" i="47"/>
  <c r="N53" i="47"/>
  <c r="O53" i="47"/>
  <c r="P53" i="47"/>
  <c r="D54" i="47"/>
  <c r="E54" i="47"/>
  <c r="F54" i="47"/>
  <c r="G54" i="47"/>
  <c r="H54" i="47"/>
  <c r="I54" i="47"/>
  <c r="J54" i="47"/>
  <c r="K54" i="47"/>
  <c r="L54" i="47"/>
  <c r="M54" i="47"/>
  <c r="N54" i="47"/>
  <c r="O54" i="47"/>
  <c r="P54" i="47"/>
  <c r="D55" i="47"/>
  <c r="E55" i="47"/>
  <c r="F55" i="47"/>
  <c r="G55" i="47"/>
  <c r="H55" i="47"/>
  <c r="I55" i="47"/>
  <c r="J55" i="47"/>
  <c r="K55" i="47"/>
  <c r="L55" i="47"/>
  <c r="M55" i="47"/>
  <c r="N55" i="47"/>
  <c r="O55" i="47"/>
  <c r="P55" i="47"/>
  <c r="D56" i="47"/>
  <c r="E56" i="47"/>
  <c r="F56" i="47"/>
  <c r="G56" i="47"/>
  <c r="H56" i="47"/>
  <c r="I56" i="47"/>
  <c r="J56" i="47"/>
  <c r="K56" i="47"/>
  <c r="L56" i="47"/>
  <c r="M56" i="47"/>
  <c r="N56" i="47"/>
  <c r="O56" i="47"/>
  <c r="P56" i="47"/>
  <c r="D57" i="47"/>
  <c r="E57" i="47"/>
  <c r="F57" i="47"/>
  <c r="G57" i="47"/>
  <c r="H57" i="47"/>
  <c r="I57" i="47"/>
  <c r="J57" i="47"/>
  <c r="K57" i="47"/>
  <c r="L57" i="47"/>
  <c r="M57" i="47"/>
  <c r="N57" i="47"/>
  <c r="O57" i="47"/>
  <c r="P57" i="47"/>
  <c r="D58" i="47"/>
  <c r="E58" i="47"/>
  <c r="F58" i="47"/>
  <c r="G58" i="47"/>
  <c r="H58" i="47"/>
  <c r="I58" i="47"/>
  <c r="J58" i="47"/>
  <c r="K58" i="47"/>
  <c r="L58" i="47"/>
  <c r="M58" i="47"/>
  <c r="N58" i="47"/>
  <c r="O58" i="47"/>
  <c r="P58" i="47"/>
  <c r="D59" i="47"/>
  <c r="E59" i="47"/>
  <c r="F59" i="47"/>
  <c r="G59" i="47"/>
  <c r="H59" i="47"/>
  <c r="I59" i="47"/>
  <c r="J59" i="47"/>
  <c r="K59" i="47"/>
  <c r="L59" i="47"/>
  <c r="M59" i="47"/>
  <c r="N59" i="47"/>
  <c r="O59" i="47"/>
  <c r="P59" i="47"/>
  <c r="D60" i="47"/>
  <c r="E60" i="47"/>
  <c r="F60" i="47"/>
  <c r="G60" i="47"/>
  <c r="H60" i="47"/>
  <c r="I60" i="47"/>
  <c r="J60" i="47"/>
  <c r="K60" i="47"/>
  <c r="L60" i="47"/>
  <c r="M60" i="47"/>
  <c r="N60" i="47"/>
  <c r="O60" i="47"/>
  <c r="P60" i="47"/>
  <c r="D61" i="47"/>
  <c r="E61" i="47"/>
  <c r="F61" i="47"/>
  <c r="G61" i="47"/>
  <c r="H61" i="47"/>
  <c r="I61" i="47"/>
  <c r="J61" i="47"/>
  <c r="K61" i="47"/>
  <c r="L61" i="47"/>
  <c r="M61" i="47"/>
  <c r="N61" i="47"/>
  <c r="O61" i="47"/>
  <c r="P61" i="47"/>
  <c r="D62" i="47"/>
  <c r="E62" i="47"/>
  <c r="F62" i="47"/>
  <c r="G62" i="47"/>
  <c r="H62" i="47"/>
  <c r="I62" i="47"/>
  <c r="J62" i="47"/>
  <c r="K62" i="47"/>
  <c r="L62" i="47"/>
  <c r="M62" i="47"/>
  <c r="N62" i="47"/>
  <c r="O62" i="47"/>
  <c r="P62" i="47"/>
  <c r="D63" i="47"/>
  <c r="E63" i="47"/>
  <c r="F63" i="47"/>
  <c r="G63" i="47"/>
  <c r="H63" i="47"/>
  <c r="I63" i="47"/>
  <c r="J63" i="47"/>
  <c r="K63" i="47"/>
  <c r="L63" i="47"/>
  <c r="M63" i="47"/>
  <c r="N63" i="47"/>
  <c r="O63" i="47"/>
  <c r="P63" i="47"/>
  <c r="D64" i="47"/>
  <c r="E64" i="47"/>
  <c r="F64" i="47"/>
  <c r="G64" i="47"/>
  <c r="H64" i="47"/>
  <c r="I64" i="47"/>
  <c r="J64" i="47"/>
  <c r="K64" i="47"/>
  <c r="L64" i="47"/>
  <c r="M64" i="47"/>
  <c r="N64" i="47"/>
  <c r="O64" i="47"/>
  <c r="P64" i="47"/>
  <c r="D65" i="47"/>
  <c r="E65" i="47"/>
  <c r="F65" i="47"/>
  <c r="G65" i="47"/>
  <c r="H65" i="47"/>
  <c r="I65" i="47"/>
  <c r="J65" i="47"/>
  <c r="K65" i="47"/>
  <c r="L65" i="47"/>
  <c r="M65" i="47"/>
  <c r="N65" i="47"/>
  <c r="O65" i="47"/>
  <c r="P65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D69" i="47"/>
  <c r="E69" i="47"/>
  <c r="F69" i="47"/>
  <c r="G69" i="47"/>
  <c r="H69" i="47"/>
  <c r="I69" i="47"/>
  <c r="J69" i="47"/>
  <c r="K69" i="47"/>
  <c r="L69" i="47"/>
  <c r="M69" i="47"/>
  <c r="N69" i="47"/>
  <c r="O69" i="47"/>
  <c r="D71" i="47"/>
  <c r="E71" i="47"/>
  <c r="F71" i="47"/>
  <c r="G71" i="47"/>
  <c r="H71" i="47"/>
  <c r="I71" i="47"/>
  <c r="J71" i="47"/>
  <c r="K71" i="47"/>
  <c r="L71" i="47"/>
  <c r="M71" i="47"/>
  <c r="N71" i="47"/>
  <c r="O71" i="47"/>
  <c r="D72" i="47"/>
  <c r="E72" i="47"/>
  <c r="F72" i="47"/>
  <c r="G72" i="47"/>
  <c r="H72" i="47"/>
  <c r="I72" i="47"/>
  <c r="J72" i="47"/>
  <c r="K72" i="47"/>
  <c r="L72" i="47"/>
  <c r="M72" i="47"/>
  <c r="N72" i="47"/>
  <c r="O72" i="47"/>
  <c r="D73" i="47"/>
  <c r="E73" i="47"/>
  <c r="F73" i="47"/>
  <c r="G73" i="47"/>
  <c r="H73" i="47"/>
  <c r="I73" i="47"/>
  <c r="J73" i="47"/>
  <c r="K73" i="47"/>
  <c r="L73" i="47"/>
  <c r="M73" i="47"/>
  <c r="N73" i="47"/>
  <c r="O73" i="47"/>
  <c r="D75" i="47"/>
  <c r="E75" i="47"/>
  <c r="F75" i="47"/>
  <c r="G75" i="47"/>
  <c r="H75" i="47"/>
  <c r="I75" i="47"/>
  <c r="J75" i="47"/>
  <c r="K75" i="47"/>
  <c r="L75" i="47"/>
  <c r="M75" i="47"/>
  <c r="N75" i="47"/>
  <c r="O75" i="47"/>
  <c r="D8" i="46"/>
  <c r="E8" i="46"/>
  <c r="F8" i="46"/>
  <c r="G8" i="46"/>
  <c r="H8" i="46"/>
  <c r="I8" i="46"/>
  <c r="J8" i="46"/>
  <c r="K8" i="46"/>
  <c r="L8" i="46"/>
  <c r="M8" i="46"/>
  <c r="N8" i="46"/>
  <c r="O8" i="46"/>
  <c r="P8" i="46"/>
  <c r="D9" i="46"/>
  <c r="E9" i="46"/>
  <c r="F9" i="46"/>
  <c r="G9" i="46"/>
  <c r="H9" i="46"/>
  <c r="I9" i="46"/>
  <c r="J9" i="46"/>
  <c r="K9" i="46"/>
  <c r="L9" i="46"/>
  <c r="M9" i="46"/>
  <c r="N9" i="46"/>
  <c r="O9" i="46"/>
  <c r="P9" i="46"/>
  <c r="D10" i="46"/>
  <c r="E10" i="46"/>
  <c r="F10" i="46"/>
  <c r="G10" i="46"/>
  <c r="H10" i="46"/>
  <c r="I10" i="46"/>
  <c r="J10" i="46"/>
  <c r="K10" i="46"/>
  <c r="L10" i="46"/>
  <c r="M10" i="46"/>
  <c r="N10" i="46"/>
  <c r="O10" i="46"/>
  <c r="P10" i="46"/>
  <c r="D11" i="46"/>
  <c r="E11" i="46"/>
  <c r="F11" i="46"/>
  <c r="G11" i="46"/>
  <c r="H11" i="46"/>
  <c r="I11" i="46"/>
  <c r="J11" i="46"/>
  <c r="K11" i="46"/>
  <c r="L11" i="46"/>
  <c r="M11" i="46"/>
  <c r="N11" i="46"/>
  <c r="O11" i="46"/>
  <c r="P11" i="46"/>
  <c r="D12" i="46"/>
  <c r="E12" i="46"/>
  <c r="F12" i="46"/>
  <c r="G12" i="46"/>
  <c r="H12" i="46"/>
  <c r="I12" i="46"/>
  <c r="J12" i="46"/>
  <c r="K12" i="46"/>
  <c r="L12" i="46"/>
  <c r="M12" i="46"/>
  <c r="N12" i="46"/>
  <c r="O12" i="46"/>
  <c r="P12" i="46"/>
  <c r="D13" i="46"/>
  <c r="E13" i="46"/>
  <c r="F13" i="46"/>
  <c r="G13" i="46"/>
  <c r="H13" i="46"/>
  <c r="I13" i="46"/>
  <c r="J13" i="46"/>
  <c r="K13" i="46"/>
  <c r="L13" i="46"/>
  <c r="M13" i="46"/>
  <c r="N13" i="46"/>
  <c r="O13" i="46"/>
  <c r="P13" i="46"/>
  <c r="D14" i="46"/>
  <c r="E14" i="46"/>
  <c r="F14" i="46"/>
  <c r="G14" i="46"/>
  <c r="H14" i="46"/>
  <c r="I14" i="46"/>
  <c r="J14" i="46"/>
  <c r="K14" i="46"/>
  <c r="L14" i="46"/>
  <c r="M14" i="46"/>
  <c r="N14" i="46"/>
  <c r="O14" i="46"/>
  <c r="P14" i="46"/>
  <c r="D16" i="46"/>
  <c r="E16" i="46"/>
  <c r="F16" i="46"/>
  <c r="G16" i="46"/>
  <c r="H16" i="46"/>
  <c r="I16" i="46"/>
  <c r="J16" i="46"/>
  <c r="K16" i="46"/>
  <c r="L16" i="46"/>
  <c r="M16" i="46"/>
  <c r="N16" i="46"/>
  <c r="O16" i="46"/>
  <c r="P16" i="46"/>
  <c r="D17" i="46"/>
  <c r="E17" i="46"/>
  <c r="F17" i="46"/>
  <c r="G17" i="46"/>
  <c r="H17" i="46"/>
  <c r="I17" i="46"/>
  <c r="J17" i="46"/>
  <c r="K17" i="46"/>
  <c r="L17" i="46"/>
  <c r="M17" i="46"/>
  <c r="N17" i="46"/>
  <c r="O17" i="46"/>
  <c r="P17" i="46"/>
  <c r="D18" i="46"/>
  <c r="E18" i="46"/>
  <c r="F18" i="46"/>
  <c r="G18" i="46"/>
  <c r="H18" i="46"/>
  <c r="I18" i="46"/>
  <c r="J18" i="46"/>
  <c r="K18" i="46"/>
  <c r="L18" i="46"/>
  <c r="M18" i="46"/>
  <c r="N18" i="46"/>
  <c r="O18" i="46"/>
  <c r="P18" i="46"/>
  <c r="D19" i="46"/>
  <c r="E19" i="46"/>
  <c r="F19" i="46"/>
  <c r="G19" i="46"/>
  <c r="H19" i="46"/>
  <c r="I19" i="46"/>
  <c r="J19" i="46"/>
  <c r="K19" i="46"/>
  <c r="L19" i="46"/>
  <c r="M19" i="46"/>
  <c r="N19" i="46"/>
  <c r="O19" i="46"/>
  <c r="P19" i="46"/>
  <c r="D20" i="46"/>
  <c r="E20" i="46"/>
  <c r="F20" i="46"/>
  <c r="G20" i="46"/>
  <c r="H20" i="46"/>
  <c r="I20" i="46"/>
  <c r="J20" i="46"/>
  <c r="K20" i="46"/>
  <c r="L20" i="46"/>
  <c r="M20" i="46"/>
  <c r="N20" i="46"/>
  <c r="O20" i="46"/>
  <c r="P20" i="46"/>
  <c r="D21" i="46"/>
  <c r="E21" i="46"/>
  <c r="F21" i="46"/>
  <c r="G21" i="46"/>
  <c r="H21" i="46"/>
  <c r="I21" i="46"/>
  <c r="J21" i="46"/>
  <c r="K21" i="46"/>
  <c r="L21" i="46"/>
  <c r="M21" i="46"/>
  <c r="N21" i="46"/>
  <c r="O21" i="46"/>
  <c r="P21" i="46"/>
  <c r="D22" i="46"/>
  <c r="E22" i="46"/>
  <c r="F22" i="46"/>
  <c r="G22" i="46"/>
  <c r="H22" i="46"/>
  <c r="I22" i="46"/>
  <c r="J22" i="46"/>
  <c r="K22" i="46"/>
  <c r="L22" i="46"/>
  <c r="M22" i="46"/>
  <c r="N22" i="46"/>
  <c r="O22" i="46"/>
  <c r="P22" i="46"/>
  <c r="D27" i="46"/>
  <c r="E27" i="46"/>
  <c r="F27" i="46"/>
  <c r="G27" i="46"/>
  <c r="H27" i="46"/>
  <c r="I27" i="46"/>
  <c r="J27" i="46"/>
  <c r="K27" i="46"/>
  <c r="L27" i="46"/>
  <c r="M27" i="46"/>
  <c r="N27" i="46"/>
  <c r="O27" i="46"/>
  <c r="P27" i="46"/>
  <c r="D28" i="46"/>
  <c r="E28" i="46"/>
  <c r="F28" i="46"/>
  <c r="G28" i="46"/>
  <c r="H28" i="46"/>
  <c r="I28" i="46"/>
  <c r="J28" i="46"/>
  <c r="K28" i="46"/>
  <c r="L28" i="46"/>
  <c r="M28" i="46"/>
  <c r="N28" i="46"/>
  <c r="O28" i="46"/>
  <c r="P28" i="46"/>
  <c r="D29" i="46"/>
  <c r="E29" i="46"/>
  <c r="F29" i="46"/>
  <c r="G29" i="46"/>
  <c r="H29" i="46"/>
  <c r="I29" i="46"/>
  <c r="J29" i="46"/>
  <c r="K29" i="46"/>
  <c r="L29" i="46"/>
  <c r="M29" i="46"/>
  <c r="N29" i="46"/>
  <c r="O29" i="46"/>
  <c r="P29" i="46"/>
  <c r="D30" i="46"/>
  <c r="E30" i="46"/>
  <c r="F30" i="46"/>
  <c r="G30" i="46"/>
  <c r="H30" i="46"/>
  <c r="I30" i="46"/>
  <c r="J30" i="46"/>
  <c r="K30" i="46"/>
  <c r="L30" i="46"/>
  <c r="M30" i="46"/>
  <c r="N30" i="46"/>
  <c r="O30" i="46"/>
  <c r="P30" i="46"/>
  <c r="P31" i="46"/>
  <c r="P32" i="46"/>
  <c r="D33" i="46"/>
  <c r="E33" i="46"/>
  <c r="F33" i="46"/>
  <c r="G33" i="46"/>
  <c r="H33" i="46"/>
  <c r="I33" i="46"/>
  <c r="J33" i="46"/>
  <c r="K33" i="46"/>
  <c r="L33" i="46"/>
  <c r="M33" i="46"/>
  <c r="N33" i="46"/>
  <c r="O33" i="46"/>
  <c r="P33" i="46"/>
  <c r="D34" i="46"/>
  <c r="E34" i="46"/>
  <c r="F34" i="46"/>
  <c r="G34" i="46"/>
  <c r="H34" i="46"/>
  <c r="I34" i="46"/>
  <c r="J34" i="46"/>
  <c r="K34" i="46"/>
  <c r="L34" i="46"/>
  <c r="M34" i="46"/>
  <c r="N34" i="46"/>
  <c r="O34" i="46"/>
  <c r="P34" i="46"/>
  <c r="D35" i="46"/>
  <c r="E35" i="46"/>
  <c r="F35" i="46"/>
  <c r="G35" i="46"/>
  <c r="H35" i="46"/>
  <c r="I35" i="46"/>
  <c r="J35" i="46"/>
  <c r="K35" i="46"/>
  <c r="L35" i="46"/>
  <c r="M35" i="46"/>
  <c r="N35" i="46"/>
  <c r="O35" i="46"/>
  <c r="P35" i="46"/>
  <c r="D36" i="46"/>
  <c r="E36" i="46"/>
  <c r="F36" i="46"/>
  <c r="G36" i="46"/>
  <c r="H36" i="46"/>
  <c r="I36" i="46"/>
  <c r="J36" i="46"/>
  <c r="K36" i="46"/>
  <c r="L36" i="46"/>
  <c r="M36" i="46"/>
  <c r="N36" i="46"/>
  <c r="O36" i="46"/>
  <c r="P36" i="46"/>
  <c r="P37" i="46"/>
  <c r="P38" i="46"/>
  <c r="D39" i="46"/>
  <c r="E39" i="46"/>
  <c r="F39" i="46"/>
  <c r="G39" i="46"/>
  <c r="H39" i="46"/>
  <c r="I39" i="46"/>
  <c r="J39" i="46"/>
  <c r="K39" i="46"/>
  <c r="L39" i="46"/>
  <c r="M39" i="46"/>
  <c r="N39" i="46"/>
  <c r="O39" i="46"/>
  <c r="P39" i="46"/>
  <c r="D40" i="46"/>
  <c r="E40" i="46"/>
  <c r="F40" i="46"/>
  <c r="G40" i="46"/>
  <c r="H40" i="46"/>
  <c r="I40" i="46"/>
  <c r="J40" i="46"/>
  <c r="K40" i="46"/>
  <c r="L40" i="46"/>
  <c r="M40" i="46"/>
  <c r="N40" i="46"/>
  <c r="O40" i="46"/>
  <c r="P40" i="46"/>
  <c r="D41" i="46"/>
  <c r="E41" i="46"/>
  <c r="F41" i="46"/>
  <c r="G41" i="46"/>
  <c r="H41" i="46"/>
  <c r="I41" i="46"/>
  <c r="J41" i="46"/>
  <c r="K41" i="46"/>
  <c r="L41" i="46"/>
  <c r="M41" i="46"/>
  <c r="N41" i="46"/>
  <c r="O41" i="46"/>
  <c r="P41" i="46"/>
  <c r="P42" i="46"/>
  <c r="P43" i="46"/>
  <c r="D44" i="46"/>
  <c r="E44" i="46"/>
  <c r="F44" i="46"/>
  <c r="G44" i="46"/>
  <c r="H44" i="46"/>
  <c r="I44" i="46"/>
  <c r="J44" i="46"/>
  <c r="K44" i="46"/>
  <c r="L44" i="46"/>
  <c r="M44" i="46"/>
  <c r="N44" i="46"/>
  <c r="O44" i="46"/>
  <c r="P44" i="46"/>
  <c r="P45" i="46"/>
  <c r="P46" i="46"/>
  <c r="P47" i="46"/>
  <c r="P48" i="46"/>
  <c r="P49" i="46"/>
  <c r="P50" i="46"/>
  <c r="P51" i="46"/>
  <c r="P52" i="46"/>
  <c r="P53" i="46"/>
  <c r="D54" i="46"/>
  <c r="E54" i="46"/>
  <c r="F54" i="46"/>
  <c r="G54" i="46"/>
  <c r="H54" i="46"/>
  <c r="I54" i="46"/>
  <c r="J54" i="46"/>
  <c r="K54" i="46"/>
  <c r="L54" i="46"/>
  <c r="M54" i="46"/>
  <c r="N54" i="46"/>
  <c r="O54" i="46"/>
  <c r="P54" i="46"/>
  <c r="P55" i="46"/>
  <c r="P56" i="46"/>
  <c r="P57" i="46"/>
  <c r="P58" i="46"/>
  <c r="P59" i="46"/>
  <c r="P60" i="46"/>
  <c r="P61" i="46"/>
  <c r="P62" i="46"/>
  <c r="P63" i="46"/>
  <c r="P64" i="46"/>
  <c r="P65" i="46"/>
  <c r="D68" i="46"/>
  <c r="E68" i="46"/>
  <c r="F68" i="46"/>
  <c r="G68" i="46"/>
  <c r="H68" i="46"/>
  <c r="I68" i="46"/>
  <c r="J68" i="46"/>
  <c r="K68" i="46"/>
  <c r="L68" i="46"/>
  <c r="M68" i="46"/>
  <c r="N68" i="46"/>
  <c r="O68" i="46"/>
  <c r="D70" i="46"/>
  <c r="E70" i="46"/>
  <c r="F70" i="46"/>
  <c r="G70" i="46"/>
  <c r="H70" i="46"/>
  <c r="I70" i="46"/>
  <c r="J70" i="46"/>
  <c r="K70" i="46"/>
  <c r="L70" i="46"/>
  <c r="M70" i="46"/>
  <c r="N70" i="46"/>
  <c r="O70" i="46"/>
  <c r="D71" i="46"/>
  <c r="E71" i="46"/>
  <c r="F71" i="46"/>
  <c r="G71" i="46"/>
  <c r="H71" i="46"/>
  <c r="I71" i="46"/>
  <c r="J71" i="46"/>
  <c r="K71" i="46"/>
  <c r="L71" i="46"/>
  <c r="M71" i="46"/>
  <c r="N71" i="46"/>
  <c r="O71" i="46"/>
  <c r="D72" i="46"/>
  <c r="E72" i="46"/>
  <c r="F72" i="46"/>
  <c r="G72" i="46"/>
  <c r="H72" i="46"/>
  <c r="I72" i="46"/>
  <c r="J72" i="46"/>
  <c r="K72" i="46"/>
  <c r="L72" i="46"/>
  <c r="M72" i="46"/>
  <c r="N72" i="46"/>
  <c r="O72" i="46"/>
  <c r="D74" i="46"/>
  <c r="E74" i="46"/>
  <c r="F74" i="46"/>
  <c r="G74" i="46"/>
  <c r="H74" i="46"/>
  <c r="I74" i="46"/>
  <c r="J74" i="46"/>
  <c r="K74" i="46"/>
  <c r="L74" i="46"/>
  <c r="M74" i="46"/>
  <c r="N74" i="46"/>
  <c r="O74" i="46"/>
  <c r="D77" i="46"/>
  <c r="E77" i="46"/>
  <c r="F77" i="46"/>
  <c r="G77" i="46"/>
  <c r="H77" i="46"/>
  <c r="I77" i="46"/>
  <c r="J77" i="46"/>
  <c r="K77" i="46"/>
  <c r="L77" i="46"/>
  <c r="M77" i="46"/>
  <c r="N77" i="46"/>
  <c r="O77" i="46"/>
  <c r="P77" i="46"/>
  <c r="D79" i="46"/>
  <c r="E79" i="46"/>
  <c r="F79" i="46"/>
  <c r="G79" i="46"/>
  <c r="H79" i="46"/>
  <c r="I79" i="46"/>
  <c r="J79" i="46"/>
  <c r="K79" i="46"/>
  <c r="L79" i="46"/>
  <c r="M79" i="46"/>
  <c r="N79" i="46"/>
  <c r="O79" i="46"/>
  <c r="P79" i="46"/>
  <c r="P8" i="45"/>
  <c r="P9" i="45"/>
  <c r="P10" i="45"/>
  <c r="P11" i="45"/>
  <c r="P12" i="45"/>
  <c r="P13" i="45"/>
  <c r="D14" i="45"/>
  <c r="E14" i="45"/>
  <c r="F14" i="45"/>
  <c r="G14" i="45"/>
  <c r="H14" i="45"/>
  <c r="I14" i="45"/>
  <c r="J14" i="45"/>
  <c r="K14" i="45"/>
  <c r="L14" i="45"/>
  <c r="M14" i="45"/>
  <c r="N14" i="45"/>
  <c r="O14" i="45"/>
  <c r="P14" i="45"/>
  <c r="P16" i="45"/>
  <c r="P17" i="45"/>
  <c r="P18" i="45"/>
  <c r="P19" i="45"/>
  <c r="P20" i="45"/>
  <c r="D21" i="45"/>
  <c r="E21" i="45"/>
  <c r="F21" i="45"/>
  <c r="G21" i="45"/>
  <c r="H21" i="45"/>
  <c r="I21" i="45"/>
  <c r="J21" i="45"/>
  <c r="K21" i="45"/>
  <c r="L21" i="45"/>
  <c r="M21" i="45"/>
  <c r="N21" i="45"/>
  <c r="O21" i="45"/>
  <c r="P21" i="45"/>
  <c r="D22" i="45"/>
  <c r="E22" i="45"/>
  <c r="F22" i="45"/>
  <c r="G22" i="45"/>
  <c r="H22" i="45"/>
  <c r="I22" i="45"/>
  <c r="J22" i="45"/>
  <c r="K22" i="45"/>
  <c r="L22" i="45"/>
  <c r="M22" i="45"/>
  <c r="N22" i="45"/>
  <c r="O22" i="45"/>
  <c r="P22" i="45"/>
  <c r="D27" i="45"/>
  <c r="E27" i="45"/>
  <c r="F27" i="45"/>
  <c r="G27" i="45"/>
  <c r="H27" i="45"/>
  <c r="I27" i="45"/>
  <c r="J27" i="45"/>
  <c r="K27" i="45"/>
  <c r="L27" i="45"/>
  <c r="M27" i="45"/>
  <c r="N27" i="45"/>
  <c r="O27" i="45"/>
  <c r="P27" i="45"/>
  <c r="D28" i="45"/>
  <c r="E28" i="45"/>
  <c r="F28" i="45"/>
  <c r="G28" i="45"/>
  <c r="H28" i="45"/>
  <c r="I28" i="45"/>
  <c r="J28" i="45"/>
  <c r="K28" i="45"/>
  <c r="L28" i="45"/>
  <c r="M28" i="45"/>
  <c r="N28" i="45"/>
  <c r="O28" i="45"/>
  <c r="P28" i="45"/>
  <c r="D29" i="45"/>
  <c r="E29" i="45"/>
  <c r="F29" i="45"/>
  <c r="G29" i="45"/>
  <c r="H29" i="45"/>
  <c r="I29" i="45"/>
  <c r="J29" i="45"/>
  <c r="K29" i="45"/>
  <c r="L29" i="45"/>
  <c r="M29" i="45"/>
  <c r="N29" i="45"/>
  <c r="O29" i="45"/>
  <c r="P29" i="45"/>
  <c r="D30" i="45"/>
  <c r="E30" i="45"/>
  <c r="F30" i="45"/>
  <c r="G30" i="45"/>
  <c r="H30" i="45"/>
  <c r="I30" i="45"/>
  <c r="J30" i="45"/>
  <c r="K30" i="45"/>
  <c r="L30" i="45"/>
  <c r="M30" i="45"/>
  <c r="N30" i="45"/>
  <c r="O30" i="45"/>
  <c r="P30" i="45"/>
  <c r="P31" i="45"/>
  <c r="N32" i="45"/>
  <c r="P32" i="45"/>
  <c r="D33" i="45"/>
  <c r="E33" i="45"/>
  <c r="F33" i="45"/>
  <c r="G33" i="45"/>
  <c r="H33" i="45"/>
  <c r="I33" i="45"/>
  <c r="J33" i="45"/>
  <c r="K33" i="45"/>
  <c r="L33" i="45"/>
  <c r="M33" i="45"/>
  <c r="N33" i="45"/>
  <c r="O33" i="45"/>
  <c r="P33" i="45"/>
  <c r="P34" i="45"/>
  <c r="P35" i="45"/>
  <c r="D36" i="45"/>
  <c r="E36" i="45"/>
  <c r="F36" i="45"/>
  <c r="G36" i="45"/>
  <c r="H36" i="45"/>
  <c r="I36" i="45"/>
  <c r="J36" i="45"/>
  <c r="K36" i="45"/>
  <c r="L36" i="45"/>
  <c r="M36" i="45"/>
  <c r="N36" i="45"/>
  <c r="O36" i="45"/>
  <c r="P36" i="45"/>
  <c r="P37" i="45"/>
  <c r="P38" i="45"/>
  <c r="D39" i="45"/>
  <c r="E39" i="45"/>
  <c r="F39" i="45"/>
  <c r="G39" i="45"/>
  <c r="H39" i="45"/>
  <c r="I39" i="45"/>
  <c r="J39" i="45"/>
  <c r="K39" i="45"/>
  <c r="L39" i="45"/>
  <c r="M39" i="45"/>
  <c r="N39" i="45"/>
  <c r="O39" i="45"/>
  <c r="P39" i="45"/>
  <c r="D40" i="45"/>
  <c r="E40" i="45"/>
  <c r="F40" i="45"/>
  <c r="G40" i="45"/>
  <c r="H40" i="45"/>
  <c r="I40" i="45"/>
  <c r="J40" i="45"/>
  <c r="K40" i="45"/>
  <c r="L40" i="45"/>
  <c r="M40" i="45"/>
  <c r="N40" i="45"/>
  <c r="O40" i="45"/>
  <c r="P40" i="45"/>
  <c r="D41" i="45"/>
  <c r="E41" i="45"/>
  <c r="F41" i="45"/>
  <c r="G41" i="45"/>
  <c r="H41" i="45"/>
  <c r="I41" i="45"/>
  <c r="J41" i="45"/>
  <c r="K41" i="45"/>
  <c r="L41" i="45"/>
  <c r="M41" i="45"/>
  <c r="N41" i="45"/>
  <c r="O41" i="45"/>
  <c r="P41" i="45"/>
  <c r="P42" i="45"/>
  <c r="P43" i="45"/>
  <c r="D44" i="45"/>
  <c r="E44" i="45"/>
  <c r="F44" i="45"/>
  <c r="G44" i="45"/>
  <c r="H44" i="45"/>
  <c r="I44" i="45"/>
  <c r="J44" i="45"/>
  <c r="K44" i="45"/>
  <c r="L44" i="45"/>
  <c r="M44" i="45"/>
  <c r="N44" i="45"/>
  <c r="O44" i="45"/>
  <c r="P44" i="45"/>
  <c r="P45" i="45"/>
  <c r="P46" i="45"/>
  <c r="P47" i="45"/>
  <c r="P48" i="45"/>
  <c r="P49" i="45"/>
  <c r="P50" i="45"/>
  <c r="P51" i="45"/>
  <c r="P52" i="45"/>
  <c r="P53" i="45"/>
  <c r="D54" i="45"/>
  <c r="E54" i="45"/>
  <c r="F54" i="45"/>
  <c r="G54" i="45"/>
  <c r="H54" i="45"/>
  <c r="I54" i="45"/>
  <c r="J54" i="45"/>
  <c r="K54" i="45"/>
  <c r="L54" i="45"/>
  <c r="M54" i="45"/>
  <c r="N54" i="45"/>
  <c r="O54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D66" i="45"/>
  <c r="E66" i="45"/>
  <c r="F66" i="45"/>
  <c r="G66" i="45"/>
  <c r="H66" i="45"/>
  <c r="I66" i="45"/>
  <c r="J66" i="45"/>
  <c r="K66" i="45"/>
  <c r="L66" i="45"/>
  <c r="M66" i="45"/>
  <c r="N66" i="45"/>
  <c r="O66" i="45"/>
  <c r="D69" i="45"/>
  <c r="E69" i="45"/>
  <c r="F69" i="45"/>
  <c r="G69" i="45"/>
  <c r="H69" i="45"/>
  <c r="I69" i="45"/>
  <c r="J69" i="45"/>
  <c r="K69" i="45"/>
  <c r="L69" i="45"/>
  <c r="M69" i="45"/>
  <c r="N69" i="45"/>
  <c r="O69" i="45"/>
  <c r="D71" i="45"/>
  <c r="E71" i="45"/>
  <c r="F71" i="45"/>
  <c r="G71" i="45"/>
  <c r="H71" i="45"/>
  <c r="I71" i="45"/>
  <c r="J71" i="45"/>
  <c r="K71" i="45"/>
  <c r="L71" i="45"/>
  <c r="M71" i="45"/>
  <c r="N71" i="45"/>
  <c r="O71" i="45"/>
  <c r="B72" i="45"/>
  <c r="D72" i="45"/>
  <c r="E72" i="45"/>
  <c r="F72" i="45"/>
  <c r="G72" i="45"/>
  <c r="H72" i="45"/>
  <c r="I72" i="45"/>
  <c r="J72" i="45"/>
  <c r="K72" i="45"/>
  <c r="L72" i="45"/>
  <c r="M72" i="45"/>
  <c r="N72" i="45"/>
  <c r="O72" i="45"/>
  <c r="D73" i="45"/>
  <c r="E73" i="45"/>
  <c r="F73" i="45"/>
  <c r="G73" i="45"/>
  <c r="H73" i="45"/>
  <c r="I73" i="45"/>
  <c r="J73" i="45"/>
  <c r="K73" i="45"/>
  <c r="L73" i="45"/>
  <c r="M73" i="45"/>
  <c r="N73" i="45"/>
  <c r="O73" i="45"/>
  <c r="D75" i="45"/>
  <c r="E75" i="45"/>
  <c r="F75" i="45"/>
  <c r="G75" i="45"/>
  <c r="H75" i="45"/>
  <c r="I75" i="45"/>
  <c r="J75" i="45"/>
  <c r="K75" i="45"/>
  <c r="L75" i="45"/>
  <c r="M75" i="45"/>
  <c r="N75" i="45"/>
  <c r="O75" i="45"/>
  <c r="D79" i="45"/>
  <c r="E79" i="45"/>
  <c r="F79" i="45"/>
  <c r="G79" i="45"/>
  <c r="H79" i="45"/>
  <c r="I79" i="45"/>
  <c r="J79" i="45"/>
  <c r="K79" i="45"/>
  <c r="L79" i="45"/>
  <c r="M79" i="45"/>
  <c r="N79" i="45"/>
  <c r="D82" i="45"/>
  <c r="E82" i="45"/>
  <c r="F82" i="45"/>
  <c r="G82" i="45"/>
  <c r="H82" i="45"/>
  <c r="I82" i="45"/>
  <c r="J82" i="45"/>
  <c r="K82" i="45"/>
  <c r="L82" i="45"/>
  <c r="M82" i="45"/>
  <c r="N82" i="45"/>
  <c r="O82" i="45"/>
  <c r="P82" i="45"/>
  <c r="D83" i="45"/>
  <c r="E83" i="45"/>
  <c r="F83" i="45"/>
  <c r="G83" i="45"/>
  <c r="H83" i="45"/>
  <c r="I83" i="45"/>
  <c r="J83" i="45"/>
  <c r="K83" i="45"/>
  <c r="L83" i="45"/>
  <c r="M83" i="45"/>
  <c r="N83" i="45"/>
  <c r="O83" i="45"/>
  <c r="P83" i="45"/>
  <c r="P8" i="43"/>
  <c r="P9" i="43"/>
  <c r="P10" i="43"/>
  <c r="P11" i="43"/>
  <c r="P12" i="43"/>
  <c r="P13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P16" i="43"/>
  <c r="P17" i="43"/>
  <c r="P18" i="43"/>
  <c r="P19" i="43"/>
  <c r="P20" i="43"/>
  <c r="D21" i="43"/>
  <c r="E21" i="43"/>
  <c r="F21" i="43"/>
  <c r="G21" i="43"/>
  <c r="H21" i="43"/>
  <c r="I21" i="43"/>
  <c r="J21" i="43"/>
  <c r="K21" i="43"/>
  <c r="L21" i="43"/>
  <c r="M21" i="43"/>
  <c r="N21" i="43"/>
  <c r="O21" i="43"/>
  <c r="P21" i="43"/>
  <c r="D22" i="43"/>
  <c r="E22" i="43"/>
  <c r="F22" i="43"/>
  <c r="G22" i="43"/>
  <c r="H22" i="43"/>
  <c r="I22" i="43"/>
  <c r="J22" i="43"/>
  <c r="K22" i="43"/>
  <c r="L22" i="43"/>
  <c r="M22" i="43"/>
  <c r="N22" i="43"/>
  <c r="O22" i="43"/>
  <c r="P22" i="43"/>
  <c r="D27" i="43"/>
  <c r="E27" i="43"/>
  <c r="F27" i="43"/>
  <c r="G27" i="43"/>
  <c r="H27" i="43"/>
  <c r="I27" i="43"/>
  <c r="J27" i="43"/>
  <c r="K27" i="43"/>
  <c r="L27" i="43"/>
  <c r="M27" i="43"/>
  <c r="N27" i="43"/>
  <c r="O27" i="43"/>
  <c r="P27" i="43"/>
  <c r="D28" i="43"/>
  <c r="E28" i="43"/>
  <c r="F28" i="43"/>
  <c r="G28" i="43"/>
  <c r="H28" i="43"/>
  <c r="I28" i="43"/>
  <c r="J28" i="43"/>
  <c r="K28" i="43"/>
  <c r="L28" i="43"/>
  <c r="M28" i="43"/>
  <c r="N28" i="43"/>
  <c r="O28" i="43"/>
  <c r="P28" i="43"/>
  <c r="D29" i="43"/>
  <c r="E29" i="43"/>
  <c r="F29" i="43"/>
  <c r="G29" i="43"/>
  <c r="H29" i="43"/>
  <c r="I29" i="43"/>
  <c r="J29" i="43"/>
  <c r="K29" i="43"/>
  <c r="L29" i="43"/>
  <c r="M29" i="43"/>
  <c r="N29" i="43"/>
  <c r="O29" i="43"/>
  <c r="P29" i="43"/>
  <c r="D30" i="43"/>
  <c r="E30" i="43"/>
  <c r="F30" i="43"/>
  <c r="G30" i="43"/>
  <c r="H30" i="43"/>
  <c r="I30" i="43"/>
  <c r="J30" i="43"/>
  <c r="K30" i="43"/>
  <c r="L30" i="43"/>
  <c r="M30" i="43"/>
  <c r="N30" i="43"/>
  <c r="O30" i="43"/>
  <c r="P30" i="43"/>
  <c r="P31" i="43"/>
  <c r="D32" i="43"/>
  <c r="E32" i="43"/>
  <c r="F32" i="43"/>
  <c r="G32" i="43"/>
  <c r="H32" i="43"/>
  <c r="I32" i="43"/>
  <c r="J32" i="43"/>
  <c r="K32" i="43"/>
  <c r="L32" i="43"/>
  <c r="M32" i="43"/>
  <c r="N32" i="43"/>
  <c r="O32" i="43"/>
  <c r="P32" i="43"/>
  <c r="P33" i="43"/>
  <c r="P34" i="43"/>
  <c r="D35" i="43"/>
  <c r="E35" i="43"/>
  <c r="F35" i="43"/>
  <c r="G35" i="43"/>
  <c r="H35" i="43"/>
  <c r="I35" i="43"/>
  <c r="J35" i="43"/>
  <c r="K35" i="43"/>
  <c r="L35" i="43"/>
  <c r="M35" i="43"/>
  <c r="N35" i="43"/>
  <c r="O35" i="43"/>
  <c r="P35" i="43"/>
  <c r="P36" i="43"/>
  <c r="P37" i="43"/>
  <c r="D38" i="43"/>
  <c r="E38" i="43"/>
  <c r="F38" i="43"/>
  <c r="G38" i="43"/>
  <c r="H38" i="43"/>
  <c r="I38" i="43"/>
  <c r="J38" i="43"/>
  <c r="K38" i="43"/>
  <c r="L38" i="43"/>
  <c r="M38" i="43"/>
  <c r="N38" i="43"/>
  <c r="O38" i="43"/>
  <c r="P38" i="43"/>
  <c r="D39" i="43"/>
  <c r="E39" i="43"/>
  <c r="F39" i="43"/>
  <c r="G39" i="43"/>
  <c r="H39" i="43"/>
  <c r="I39" i="43"/>
  <c r="J39" i="43"/>
  <c r="K39" i="43"/>
  <c r="L39" i="43"/>
  <c r="M39" i="43"/>
  <c r="N39" i="43"/>
  <c r="O39" i="43"/>
  <c r="P39" i="43"/>
  <c r="D40" i="43"/>
  <c r="E40" i="43"/>
  <c r="F40" i="43"/>
  <c r="G40" i="43"/>
  <c r="H40" i="43"/>
  <c r="I40" i="43"/>
  <c r="J40" i="43"/>
  <c r="K40" i="43"/>
  <c r="L40" i="43"/>
  <c r="M40" i="43"/>
  <c r="N40" i="43"/>
  <c r="O40" i="43"/>
  <c r="P40" i="43"/>
  <c r="P41" i="43"/>
  <c r="P42" i="43"/>
  <c r="D43" i="43"/>
  <c r="E43" i="43"/>
  <c r="F43" i="43"/>
  <c r="G43" i="43"/>
  <c r="H43" i="43"/>
  <c r="I43" i="43"/>
  <c r="J43" i="43"/>
  <c r="K43" i="43"/>
  <c r="L43" i="43"/>
  <c r="M43" i="43"/>
  <c r="N43" i="43"/>
  <c r="O43" i="43"/>
  <c r="P43" i="43"/>
  <c r="P44" i="43"/>
  <c r="P45" i="43"/>
  <c r="P46" i="43"/>
  <c r="P47" i="43"/>
  <c r="P48" i="43"/>
  <c r="I49" i="43"/>
  <c r="P49" i="43"/>
  <c r="P50" i="43"/>
  <c r="P51" i="43"/>
  <c r="P52" i="43"/>
  <c r="D53" i="43"/>
  <c r="E53" i="43"/>
  <c r="F53" i="43"/>
  <c r="G53" i="43"/>
  <c r="H53" i="43"/>
  <c r="I53" i="43"/>
  <c r="J53" i="43"/>
  <c r="K53" i="43"/>
  <c r="L53" i="43"/>
  <c r="M53" i="43"/>
  <c r="N53" i="43"/>
  <c r="O53" i="43"/>
  <c r="P53" i="43"/>
  <c r="P54" i="43"/>
  <c r="P55" i="43"/>
  <c r="P56" i="43"/>
  <c r="P57" i="43"/>
  <c r="P58" i="43"/>
  <c r="P59" i="43"/>
  <c r="P60" i="43"/>
  <c r="P61" i="43"/>
  <c r="P62" i="43"/>
  <c r="D63" i="43"/>
  <c r="E63" i="43"/>
  <c r="F63" i="43"/>
  <c r="G63" i="43"/>
  <c r="H63" i="43"/>
  <c r="I63" i="43"/>
  <c r="J63" i="43"/>
  <c r="K63" i="43"/>
  <c r="L63" i="43"/>
  <c r="M63" i="43"/>
  <c r="N63" i="43"/>
  <c r="O63" i="43"/>
  <c r="D66" i="43"/>
  <c r="E66" i="43"/>
  <c r="F66" i="43"/>
  <c r="G66" i="43"/>
  <c r="H66" i="43"/>
  <c r="I66" i="43"/>
  <c r="J66" i="43"/>
  <c r="K66" i="43"/>
  <c r="L66" i="43"/>
  <c r="M66" i="43"/>
  <c r="N66" i="43"/>
  <c r="O66" i="43"/>
  <c r="D68" i="43"/>
  <c r="E68" i="43"/>
  <c r="F68" i="43"/>
  <c r="G68" i="43"/>
  <c r="H68" i="43"/>
  <c r="I68" i="43"/>
  <c r="J68" i="43"/>
  <c r="K68" i="43"/>
  <c r="L68" i="43"/>
  <c r="M68" i="43"/>
  <c r="N68" i="43"/>
  <c r="O68" i="43"/>
  <c r="D69" i="43"/>
  <c r="E69" i="43"/>
  <c r="F69" i="43"/>
  <c r="G69" i="43"/>
  <c r="H69" i="43"/>
  <c r="I69" i="43"/>
  <c r="J69" i="43"/>
  <c r="K69" i="43"/>
  <c r="L69" i="43"/>
  <c r="M69" i="43"/>
  <c r="N69" i="43"/>
  <c r="O69" i="43"/>
  <c r="D70" i="43"/>
  <c r="E70" i="43"/>
  <c r="F70" i="43"/>
  <c r="G70" i="43"/>
  <c r="H70" i="43"/>
  <c r="I70" i="43"/>
  <c r="J70" i="43"/>
  <c r="K70" i="43"/>
  <c r="L70" i="43"/>
  <c r="M70" i="43"/>
  <c r="N70" i="43"/>
  <c r="O70" i="43"/>
  <c r="D72" i="43"/>
  <c r="E72" i="43"/>
  <c r="F72" i="43"/>
  <c r="G72" i="43"/>
  <c r="H72" i="43"/>
  <c r="I72" i="43"/>
  <c r="J72" i="43"/>
  <c r="K72" i="43"/>
  <c r="L72" i="43"/>
  <c r="M72" i="43"/>
  <c r="N72" i="43"/>
  <c r="O72" i="43"/>
  <c r="D76" i="43"/>
  <c r="E76" i="43"/>
  <c r="F76" i="43"/>
  <c r="G76" i="43"/>
  <c r="H76" i="43"/>
  <c r="I76" i="43"/>
  <c r="J76" i="43"/>
  <c r="K76" i="43"/>
  <c r="L76" i="43"/>
  <c r="M76" i="43"/>
  <c r="N76" i="43"/>
  <c r="D78" i="43"/>
  <c r="E78" i="43"/>
  <c r="F78" i="43"/>
  <c r="G78" i="43"/>
  <c r="H78" i="43"/>
  <c r="I78" i="43"/>
  <c r="J78" i="43"/>
  <c r="K78" i="43"/>
  <c r="L78" i="43"/>
  <c r="M78" i="43"/>
  <c r="N78" i="43"/>
  <c r="D79" i="43"/>
  <c r="E79" i="43"/>
  <c r="F79" i="43"/>
  <c r="G79" i="43"/>
  <c r="H79" i="43"/>
  <c r="I79" i="43"/>
  <c r="J79" i="43"/>
  <c r="K79" i="43"/>
  <c r="L79" i="43"/>
  <c r="M79" i="43"/>
  <c r="N79" i="43"/>
  <c r="O79" i="43"/>
  <c r="I84" i="43"/>
  <c r="J84" i="43"/>
  <c r="K84" i="43"/>
  <c r="L84" i="43"/>
  <c r="M84" i="43"/>
  <c r="N84" i="43"/>
  <c r="O84" i="43"/>
  <c r="I89" i="43"/>
  <c r="J89" i="43"/>
  <c r="K89" i="43"/>
  <c r="L89" i="43"/>
  <c r="M89" i="43"/>
  <c r="N89" i="43"/>
  <c r="O89" i="43"/>
  <c r="I91" i="43"/>
  <c r="J91" i="43"/>
  <c r="K91" i="43"/>
  <c r="L91" i="43"/>
  <c r="M91" i="43"/>
  <c r="N91" i="43"/>
  <c r="O91" i="43"/>
  <c r="I92" i="43"/>
  <c r="J92" i="43"/>
  <c r="K92" i="43"/>
  <c r="L92" i="43"/>
  <c r="M92" i="43"/>
  <c r="N92" i="43"/>
  <c r="O92" i="43"/>
  <c r="P8" i="44"/>
  <c r="P9" i="44"/>
  <c r="P10" i="44"/>
  <c r="P11" i="44"/>
  <c r="P12" i="44"/>
  <c r="P13" i="44"/>
  <c r="D14" i="44"/>
  <c r="E14" i="44"/>
  <c r="F14" i="44"/>
  <c r="G14" i="44"/>
  <c r="H14" i="44"/>
  <c r="I14" i="44"/>
  <c r="J14" i="44"/>
  <c r="K14" i="44"/>
  <c r="L14" i="44"/>
  <c r="M14" i="44"/>
  <c r="N14" i="44"/>
  <c r="O14" i="44"/>
  <c r="P14" i="44"/>
  <c r="P16" i="44"/>
  <c r="P17" i="44"/>
  <c r="P18" i="44"/>
  <c r="P19" i="44"/>
  <c r="P20" i="44"/>
  <c r="D21" i="44"/>
  <c r="E21" i="44"/>
  <c r="F21" i="44"/>
  <c r="G21" i="44"/>
  <c r="H21" i="44"/>
  <c r="I21" i="44"/>
  <c r="J21" i="44"/>
  <c r="K21" i="44"/>
  <c r="L21" i="44"/>
  <c r="M21" i="44"/>
  <c r="N21" i="44"/>
  <c r="O21" i="44"/>
  <c r="P21" i="44"/>
  <c r="D22" i="44"/>
  <c r="E22" i="44"/>
  <c r="F22" i="44"/>
  <c r="G22" i="44"/>
  <c r="H22" i="44"/>
  <c r="I22" i="44"/>
  <c r="J22" i="44"/>
  <c r="K22" i="44"/>
  <c r="L22" i="44"/>
  <c r="M22" i="44"/>
  <c r="N22" i="44"/>
  <c r="O22" i="44"/>
  <c r="P22" i="44"/>
  <c r="D27" i="44"/>
  <c r="E27" i="44"/>
  <c r="F27" i="44"/>
  <c r="G27" i="44"/>
  <c r="H27" i="44"/>
  <c r="I27" i="44"/>
  <c r="J27" i="44"/>
  <c r="K27" i="44"/>
  <c r="L27" i="44"/>
  <c r="M27" i="44"/>
  <c r="N27" i="44"/>
  <c r="O27" i="44"/>
  <c r="P27" i="44"/>
  <c r="D28" i="44"/>
  <c r="E28" i="44"/>
  <c r="F28" i="44"/>
  <c r="G28" i="44"/>
  <c r="H28" i="44"/>
  <c r="I28" i="44"/>
  <c r="J28" i="44"/>
  <c r="K28" i="44"/>
  <c r="L28" i="44"/>
  <c r="M28" i="44"/>
  <c r="N28" i="44"/>
  <c r="O28" i="44"/>
  <c r="P28" i="44"/>
  <c r="D29" i="44"/>
  <c r="E29" i="44"/>
  <c r="F29" i="44"/>
  <c r="G29" i="44"/>
  <c r="H29" i="44"/>
  <c r="I29" i="44"/>
  <c r="J29" i="44"/>
  <c r="K29" i="44"/>
  <c r="L29" i="44"/>
  <c r="M29" i="44"/>
  <c r="N29" i="44"/>
  <c r="O29" i="44"/>
  <c r="P29" i="44"/>
  <c r="D30" i="44"/>
  <c r="E30" i="44"/>
  <c r="F30" i="44"/>
  <c r="G30" i="44"/>
  <c r="H30" i="44"/>
  <c r="I30" i="44"/>
  <c r="J30" i="44"/>
  <c r="K30" i="44"/>
  <c r="L30" i="44"/>
  <c r="M30" i="44"/>
  <c r="N30" i="44"/>
  <c r="O30" i="44"/>
  <c r="P30" i="44"/>
  <c r="P31" i="44"/>
  <c r="D32" i="44"/>
  <c r="E32" i="44"/>
  <c r="F32" i="44"/>
  <c r="G32" i="44"/>
  <c r="H32" i="44"/>
  <c r="I32" i="44"/>
  <c r="J32" i="44"/>
  <c r="K32" i="44"/>
  <c r="L32" i="44"/>
  <c r="M32" i="44"/>
  <c r="N32" i="44"/>
  <c r="O32" i="44"/>
  <c r="P32" i="44"/>
  <c r="P33" i="44"/>
  <c r="P34" i="44"/>
  <c r="D35" i="44"/>
  <c r="E35" i="44"/>
  <c r="F35" i="44"/>
  <c r="G35" i="44"/>
  <c r="H35" i="44"/>
  <c r="I35" i="44"/>
  <c r="J35" i="44"/>
  <c r="K35" i="44"/>
  <c r="L35" i="44"/>
  <c r="M35" i="44"/>
  <c r="N35" i="44"/>
  <c r="O35" i="44"/>
  <c r="P35" i="44"/>
  <c r="P36" i="44"/>
  <c r="P37" i="44"/>
  <c r="D38" i="44"/>
  <c r="E38" i="44"/>
  <c r="F38" i="44"/>
  <c r="G38" i="44"/>
  <c r="H38" i="44"/>
  <c r="I38" i="44"/>
  <c r="J38" i="44"/>
  <c r="K38" i="44"/>
  <c r="L38" i="44"/>
  <c r="M38" i="44"/>
  <c r="N38" i="44"/>
  <c r="O38" i="44"/>
  <c r="P38" i="44"/>
  <c r="D39" i="44"/>
  <c r="E39" i="44"/>
  <c r="F39" i="44"/>
  <c r="G39" i="44"/>
  <c r="H39" i="44"/>
  <c r="I39" i="44"/>
  <c r="J39" i="44"/>
  <c r="K39" i="44"/>
  <c r="L39" i="44"/>
  <c r="M39" i="44"/>
  <c r="N39" i="44"/>
  <c r="O39" i="44"/>
  <c r="P39" i="44"/>
  <c r="D40" i="44"/>
  <c r="E40" i="44"/>
  <c r="F40" i="44"/>
  <c r="G40" i="44"/>
  <c r="H40" i="44"/>
  <c r="I40" i="44"/>
  <c r="J40" i="44"/>
  <c r="K40" i="44"/>
  <c r="L40" i="44"/>
  <c r="M40" i="44"/>
  <c r="N40" i="44"/>
  <c r="O40" i="44"/>
  <c r="P40" i="44"/>
  <c r="P41" i="44"/>
  <c r="P42" i="44"/>
  <c r="D43" i="44"/>
  <c r="E43" i="44"/>
  <c r="F43" i="44"/>
  <c r="G43" i="44"/>
  <c r="H43" i="44"/>
  <c r="I43" i="44"/>
  <c r="J43" i="44"/>
  <c r="K43" i="44"/>
  <c r="L43" i="44"/>
  <c r="M43" i="44"/>
  <c r="N43" i="44"/>
  <c r="O43" i="44"/>
  <c r="P43" i="44"/>
  <c r="P44" i="44"/>
  <c r="P45" i="44"/>
  <c r="I46" i="44"/>
  <c r="J46" i="44"/>
  <c r="K46" i="44"/>
  <c r="L46" i="44"/>
  <c r="M46" i="44"/>
  <c r="N46" i="44"/>
  <c r="O46" i="44"/>
  <c r="P46" i="44"/>
  <c r="P47" i="44"/>
  <c r="P48" i="44"/>
  <c r="P49" i="44"/>
  <c r="I50" i="44"/>
  <c r="P50" i="44"/>
  <c r="P51" i="44"/>
  <c r="P52" i="44"/>
  <c r="P53" i="44"/>
  <c r="P54" i="44"/>
  <c r="D55" i="44"/>
  <c r="E55" i="44"/>
  <c r="F55" i="44"/>
  <c r="G55" i="44"/>
  <c r="H55" i="44"/>
  <c r="I55" i="44"/>
  <c r="J55" i="44"/>
  <c r="K55" i="44"/>
  <c r="L55" i="44"/>
  <c r="M55" i="44"/>
  <c r="N55" i="44"/>
  <c r="O55" i="44"/>
  <c r="P55" i="44"/>
  <c r="P56" i="44"/>
  <c r="P57" i="44"/>
  <c r="P58" i="44"/>
  <c r="P59" i="44"/>
  <c r="P60" i="44"/>
  <c r="P61" i="44"/>
  <c r="P62" i="44"/>
  <c r="P63" i="44"/>
  <c r="P64" i="44"/>
  <c r="D65" i="44"/>
  <c r="E65" i="44"/>
  <c r="F65" i="44"/>
  <c r="G65" i="44"/>
  <c r="H65" i="44"/>
  <c r="I65" i="44"/>
  <c r="J65" i="44"/>
  <c r="K65" i="44"/>
  <c r="L65" i="44"/>
  <c r="M65" i="44"/>
  <c r="N65" i="44"/>
  <c r="O65" i="44"/>
  <c r="D68" i="44"/>
  <c r="E68" i="44"/>
  <c r="F68" i="44"/>
  <c r="G68" i="44"/>
  <c r="H68" i="44"/>
  <c r="I68" i="44"/>
  <c r="J68" i="44"/>
  <c r="K68" i="44"/>
  <c r="L68" i="44"/>
  <c r="M68" i="44"/>
  <c r="N68" i="44"/>
  <c r="O68" i="44"/>
  <c r="D70" i="44"/>
  <c r="E70" i="44"/>
  <c r="F70" i="44"/>
  <c r="G70" i="44"/>
  <c r="H70" i="44"/>
  <c r="I70" i="44"/>
  <c r="J70" i="44"/>
  <c r="K70" i="44"/>
  <c r="L70" i="44"/>
  <c r="M70" i="44"/>
  <c r="N70" i="44"/>
  <c r="O70" i="44"/>
  <c r="D71" i="44"/>
  <c r="E71" i="44"/>
  <c r="F71" i="44"/>
  <c r="G71" i="44"/>
  <c r="H71" i="44"/>
  <c r="I71" i="44"/>
  <c r="J71" i="44"/>
  <c r="K71" i="44"/>
  <c r="L71" i="44"/>
  <c r="M71" i="44"/>
  <c r="N71" i="44"/>
  <c r="O71" i="44"/>
  <c r="D72" i="44"/>
  <c r="E72" i="44"/>
  <c r="F72" i="44"/>
  <c r="G72" i="44"/>
  <c r="H72" i="44"/>
  <c r="I72" i="44"/>
  <c r="J72" i="44"/>
  <c r="K72" i="44"/>
  <c r="L72" i="44"/>
  <c r="M72" i="44"/>
  <c r="N72" i="44"/>
  <c r="O72" i="44"/>
  <c r="D74" i="44"/>
  <c r="E74" i="44"/>
  <c r="F74" i="44"/>
  <c r="G74" i="44"/>
  <c r="H74" i="44"/>
  <c r="I74" i="44"/>
  <c r="J74" i="44"/>
  <c r="K74" i="44"/>
  <c r="L74" i="44"/>
  <c r="M74" i="44"/>
  <c r="N74" i="44"/>
  <c r="O74" i="44"/>
  <c r="D78" i="44"/>
  <c r="E78" i="44"/>
  <c r="F78" i="44"/>
  <c r="G78" i="44"/>
  <c r="H78" i="44"/>
  <c r="I78" i="44"/>
  <c r="J78" i="44"/>
  <c r="K78" i="44"/>
  <c r="L78" i="44"/>
  <c r="M78" i="44"/>
  <c r="N78" i="44"/>
  <c r="O78" i="44"/>
  <c r="D79" i="44"/>
  <c r="E79" i="44"/>
  <c r="F79" i="44"/>
  <c r="G79" i="44"/>
  <c r="H79" i="44"/>
  <c r="I79" i="44"/>
  <c r="J79" i="44"/>
  <c r="K79" i="44"/>
  <c r="L79" i="44"/>
  <c r="M79" i="44"/>
  <c r="N79" i="44"/>
  <c r="O79" i="44"/>
  <c r="D80" i="44"/>
  <c r="E80" i="44"/>
  <c r="F80" i="44"/>
  <c r="G80" i="44"/>
  <c r="H80" i="44"/>
  <c r="I80" i="44"/>
  <c r="J80" i="44"/>
  <c r="K80" i="44"/>
  <c r="L80" i="44"/>
  <c r="M80" i="44"/>
  <c r="N80" i="44"/>
  <c r="O80" i="44"/>
  <c r="I90" i="44"/>
  <c r="J90" i="44"/>
  <c r="K90" i="44"/>
  <c r="L90" i="44"/>
  <c r="M90" i="44"/>
  <c r="N90" i="44"/>
  <c r="O90" i="44"/>
  <c r="I95" i="44"/>
  <c r="J95" i="44"/>
  <c r="K95" i="44"/>
  <c r="L95" i="44"/>
  <c r="M95" i="44"/>
  <c r="N95" i="44"/>
  <c r="O95" i="44"/>
  <c r="I97" i="44"/>
  <c r="J97" i="44"/>
  <c r="K97" i="44"/>
  <c r="L97" i="44"/>
  <c r="M97" i="44"/>
  <c r="N97" i="44"/>
  <c r="O97" i="44"/>
  <c r="I98" i="44"/>
  <c r="J98" i="44"/>
  <c r="K98" i="44"/>
  <c r="L98" i="44"/>
  <c r="M98" i="44"/>
  <c r="N98" i="44"/>
  <c r="O98" i="44"/>
  <c r="P8" i="42"/>
  <c r="P9" i="42"/>
  <c r="P10" i="42"/>
  <c r="P11" i="42"/>
  <c r="P12" i="42"/>
  <c r="P13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P16" i="42"/>
  <c r="P17" i="42"/>
  <c r="P18" i="42"/>
  <c r="P19" i="42"/>
  <c r="P20" i="42"/>
  <c r="D21" i="42"/>
  <c r="E21" i="42"/>
  <c r="F21" i="42"/>
  <c r="G21" i="42"/>
  <c r="H21" i="42"/>
  <c r="I21" i="42"/>
  <c r="J21" i="42"/>
  <c r="K21" i="42"/>
  <c r="L21" i="42"/>
  <c r="M21" i="42"/>
  <c r="N21" i="42"/>
  <c r="O21" i="42"/>
  <c r="P21" i="42"/>
  <c r="D22" i="42"/>
  <c r="E22" i="42"/>
  <c r="F22" i="42"/>
  <c r="G22" i="42"/>
  <c r="H22" i="42"/>
  <c r="I22" i="42"/>
  <c r="J22" i="42"/>
  <c r="K22" i="42"/>
  <c r="L22" i="42"/>
  <c r="M22" i="42"/>
  <c r="N22" i="42"/>
  <c r="O22" i="42"/>
  <c r="P22" i="42"/>
  <c r="D27" i="42"/>
  <c r="E27" i="42"/>
  <c r="F27" i="42"/>
  <c r="G27" i="42"/>
  <c r="H27" i="42"/>
  <c r="I27" i="42"/>
  <c r="J27" i="42"/>
  <c r="K27" i="42"/>
  <c r="L27" i="42"/>
  <c r="M27" i="42"/>
  <c r="N27" i="42"/>
  <c r="O27" i="42"/>
  <c r="P27" i="42"/>
  <c r="P28" i="42"/>
  <c r="P29" i="42"/>
  <c r="D30" i="42"/>
  <c r="E30" i="42"/>
  <c r="F30" i="42"/>
  <c r="G30" i="42"/>
  <c r="H30" i="42"/>
  <c r="I30" i="42"/>
  <c r="J30" i="42"/>
  <c r="K30" i="42"/>
  <c r="L30" i="42"/>
  <c r="M30" i="42"/>
  <c r="N30" i="42"/>
  <c r="O30" i="42"/>
  <c r="P30" i="42"/>
  <c r="P31" i="42"/>
  <c r="D32" i="42"/>
  <c r="E32" i="42"/>
  <c r="F32" i="42"/>
  <c r="G32" i="42"/>
  <c r="H32" i="42"/>
  <c r="I32" i="42"/>
  <c r="J32" i="42"/>
  <c r="K32" i="42"/>
  <c r="L32" i="42"/>
  <c r="M32" i="42"/>
  <c r="N32" i="42"/>
  <c r="O32" i="42"/>
  <c r="P32" i="42"/>
  <c r="P33" i="42"/>
  <c r="Q33" i="42"/>
  <c r="P34" i="42"/>
  <c r="Q34" i="42"/>
  <c r="D35" i="42"/>
  <c r="E35" i="42"/>
  <c r="F35" i="42"/>
  <c r="G35" i="42"/>
  <c r="H35" i="42"/>
  <c r="I35" i="42"/>
  <c r="J35" i="42"/>
  <c r="K35" i="42"/>
  <c r="L35" i="42"/>
  <c r="M35" i="42"/>
  <c r="N35" i="42"/>
  <c r="O35" i="42"/>
  <c r="P35" i="42"/>
  <c r="P36" i="42"/>
  <c r="P37" i="42"/>
  <c r="D38" i="42"/>
  <c r="E38" i="42"/>
  <c r="F38" i="42"/>
  <c r="G38" i="42"/>
  <c r="H38" i="42"/>
  <c r="I38" i="42"/>
  <c r="J38" i="42"/>
  <c r="K38" i="42"/>
  <c r="L38" i="42"/>
  <c r="M38" i="42"/>
  <c r="N38" i="42"/>
  <c r="O38" i="42"/>
  <c r="P38" i="42"/>
  <c r="D39" i="42"/>
  <c r="E39" i="42"/>
  <c r="F39" i="42"/>
  <c r="G39" i="42"/>
  <c r="H39" i="42"/>
  <c r="I39" i="42"/>
  <c r="J39" i="42"/>
  <c r="K39" i="42"/>
  <c r="L39" i="42"/>
  <c r="M39" i="42"/>
  <c r="N39" i="42"/>
  <c r="O39" i="42"/>
  <c r="P39" i="42"/>
  <c r="D40" i="42"/>
  <c r="E40" i="42"/>
  <c r="F40" i="42"/>
  <c r="G40" i="42"/>
  <c r="H40" i="42"/>
  <c r="I40" i="42"/>
  <c r="J40" i="42"/>
  <c r="K40" i="42"/>
  <c r="L40" i="42"/>
  <c r="M40" i="42"/>
  <c r="N40" i="42"/>
  <c r="O40" i="42"/>
  <c r="P40" i="42"/>
  <c r="P41" i="42"/>
  <c r="P42" i="42"/>
  <c r="D43" i="42"/>
  <c r="E43" i="42"/>
  <c r="F43" i="42"/>
  <c r="G43" i="42"/>
  <c r="H43" i="42"/>
  <c r="I43" i="42"/>
  <c r="J43" i="42"/>
  <c r="K43" i="42"/>
  <c r="L43" i="42"/>
  <c r="M43" i="42"/>
  <c r="N43" i="42"/>
  <c r="O43" i="42"/>
  <c r="P43" i="42"/>
  <c r="P44" i="42"/>
  <c r="P45" i="42"/>
  <c r="R45" i="42"/>
  <c r="P46" i="42"/>
  <c r="P47" i="42"/>
  <c r="P48" i="42"/>
  <c r="P49" i="42"/>
  <c r="P50" i="42"/>
  <c r="P51" i="42"/>
  <c r="R51" i="42"/>
  <c r="P52" i="42"/>
  <c r="P53" i="42"/>
  <c r="P54" i="42"/>
  <c r="D55" i="42"/>
  <c r="E55" i="42"/>
  <c r="F55" i="42"/>
  <c r="G55" i="42"/>
  <c r="H55" i="42"/>
  <c r="I55" i="42"/>
  <c r="J55" i="42"/>
  <c r="K55" i="42"/>
  <c r="L55" i="42"/>
  <c r="M55" i="42"/>
  <c r="N55" i="42"/>
  <c r="O55" i="42"/>
  <c r="P55" i="42"/>
  <c r="P56" i="42"/>
  <c r="P57" i="42"/>
  <c r="P58" i="42"/>
  <c r="P59" i="42"/>
  <c r="P60" i="42"/>
  <c r="P61" i="42"/>
  <c r="P62" i="42"/>
  <c r="P63" i="42"/>
  <c r="P64" i="42"/>
  <c r="D65" i="42"/>
  <c r="E65" i="42"/>
  <c r="F65" i="42"/>
  <c r="G65" i="42"/>
  <c r="H65" i="42"/>
  <c r="I65" i="42"/>
  <c r="J65" i="42"/>
  <c r="K65" i="42"/>
  <c r="L65" i="42"/>
  <c r="M65" i="42"/>
  <c r="N65" i="42"/>
  <c r="O65" i="42"/>
  <c r="D68" i="42"/>
  <c r="E68" i="42"/>
  <c r="F68" i="42"/>
  <c r="G68" i="42"/>
  <c r="H68" i="42"/>
  <c r="I68" i="42"/>
  <c r="J68" i="42"/>
  <c r="K68" i="42"/>
  <c r="L68" i="42"/>
  <c r="M68" i="42"/>
  <c r="N68" i="42"/>
  <c r="O68" i="42"/>
  <c r="D70" i="42"/>
  <c r="E70" i="42"/>
  <c r="F70" i="42"/>
  <c r="G70" i="42"/>
  <c r="H70" i="42"/>
  <c r="I70" i="42"/>
  <c r="J70" i="42"/>
  <c r="K70" i="42"/>
  <c r="L70" i="42"/>
  <c r="M70" i="42"/>
  <c r="N70" i="42"/>
  <c r="O70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D74" i="42"/>
  <c r="E74" i="42"/>
  <c r="F74" i="42"/>
  <c r="G74" i="42"/>
  <c r="H74" i="42"/>
  <c r="I74" i="42"/>
  <c r="J74" i="42"/>
  <c r="K74" i="42"/>
  <c r="L74" i="42"/>
  <c r="M74" i="42"/>
  <c r="N74" i="42"/>
  <c r="O74" i="42"/>
  <c r="P8" i="41"/>
  <c r="P9" i="41"/>
  <c r="P10" i="41"/>
  <c r="P11" i="41"/>
  <c r="P12" i="41"/>
  <c r="P13" i="41"/>
  <c r="D14" i="41"/>
  <c r="E14" i="41"/>
  <c r="F14" i="41"/>
  <c r="G14" i="41"/>
  <c r="H14" i="41"/>
  <c r="I14" i="41"/>
  <c r="J14" i="41"/>
  <c r="K14" i="41"/>
  <c r="L14" i="41"/>
  <c r="M14" i="41"/>
  <c r="N14" i="41"/>
  <c r="O14" i="41"/>
  <c r="P14" i="41"/>
  <c r="P16" i="41"/>
  <c r="P17" i="41"/>
  <c r="P18" i="41"/>
  <c r="P19" i="41"/>
  <c r="P20" i="41"/>
  <c r="D21" i="41"/>
  <c r="E21" i="41"/>
  <c r="F21" i="41"/>
  <c r="G21" i="41"/>
  <c r="H21" i="41"/>
  <c r="I21" i="41"/>
  <c r="J21" i="41"/>
  <c r="K21" i="41"/>
  <c r="L21" i="41"/>
  <c r="M21" i="41"/>
  <c r="N21" i="41"/>
  <c r="O21" i="41"/>
  <c r="P21" i="41"/>
  <c r="D22" i="41"/>
  <c r="E22" i="41"/>
  <c r="F22" i="41"/>
  <c r="G22" i="41"/>
  <c r="H22" i="41"/>
  <c r="I22" i="41"/>
  <c r="J22" i="41"/>
  <c r="K22" i="41"/>
  <c r="L22" i="41"/>
  <c r="M22" i="41"/>
  <c r="N22" i="41"/>
  <c r="O22" i="41"/>
  <c r="P22" i="41"/>
  <c r="D27" i="41"/>
  <c r="E27" i="41"/>
  <c r="F27" i="41"/>
  <c r="G27" i="41"/>
  <c r="H27" i="41"/>
  <c r="I27" i="41"/>
  <c r="J27" i="41"/>
  <c r="K27" i="41"/>
  <c r="L27" i="41"/>
  <c r="M27" i="41"/>
  <c r="N27" i="41"/>
  <c r="O27" i="41"/>
  <c r="P27" i="41"/>
  <c r="M28" i="41"/>
  <c r="N28" i="41"/>
  <c r="O28" i="41"/>
  <c r="P28" i="41"/>
  <c r="M29" i="41"/>
  <c r="N29" i="41"/>
  <c r="O29" i="41"/>
  <c r="P29" i="41"/>
  <c r="D30" i="41"/>
  <c r="E30" i="41"/>
  <c r="F30" i="41"/>
  <c r="G30" i="41"/>
  <c r="H30" i="41"/>
  <c r="I30" i="41"/>
  <c r="J30" i="41"/>
  <c r="K30" i="41"/>
  <c r="L30" i="41"/>
  <c r="M30" i="41"/>
  <c r="N30" i="41"/>
  <c r="O30" i="41"/>
  <c r="P30" i="41"/>
  <c r="P31" i="41"/>
  <c r="D32" i="41"/>
  <c r="E32" i="41"/>
  <c r="F32" i="41"/>
  <c r="G32" i="41"/>
  <c r="H32" i="41"/>
  <c r="I32" i="41"/>
  <c r="J32" i="41"/>
  <c r="K32" i="41"/>
  <c r="L32" i="41"/>
  <c r="M32" i="41"/>
  <c r="N32" i="41"/>
  <c r="O32" i="41"/>
  <c r="P32" i="41"/>
  <c r="M33" i="41"/>
  <c r="N33" i="41"/>
  <c r="O33" i="41"/>
  <c r="P33" i="41"/>
  <c r="M34" i="41"/>
  <c r="N34" i="41"/>
  <c r="O34" i="41"/>
  <c r="P34" i="41"/>
  <c r="D35" i="41"/>
  <c r="E35" i="41"/>
  <c r="F35" i="41"/>
  <c r="G35" i="41"/>
  <c r="H35" i="41"/>
  <c r="I35" i="41"/>
  <c r="J35" i="41"/>
  <c r="K35" i="41"/>
  <c r="L35" i="41"/>
  <c r="M35" i="41"/>
  <c r="N35" i="41"/>
  <c r="O35" i="41"/>
  <c r="P35" i="41"/>
  <c r="P36" i="41"/>
  <c r="P37" i="41"/>
  <c r="D38" i="41"/>
  <c r="E38" i="41"/>
  <c r="F38" i="41"/>
  <c r="G38" i="41"/>
  <c r="H38" i="41"/>
  <c r="I38" i="41"/>
  <c r="J38" i="41"/>
  <c r="K38" i="41"/>
  <c r="L38" i="41"/>
  <c r="M38" i="41"/>
  <c r="N38" i="41"/>
  <c r="O38" i="41"/>
  <c r="P38" i="41"/>
  <c r="D39" i="41"/>
  <c r="E39" i="41"/>
  <c r="F39" i="41"/>
  <c r="G39" i="41"/>
  <c r="H39" i="41"/>
  <c r="I39" i="41"/>
  <c r="J39" i="41"/>
  <c r="K39" i="41"/>
  <c r="L39" i="41"/>
  <c r="M39" i="41"/>
  <c r="N39" i="41"/>
  <c r="O39" i="41"/>
  <c r="P39" i="41"/>
  <c r="D40" i="41"/>
  <c r="E40" i="41"/>
  <c r="F40" i="41"/>
  <c r="G40" i="41"/>
  <c r="H40" i="41"/>
  <c r="I40" i="41"/>
  <c r="J40" i="41"/>
  <c r="K40" i="41"/>
  <c r="L40" i="41"/>
  <c r="M40" i="41"/>
  <c r="N40" i="41"/>
  <c r="O40" i="41"/>
  <c r="P40" i="41"/>
  <c r="P41" i="41"/>
  <c r="P42" i="41"/>
  <c r="D43" i="41"/>
  <c r="E43" i="41"/>
  <c r="F43" i="41"/>
  <c r="G43" i="41"/>
  <c r="H43" i="41"/>
  <c r="I43" i="41"/>
  <c r="J43" i="41"/>
  <c r="K43" i="41"/>
  <c r="L43" i="41"/>
  <c r="M43" i="41"/>
  <c r="N43" i="41"/>
  <c r="O43" i="41"/>
  <c r="P43" i="41"/>
  <c r="P44" i="41"/>
  <c r="P45" i="41"/>
  <c r="P46" i="41"/>
  <c r="P47" i="41"/>
  <c r="P48" i="41"/>
  <c r="P49" i="41"/>
  <c r="P50" i="41"/>
  <c r="P51" i="41"/>
  <c r="P52" i="41"/>
  <c r="P53" i="41"/>
  <c r="D54" i="41"/>
  <c r="E54" i="41"/>
  <c r="F54" i="41"/>
  <c r="G54" i="41"/>
  <c r="H54" i="41"/>
  <c r="I54" i="41"/>
  <c r="J54" i="41"/>
  <c r="K54" i="41"/>
  <c r="L54" i="41"/>
  <c r="M54" i="41"/>
  <c r="N54" i="41"/>
  <c r="O54" i="41"/>
  <c r="P54" i="41"/>
  <c r="P55" i="41"/>
  <c r="P56" i="41"/>
  <c r="P57" i="41"/>
  <c r="P58" i="41"/>
  <c r="P59" i="41"/>
  <c r="P60" i="41"/>
  <c r="P61" i="41"/>
  <c r="D62" i="41"/>
  <c r="E62" i="41"/>
  <c r="F62" i="41"/>
  <c r="G62" i="41"/>
  <c r="H62" i="41"/>
  <c r="I62" i="41"/>
  <c r="J62" i="41"/>
  <c r="K62" i="41"/>
  <c r="L62" i="41"/>
  <c r="M62" i="41"/>
  <c r="N62" i="41"/>
  <c r="O62" i="41"/>
  <c r="D65" i="41"/>
  <c r="E65" i="41"/>
  <c r="F65" i="41"/>
  <c r="G65" i="41"/>
  <c r="H65" i="41"/>
  <c r="I65" i="41"/>
  <c r="J65" i="41"/>
  <c r="K65" i="41"/>
  <c r="L65" i="41"/>
  <c r="M65" i="41"/>
  <c r="N65" i="41"/>
  <c r="O65" i="41"/>
  <c r="D67" i="41"/>
  <c r="E67" i="41"/>
  <c r="F67" i="41"/>
  <c r="G67" i="41"/>
  <c r="H67" i="41"/>
  <c r="I67" i="41"/>
  <c r="J67" i="41"/>
  <c r="K67" i="41"/>
  <c r="L67" i="41"/>
  <c r="M67" i="41"/>
  <c r="N67" i="41"/>
  <c r="O67" i="41"/>
  <c r="D68" i="41"/>
  <c r="E68" i="41"/>
  <c r="F68" i="41"/>
  <c r="G68" i="41"/>
  <c r="H68" i="41"/>
  <c r="I68" i="41"/>
  <c r="J68" i="41"/>
  <c r="K68" i="41"/>
  <c r="L68" i="41"/>
  <c r="M68" i="41"/>
  <c r="N68" i="41"/>
  <c r="O68" i="41"/>
  <c r="D69" i="41"/>
  <c r="E69" i="41"/>
  <c r="F69" i="41"/>
  <c r="G69" i="41"/>
  <c r="H69" i="41"/>
  <c r="I69" i="41"/>
  <c r="J69" i="41"/>
  <c r="K69" i="41"/>
  <c r="L69" i="41"/>
  <c r="M69" i="41"/>
  <c r="N69" i="41"/>
  <c r="O69" i="41"/>
  <c r="D71" i="41"/>
  <c r="E71" i="41"/>
  <c r="F71" i="41"/>
  <c r="G71" i="41"/>
  <c r="H71" i="41"/>
  <c r="I71" i="41"/>
  <c r="J71" i="41"/>
  <c r="K71" i="41"/>
  <c r="L71" i="41"/>
  <c r="M71" i="41"/>
  <c r="N71" i="41"/>
  <c r="O71" i="41"/>
  <c r="P8" i="39"/>
  <c r="P9" i="39"/>
  <c r="P10" i="39"/>
  <c r="P11" i="39"/>
  <c r="P12" i="39"/>
  <c r="P13" i="39"/>
  <c r="D14" i="39"/>
  <c r="E14" i="39"/>
  <c r="F14" i="39"/>
  <c r="G14" i="39"/>
  <c r="H14" i="39"/>
  <c r="I14" i="39"/>
  <c r="J14" i="39"/>
  <c r="K14" i="39"/>
  <c r="L14" i="39"/>
  <c r="M14" i="39"/>
  <c r="N14" i="39"/>
  <c r="O14" i="39"/>
  <c r="P14" i="39"/>
  <c r="P16" i="39"/>
  <c r="P17" i="39"/>
  <c r="P18" i="39"/>
  <c r="P19" i="39"/>
  <c r="P20" i="39"/>
  <c r="D21" i="39"/>
  <c r="E21" i="39"/>
  <c r="F21" i="39"/>
  <c r="G21" i="39"/>
  <c r="H21" i="39"/>
  <c r="I21" i="39"/>
  <c r="J21" i="39"/>
  <c r="K21" i="39"/>
  <c r="L21" i="39"/>
  <c r="M21" i="39"/>
  <c r="N21" i="39"/>
  <c r="O21" i="39"/>
  <c r="P21" i="39"/>
  <c r="D22" i="39"/>
  <c r="E22" i="39"/>
  <c r="F22" i="39"/>
  <c r="G22" i="39"/>
  <c r="H22" i="39"/>
  <c r="I22" i="39"/>
  <c r="J22" i="39"/>
  <c r="K22" i="39"/>
  <c r="L22" i="39"/>
  <c r="M22" i="39"/>
  <c r="N22" i="39"/>
  <c r="O22" i="39"/>
  <c r="P22" i="39"/>
  <c r="D27" i="39"/>
  <c r="E27" i="39"/>
  <c r="F27" i="39"/>
  <c r="G27" i="39"/>
  <c r="H27" i="39"/>
  <c r="I27" i="39"/>
  <c r="J27" i="39"/>
  <c r="K27" i="39"/>
  <c r="L27" i="39"/>
  <c r="M27" i="39"/>
  <c r="N27" i="39"/>
  <c r="O27" i="39"/>
  <c r="P27" i="39"/>
  <c r="M28" i="39"/>
  <c r="N28" i="39"/>
  <c r="O28" i="39"/>
  <c r="P28" i="39"/>
  <c r="M29" i="39"/>
  <c r="N29" i="39"/>
  <c r="O29" i="39"/>
  <c r="P29" i="39"/>
  <c r="D30" i="39"/>
  <c r="E30" i="39"/>
  <c r="F30" i="39"/>
  <c r="G30" i="39"/>
  <c r="H30" i="39"/>
  <c r="I30" i="39"/>
  <c r="J30" i="39"/>
  <c r="K30" i="39"/>
  <c r="L30" i="39"/>
  <c r="M30" i="39"/>
  <c r="N30" i="39"/>
  <c r="O30" i="39"/>
  <c r="P30" i="39"/>
  <c r="P31" i="39"/>
  <c r="D32" i="39"/>
  <c r="E32" i="39"/>
  <c r="F32" i="39"/>
  <c r="G32" i="39"/>
  <c r="H32" i="39"/>
  <c r="I32" i="39"/>
  <c r="J32" i="39"/>
  <c r="K32" i="39"/>
  <c r="L32" i="39"/>
  <c r="M32" i="39"/>
  <c r="N32" i="39"/>
  <c r="O32" i="39"/>
  <c r="P32" i="39"/>
  <c r="M33" i="39"/>
  <c r="N33" i="39"/>
  <c r="O33" i="39"/>
  <c r="P33" i="39"/>
  <c r="M34" i="39"/>
  <c r="N34" i="39"/>
  <c r="O34" i="39"/>
  <c r="P34" i="39"/>
  <c r="D35" i="39"/>
  <c r="E35" i="39"/>
  <c r="F35" i="39"/>
  <c r="G35" i="39"/>
  <c r="H35" i="39"/>
  <c r="I35" i="39"/>
  <c r="J35" i="39"/>
  <c r="K35" i="39"/>
  <c r="L35" i="39"/>
  <c r="M35" i="39"/>
  <c r="N35" i="39"/>
  <c r="O35" i="39"/>
  <c r="P35" i="39"/>
  <c r="M36" i="39"/>
  <c r="N36" i="39"/>
  <c r="O36" i="39"/>
  <c r="P36" i="39"/>
  <c r="M37" i="39"/>
  <c r="N37" i="39"/>
  <c r="O37" i="39"/>
  <c r="P37" i="39"/>
  <c r="D38" i="39"/>
  <c r="E38" i="39"/>
  <c r="F38" i="39"/>
  <c r="G38" i="39"/>
  <c r="H38" i="39"/>
  <c r="I38" i="39"/>
  <c r="J38" i="39"/>
  <c r="K38" i="39"/>
  <c r="L38" i="39"/>
  <c r="M38" i="39"/>
  <c r="N38" i="39"/>
  <c r="O38" i="39"/>
  <c r="P38" i="39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D40" i="39"/>
  <c r="E40" i="39"/>
  <c r="F40" i="39"/>
  <c r="G40" i="39"/>
  <c r="H40" i="39"/>
  <c r="I40" i="39"/>
  <c r="J40" i="39"/>
  <c r="K40" i="39"/>
  <c r="L40" i="39"/>
  <c r="M40" i="39"/>
  <c r="N40" i="39"/>
  <c r="O40" i="39"/>
  <c r="P40" i="39"/>
  <c r="M41" i="39"/>
  <c r="N41" i="39"/>
  <c r="O41" i="39"/>
  <c r="P41" i="39"/>
  <c r="P42" i="39"/>
  <c r="D43" i="39"/>
  <c r="E43" i="39"/>
  <c r="F43" i="39"/>
  <c r="G43" i="39"/>
  <c r="H43" i="39"/>
  <c r="I43" i="39"/>
  <c r="J43" i="39"/>
  <c r="K43" i="39"/>
  <c r="L43" i="39"/>
  <c r="M43" i="39"/>
  <c r="N43" i="39"/>
  <c r="O43" i="39"/>
  <c r="P43" i="39"/>
  <c r="M44" i="39"/>
  <c r="N44" i="39"/>
  <c r="P44" i="39"/>
  <c r="M45" i="39"/>
  <c r="N45" i="39"/>
  <c r="O45" i="39"/>
  <c r="P45" i="39"/>
  <c r="M46" i="39"/>
  <c r="N46" i="39"/>
  <c r="O46" i="39"/>
  <c r="P46" i="39"/>
  <c r="M47" i="39"/>
  <c r="N47" i="39"/>
  <c r="O47" i="39"/>
  <c r="P47" i="39"/>
  <c r="J48" i="39"/>
  <c r="M48" i="39"/>
  <c r="N48" i="39"/>
  <c r="O48" i="39"/>
  <c r="P48" i="39"/>
  <c r="J49" i="39"/>
  <c r="M49" i="39"/>
  <c r="N49" i="39"/>
  <c r="O49" i="39"/>
  <c r="P49" i="39"/>
  <c r="M50" i="39"/>
  <c r="N50" i="39"/>
  <c r="O50" i="39"/>
  <c r="P50" i="39"/>
  <c r="I51" i="39"/>
  <c r="J51" i="39"/>
  <c r="M51" i="39"/>
  <c r="N51" i="39"/>
  <c r="O51" i="39"/>
  <c r="P51" i="39"/>
  <c r="M52" i="39"/>
  <c r="N52" i="39"/>
  <c r="O52" i="39"/>
  <c r="P52" i="39"/>
  <c r="M53" i="39"/>
  <c r="N53" i="39"/>
  <c r="O53" i="39"/>
  <c r="P53" i="39"/>
  <c r="D54" i="39"/>
  <c r="E54" i="39"/>
  <c r="F54" i="39"/>
  <c r="G54" i="39"/>
  <c r="H54" i="39"/>
  <c r="I54" i="39"/>
  <c r="J54" i="39"/>
  <c r="K54" i="39"/>
  <c r="L54" i="39"/>
  <c r="M54" i="39"/>
  <c r="N54" i="39"/>
  <c r="O54" i="39"/>
  <c r="P54" i="39"/>
  <c r="M55" i="39"/>
  <c r="N55" i="39"/>
  <c r="O55" i="39"/>
  <c r="P55" i="39"/>
  <c r="M56" i="39"/>
  <c r="N56" i="39"/>
  <c r="O56" i="39"/>
  <c r="P56" i="39"/>
  <c r="M57" i="39"/>
  <c r="N57" i="39"/>
  <c r="O57" i="39"/>
  <c r="P57" i="39"/>
  <c r="M58" i="39"/>
  <c r="N58" i="39"/>
  <c r="O58" i="39"/>
  <c r="P58" i="39"/>
  <c r="M59" i="39"/>
  <c r="N59" i="39"/>
  <c r="O59" i="39"/>
  <c r="P59" i="39"/>
  <c r="M60" i="39"/>
  <c r="N60" i="39"/>
  <c r="O60" i="39"/>
  <c r="P60" i="39"/>
  <c r="M61" i="39"/>
  <c r="N61" i="39"/>
  <c r="O61" i="39"/>
  <c r="P61" i="39"/>
  <c r="D62" i="39"/>
  <c r="E62" i="39"/>
  <c r="F62" i="39"/>
  <c r="G62" i="39"/>
  <c r="H62" i="39"/>
  <c r="I62" i="39"/>
  <c r="J62" i="39"/>
  <c r="K62" i="39"/>
  <c r="L62" i="39"/>
  <c r="M62" i="39"/>
  <c r="N62" i="39"/>
  <c r="O62" i="39"/>
  <c r="D65" i="39"/>
  <c r="E65" i="39"/>
  <c r="F65" i="39"/>
  <c r="G65" i="39"/>
  <c r="H65" i="39"/>
  <c r="I65" i="39"/>
  <c r="J65" i="39"/>
  <c r="K65" i="39"/>
  <c r="L65" i="39"/>
  <c r="M65" i="39"/>
  <c r="N65" i="39"/>
  <c r="O65" i="39"/>
  <c r="D67" i="39"/>
  <c r="E67" i="39"/>
  <c r="F67" i="39"/>
  <c r="G67" i="39"/>
  <c r="H67" i="39"/>
  <c r="I67" i="39"/>
  <c r="J67" i="39"/>
  <c r="K67" i="39"/>
  <c r="L67" i="39"/>
  <c r="M67" i="39"/>
  <c r="N67" i="39"/>
  <c r="O67" i="39"/>
  <c r="D68" i="39"/>
  <c r="E68" i="39"/>
  <c r="F68" i="39"/>
  <c r="G68" i="39"/>
  <c r="H68" i="39"/>
  <c r="I68" i="39"/>
  <c r="J68" i="39"/>
  <c r="K68" i="39"/>
  <c r="L68" i="39"/>
  <c r="M68" i="39"/>
  <c r="N68" i="39"/>
  <c r="O68" i="39"/>
  <c r="D69" i="39"/>
  <c r="E69" i="39"/>
  <c r="F69" i="39"/>
  <c r="G69" i="39"/>
  <c r="H69" i="39"/>
  <c r="I69" i="39"/>
  <c r="J69" i="39"/>
  <c r="K69" i="39"/>
  <c r="L69" i="39"/>
  <c r="M69" i="39"/>
  <c r="N69" i="39"/>
  <c r="O69" i="39"/>
  <c r="P8" i="38"/>
  <c r="P9" i="38"/>
  <c r="P10" i="38"/>
  <c r="P11" i="38"/>
  <c r="P12" i="38"/>
  <c r="P13" i="38"/>
  <c r="D14" i="38"/>
  <c r="E14" i="38"/>
  <c r="F14" i="38"/>
  <c r="G14" i="38"/>
  <c r="H14" i="38"/>
  <c r="I14" i="38"/>
  <c r="J14" i="38"/>
  <c r="K14" i="38"/>
  <c r="L14" i="38"/>
  <c r="M14" i="38"/>
  <c r="N14" i="38"/>
  <c r="O14" i="38"/>
  <c r="P14" i="38"/>
  <c r="P16" i="38"/>
  <c r="P17" i="38"/>
  <c r="P18" i="38"/>
  <c r="P19" i="38"/>
  <c r="P20" i="38"/>
  <c r="D21" i="38"/>
  <c r="E21" i="38"/>
  <c r="F21" i="38"/>
  <c r="G21" i="38"/>
  <c r="H21" i="38"/>
  <c r="I21" i="38"/>
  <c r="J21" i="38"/>
  <c r="K21" i="38"/>
  <c r="L21" i="38"/>
  <c r="M21" i="38"/>
  <c r="N21" i="38"/>
  <c r="O21" i="38"/>
  <c r="P21" i="38"/>
  <c r="D22" i="38"/>
  <c r="E22" i="38"/>
  <c r="F22" i="38"/>
  <c r="G22" i="38"/>
  <c r="H22" i="38"/>
  <c r="I22" i="38"/>
  <c r="J22" i="38"/>
  <c r="K22" i="38"/>
  <c r="L22" i="38"/>
  <c r="M22" i="38"/>
  <c r="N22" i="38"/>
  <c r="O22" i="38"/>
  <c r="P22" i="38"/>
  <c r="D27" i="38"/>
  <c r="E27" i="38"/>
  <c r="F27" i="38"/>
  <c r="G27" i="38"/>
  <c r="H27" i="38"/>
  <c r="I27" i="38"/>
  <c r="J27" i="38"/>
  <c r="K27" i="38"/>
  <c r="L27" i="38"/>
  <c r="M27" i="38"/>
  <c r="N27" i="38"/>
  <c r="O27" i="38"/>
  <c r="P27" i="38"/>
  <c r="P28" i="38"/>
  <c r="P29" i="38"/>
  <c r="D30" i="38"/>
  <c r="E30" i="38"/>
  <c r="F30" i="38"/>
  <c r="G30" i="38"/>
  <c r="H30" i="38"/>
  <c r="I30" i="38"/>
  <c r="J30" i="38"/>
  <c r="K30" i="38"/>
  <c r="L30" i="38"/>
  <c r="M30" i="38"/>
  <c r="N30" i="38"/>
  <c r="O30" i="38"/>
  <c r="P30" i="38"/>
  <c r="P31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P33" i="38"/>
  <c r="Q33" i="38"/>
  <c r="P34" i="38"/>
  <c r="Q34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P36" i="38"/>
  <c r="P37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P41" i="38"/>
  <c r="P42" i="38"/>
  <c r="D43" i="38"/>
  <c r="E43" i="38"/>
  <c r="F43" i="38"/>
  <c r="G43" i="38"/>
  <c r="H43" i="38"/>
  <c r="I43" i="38"/>
  <c r="J43" i="38"/>
  <c r="K43" i="38"/>
  <c r="L43" i="38"/>
  <c r="M43" i="38"/>
  <c r="N43" i="38"/>
  <c r="O43" i="38"/>
  <c r="P43" i="38"/>
  <c r="O44" i="38"/>
  <c r="P44" i="38"/>
  <c r="P45" i="38"/>
  <c r="P46" i="38"/>
  <c r="P47" i="38"/>
  <c r="J48" i="38"/>
  <c r="P48" i="38"/>
  <c r="J49" i="38"/>
  <c r="P49" i="38"/>
  <c r="P50" i="38"/>
  <c r="F51" i="38"/>
  <c r="G51" i="38"/>
  <c r="I51" i="38"/>
  <c r="J51" i="38"/>
  <c r="P51" i="38"/>
  <c r="P52" i="38"/>
  <c r="P53" i="38"/>
  <c r="D54" i="38"/>
  <c r="E54" i="38"/>
  <c r="F54" i="38"/>
  <c r="G54" i="38"/>
  <c r="H54" i="38"/>
  <c r="I54" i="38"/>
  <c r="J54" i="38"/>
  <c r="K54" i="38"/>
  <c r="L54" i="38"/>
  <c r="M54" i="38"/>
  <c r="N54" i="38"/>
  <c r="O54" i="38"/>
  <c r="P54" i="38"/>
  <c r="P55" i="38"/>
  <c r="P56" i="38"/>
  <c r="L57" i="38"/>
  <c r="P57" i="38"/>
  <c r="P58" i="38"/>
  <c r="P59" i="38"/>
  <c r="P60" i="38"/>
  <c r="P61" i="38"/>
  <c r="D62" i="38"/>
  <c r="E62" i="38"/>
  <c r="F62" i="38"/>
  <c r="G62" i="38"/>
  <c r="H62" i="38"/>
  <c r="I62" i="38"/>
  <c r="J62" i="38"/>
  <c r="K62" i="38"/>
  <c r="L62" i="38"/>
  <c r="M62" i="38"/>
  <c r="N62" i="38"/>
  <c r="O62" i="38"/>
  <c r="D65" i="38"/>
  <c r="E65" i="38"/>
  <c r="F65" i="38"/>
  <c r="G65" i="38"/>
  <c r="H65" i="38"/>
  <c r="I65" i="38"/>
  <c r="J65" i="38"/>
  <c r="K65" i="38"/>
  <c r="L65" i="38"/>
  <c r="M65" i="38"/>
  <c r="N65" i="38"/>
  <c r="O65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D68" i="38"/>
  <c r="E68" i="38"/>
  <c r="F68" i="38"/>
  <c r="G68" i="38"/>
  <c r="H68" i="38"/>
  <c r="I68" i="38"/>
  <c r="J68" i="38"/>
  <c r="K68" i="38"/>
  <c r="L68" i="38"/>
  <c r="M68" i="38"/>
  <c r="N68" i="38"/>
  <c r="O68" i="38"/>
  <c r="D69" i="38"/>
  <c r="E69" i="38"/>
  <c r="F69" i="38"/>
  <c r="G69" i="38"/>
  <c r="H69" i="38"/>
  <c r="I69" i="38"/>
  <c r="J69" i="38"/>
  <c r="K69" i="38"/>
  <c r="L69" i="38"/>
  <c r="M69" i="38"/>
  <c r="N69" i="38"/>
  <c r="O69" i="38"/>
  <c r="D71" i="38"/>
  <c r="E71" i="38"/>
  <c r="F71" i="38"/>
  <c r="G71" i="38"/>
  <c r="H71" i="38"/>
  <c r="I71" i="38"/>
  <c r="J71" i="38"/>
  <c r="K71" i="38"/>
  <c r="L71" i="38"/>
  <c r="M71" i="38"/>
  <c r="N71" i="38"/>
  <c r="O71" i="38"/>
  <c r="I73" i="38"/>
  <c r="D74" i="38"/>
  <c r="E74" i="38"/>
  <c r="F74" i="38"/>
  <c r="G74" i="38"/>
  <c r="D77" i="38"/>
  <c r="E77" i="38"/>
  <c r="F77" i="38"/>
  <c r="G77" i="38"/>
  <c r="H77" i="38"/>
  <c r="I77" i="38"/>
  <c r="J77" i="38"/>
  <c r="K77" i="38"/>
  <c r="L77" i="38"/>
  <c r="M77" i="38"/>
  <c r="N77" i="38"/>
  <c r="O77" i="38"/>
  <c r="P77" i="38"/>
  <c r="K83" i="38"/>
  <c r="K89" i="38"/>
  <c r="K91" i="38"/>
  <c r="L91" i="38"/>
  <c r="M91" i="38"/>
  <c r="N91" i="38"/>
  <c r="O91" i="38"/>
  <c r="P91" i="38"/>
  <c r="K100" i="38"/>
  <c r="L100" i="38"/>
  <c r="M100" i="38"/>
  <c r="N100" i="38"/>
  <c r="O100" i="38"/>
  <c r="P100" i="38"/>
  <c r="I102" i="38"/>
  <c r="I104" i="38"/>
  <c r="J112" i="38"/>
  <c r="P8" i="40"/>
  <c r="P9" i="40"/>
  <c r="P10" i="40"/>
  <c r="P11" i="40"/>
  <c r="P12" i="40"/>
  <c r="P13" i="40"/>
  <c r="D14" i="40"/>
  <c r="E14" i="40"/>
  <c r="F14" i="40"/>
  <c r="G14" i="40"/>
  <c r="H14" i="40"/>
  <c r="I14" i="40"/>
  <c r="J14" i="40"/>
  <c r="K14" i="40"/>
  <c r="L14" i="40"/>
  <c r="M14" i="40"/>
  <c r="N14" i="40"/>
  <c r="O14" i="40"/>
  <c r="P14" i="40"/>
  <c r="P16" i="40"/>
  <c r="P17" i="40"/>
  <c r="P18" i="40"/>
  <c r="P19" i="40"/>
  <c r="P20" i="40"/>
  <c r="D21" i="40"/>
  <c r="E21" i="40"/>
  <c r="F21" i="40"/>
  <c r="G21" i="40"/>
  <c r="H21" i="40"/>
  <c r="I21" i="40"/>
  <c r="J21" i="40"/>
  <c r="K21" i="40"/>
  <c r="L21" i="40"/>
  <c r="M21" i="40"/>
  <c r="N21" i="40"/>
  <c r="O21" i="40"/>
  <c r="P21" i="40"/>
  <c r="D22" i="40"/>
  <c r="E22" i="40"/>
  <c r="F22" i="40"/>
  <c r="G22" i="40"/>
  <c r="H22" i="40"/>
  <c r="I22" i="40"/>
  <c r="J22" i="40"/>
  <c r="K22" i="40"/>
  <c r="L22" i="40"/>
  <c r="M22" i="40"/>
  <c r="N22" i="40"/>
  <c r="O22" i="40"/>
  <c r="P22" i="40"/>
  <c r="D27" i="40"/>
  <c r="E27" i="40"/>
  <c r="F27" i="40"/>
  <c r="G27" i="40"/>
  <c r="H27" i="40"/>
  <c r="I27" i="40"/>
  <c r="J27" i="40"/>
  <c r="K27" i="40"/>
  <c r="L27" i="40"/>
  <c r="M27" i="40"/>
  <c r="N27" i="40"/>
  <c r="O27" i="40"/>
  <c r="P27" i="40"/>
  <c r="N28" i="40"/>
  <c r="P28" i="40"/>
  <c r="N29" i="40"/>
  <c r="P29" i="40"/>
  <c r="D30" i="40"/>
  <c r="E30" i="40"/>
  <c r="F30" i="40"/>
  <c r="G30" i="40"/>
  <c r="H30" i="40"/>
  <c r="I30" i="40"/>
  <c r="J30" i="40"/>
  <c r="K30" i="40"/>
  <c r="L30" i="40"/>
  <c r="M30" i="40"/>
  <c r="N30" i="40"/>
  <c r="O30" i="40"/>
  <c r="P30" i="40"/>
  <c r="P31" i="40"/>
  <c r="D32" i="40"/>
  <c r="E32" i="40"/>
  <c r="F32" i="40"/>
  <c r="G32" i="40"/>
  <c r="H32" i="40"/>
  <c r="I32" i="40"/>
  <c r="J32" i="40"/>
  <c r="K32" i="40"/>
  <c r="L32" i="40"/>
  <c r="M32" i="40"/>
  <c r="N32" i="40"/>
  <c r="O32" i="40"/>
  <c r="P32" i="40"/>
  <c r="O33" i="40"/>
  <c r="P33" i="40"/>
  <c r="P34" i="40"/>
  <c r="D35" i="40"/>
  <c r="E35" i="40"/>
  <c r="F35" i="40"/>
  <c r="G35" i="40"/>
  <c r="H35" i="40"/>
  <c r="I35" i="40"/>
  <c r="J35" i="40"/>
  <c r="K35" i="40"/>
  <c r="L35" i="40"/>
  <c r="M35" i="40"/>
  <c r="N35" i="40"/>
  <c r="O35" i="40"/>
  <c r="P35" i="40"/>
  <c r="P36" i="40"/>
  <c r="P37" i="40"/>
  <c r="D38" i="40"/>
  <c r="E38" i="40"/>
  <c r="F38" i="40"/>
  <c r="G38" i="40"/>
  <c r="H38" i="40"/>
  <c r="I38" i="40"/>
  <c r="J38" i="40"/>
  <c r="K38" i="40"/>
  <c r="L38" i="40"/>
  <c r="M38" i="40"/>
  <c r="N38" i="40"/>
  <c r="O38" i="40"/>
  <c r="P38" i="40"/>
  <c r="D39" i="40"/>
  <c r="E39" i="40"/>
  <c r="F39" i="40"/>
  <c r="G39" i="40"/>
  <c r="H39" i="40"/>
  <c r="I39" i="40"/>
  <c r="J39" i="40"/>
  <c r="K39" i="40"/>
  <c r="L39" i="40"/>
  <c r="M39" i="40"/>
  <c r="N39" i="40"/>
  <c r="O39" i="40"/>
  <c r="P39" i="40"/>
  <c r="D40" i="40"/>
  <c r="E40" i="40"/>
  <c r="F40" i="40"/>
  <c r="G40" i="40"/>
  <c r="H40" i="40"/>
  <c r="I40" i="40"/>
  <c r="J40" i="40"/>
  <c r="K40" i="40"/>
  <c r="L40" i="40"/>
  <c r="M40" i="40"/>
  <c r="N40" i="40"/>
  <c r="O40" i="40"/>
  <c r="P40" i="40"/>
  <c r="P41" i="40"/>
  <c r="P42" i="40"/>
  <c r="D43" i="40"/>
  <c r="E43" i="40"/>
  <c r="F43" i="40"/>
  <c r="G43" i="40"/>
  <c r="H43" i="40"/>
  <c r="I43" i="40"/>
  <c r="J43" i="40"/>
  <c r="K43" i="40"/>
  <c r="L43" i="40"/>
  <c r="M43" i="40"/>
  <c r="N43" i="40"/>
  <c r="O43" i="40"/>
  <c r="P43" i="40"/>
  <c r="P44" i="40"/>
  <c r="P45" i="40"/>
  <c r="P46" i="40"/>
  <c r="P47" i="40"/>
  <c r="L48" i="40"/>
  <c r="N48" i="40"/>
  <c r="P48" i="40"/>
  <c r="P49" i="40"/>
  <c r="P50" i="40"/>
  <c r="L51" i="40"/>
  <c r="P51" i="40"/>
  <c r="P52" i="40"/>
  <c r="P53" i="40"/>
  <c r="D54" i="40"/>
  <c r="E54" i="40"/>
  <c r="F54" i="40"/>
  <c r="G54" i="40"/>
  <c r="H54" i="40"/>
  <c r="I54" i="40"/>
  <c r="J54" i="40"/>
  <c r="K54" i="40"/>
  <c r="L54" i="40"/>
  <c r="M54" i="40"/>
  <c r="N54" i="40"/>
  <c r="O54" i="40"/>
  <c r="P54" i="40"/>
  <c r="P55" i="40"/>
  <c r="P56" i="40"/>
  <c r="N57" i="40"/>
  <c r="P57" i="40"/>
  <c r="D58" i="40"/>
  <c r="E58" i="40"/>
  <c r="F58" i="40"/>
  <c r="G58" i="40"/>
  <c r="H58" i="40"/>
  <c r="I58" i="40"/>
  <c r="J58" i="40"/>
  <c r="K58" i="40"/>
  <c r="L58" i="40"/>
  <c r="M58" i="40"/>
  <c r="N58" i="40"/>
  <c r="O58" i="40"/>
  <c r="D61" i="40"/>
  <c r="E61" i="40"/>
  <c r="F61" i="40"/>
  <c r="G61" i="40"/>
  <c r="H61" i="40"/>
  <c r="I61" i="40"/>
  <c r="J61" i="40"/>
  <c r="K61" i="40"/>
  <c r="L61" i="40"/>
  <c r="M61" i="40"/>
  <c r="N61" i="40"/>
  <c r="O61" i="40"/>
  <c r="P61" i="40"/>
  <c r="D63" i="40"/>
  <c r="E63" i="40"/>
  <c r="F63" i="40"/>
  <c r="G63" i="40"/>
  <c r="H63" i="40"/>
  <c r="I63" i="40"/>
  <c r="J63" i="40"/>
  <c r="K63" i="40"/>
  <c r="L63" i="40"/>
  <c r="M63" i="40"/>
  <c r="N63" i="40"/>
  <c r="O63" i="40"/>
  <c r="D64" i="40"/>
  <c r="E64" i="40"/>
  <c r="F64" i="40"/>
  <c r="G64" i="40"/>
  <c r="H64" i="40"/>
  <c r="I64" i="40"/>
  <c r="J64" i="40"/>
  <c r="K64" i="40"/>
  <c r="L64" i="40"/>
  <c r="M64" i="40"/>
  <c r="N64" i="40"/>
  <c r="O64" i="40"/>
  <c r="D65" i="40"/>
  <c r="E65" i="40"/>
  <c r="F65" i="40"/>
  <c r="G65" i="40"/>
  <c r="H65" i="40"/>
  <c r="I65" i="40"/>
  <c r="J65" i="40"/>
  <c r="K65" i="40"/>
  <c r="L65" i="40"/>
  <c r="M65" i="40"/>
  <c r="N65" i="40"/>
  <c r="O65" i="40"/>
  <c r="D67" i="40"/>
  <c r="E67" i="40"/>
  <c r="F67" i="40"/>
  <c r="G67" i="40"/>
  <c r="H67" i="40"/>
  <c r="I67" i="40"/>
  <c r="J67" i="40"/>
  <c r="K67" i="40"/>
  <c r="L67" i="40"/>
  <c r="M67" i="40"/>
  <c r="N67" i="40"/>
  <c r="O67" i="40"/>
  <c r="I69" i="40"/>
  <c r="D70" i="40"/>
  <c r="E70" i="40"/>
  <c r="F70" i="40"/>
  <c r="G70" i="40"/>
  <c r="H70" i="40"/>
  <c r="I70" i="40"/>
  <c r="J70" i="40"/>
  <c r="K70" i="40"/>
  <c r="L70" i="40"/>
  <c r="M70" i="40"/>
  <c r="N70" i="40"/>
  <c r="O70" i="40"/>
  <c r="D73" i="40"/>
  <c r="E73" i="40"/>
  <c r="F73" i="40"/>
  <c r="G73" i="40"/>
  <c r="H73" i="40"/>
  <c r="I73" i="40"/>
  <c r="J73" i="40"/>
  <c r="K73" i="40"/>
  <c r="L73" i="40"/>
  <c r="M73" i="40"/>
  <c r="N73" i="40"/>
  <c r="O73" i="40"/>
  <c r="P73" i="40"/>
  <c r="K79" i="40"/>
  <c r="K85" i="40"/>
  <c r="K87" i="40"/>
  <c r="L87" i="40"/>
  <c r="M87" i="40"/>
  <c r="N87" i="40"/>
  <c r="O87" i="40"/>
  <c r="P87" i="40"/>
  <c r="K96" i="40"/>
  <c r="L96" i="40"/>
  <c r="M96" i="40"/>
  <c r="N96" i="40"/>
  <c r="O96" i="40"/>
  <c r="P96" i="40"/>
  <c r="I98" i="40"/>
  <c r="I100" i="40"/>
  <c r="J108" i="40"/>
  <c r="P8" i="37"/>
  <c r="P9" i="37"/>
  <c r="P10" i="37"/>
  <c r="P11" i="37"/>
  <c r="P12" i="37"/>
  <c r="P13" i="37"/>
  <c r="D14" i="37"/>
  <c r="E14" i="37"/>
  <c r="F14" i="37"/>
  <c r="G14" i="37"/>
  <c r="H14" i="37"/>
  <c r="I14" i="37"/>
  <c r="J14" i="37"/>
  <c r="K14" i="37"/>
  <c r="L14" i="37"/>
  <c r="M14" i="37"/>
  <c r="N14" i="37"/>
  <c r="O14" i="37"/>
  <c r="P14" i="37"/>
  <c r="P16" i="37"/>
  <c r="P17" i="37"/>
  <c r="P18" i="37"/>
  <c r="P19" i="37"/>
  <c r="P20" i="37"/>
  <c r="D21" i="37"/>
  <c r="E21" i="37"/>
  <c r="F21" i="37"/>
  <c r="G21" i="37"/>
  <c r="H21" i="37"/>
  <c r="I21" i="37"/>
  <c r="J21" i="37"/>
  <c r="K21" i="37"/>
  <c r="L21" i="37"/>
  <c r="M21" i="37"/>
  <c r="N21" i="37"/>
  <c r="O21" i="37"/>
  <c r="P21" i="37"/>
  <c r="D22" i="37"/>
  <c r="E22" i="37"/>
  <c r="F22" i="37"/>
  <c r="G22" i="37"/>
  <c r="H22" i="37"/>
  <c r="I22" i="37"/>
  <c r="J22" i="37"/>
  <c r="K22" i="37"/>
  <c r="L22" i="37"/>
  <c r="M22" i="37"/>
  <c r="N22" i="37"/>
  <c r="O22" i="37"/>
  <c r="P22" i="37"/>
  <c r="D27" i="37"/>
  <c r="E27" i="37"/>
  <c r="F27" i="37"/>
  <c r="G27" i="37"/>
  <c r="H27" i="37"/>
  <c r="I27" i="37"/>
  <c r="J27" i="37"/>
  <c r="K27" i="37"/>
  <c r="L27" i="37"/>
  <c r="M27" i="37"/>
  <c r="N27" i="37"/>
  <c r="O27" i="37"/>
  <c r="P27" i="37"/>
  <c r="N28" i="37"/>
  <c r="P28" i="37"/>
  <c r="N29" i="37"/>
  <c r="P29" i="37"/>
  <c r="D30" i="37"/>
  <c r="E30" i="37"/>
  <c r="F30" i="37"/>
  <c r="G30" i="37"/>
  <c r="H30" i="37"/>
  <c r="I30" i="37"/>
  <c r="J30" i="37"/>
  <c r="K30" i="37"/>
  <c r="L30" i="37"/>
  <c r="M30" i="37"/>
  <c r="N30" i="37"/>
  <c r="O30" i="37"/>
  <c r="P30" i="37"/>
  <c r="P31" i="37"/>
  <c r="D32" i="37"/>
  <c r="E32" i="37"/>
  <c r="F32" i="37"/>
  <c r="G32" i="37"/>
  <c r="H32" i="37"/>
  <c r="I32" i="37"/>
  <c r="J32" i="37"/>
  <c r="K32" i="37"/>
  <c r="L32" i="37"/>
  <c r="M32" i="37"/>
  <c r="N32" i="37"/>
  <c r="O32" i="37"/>
  <c r="P32" i="37"/>
  <c r="O33" i="37"/>
  <c r="P33" i="37"/>
  <c r="P34" i="37"/>
  <c r="D35" i="37"/>
  <c r="E35" i="37"/>
  <c r="F35" i="37"/>
  <c r="G35" i="37"/>
  <c r="H35" i="37"/>
  <c r="I35" i="37"/>
  <c r="J35" i="37"/>
  <c r="K35" i="37"/>
  <c r="L35" i="37"/>
  <c r="M35" i="37"/>
  <c r="N35" i="37"/>
  <c r="O35" i="37"/>
  <c r="P35" i="37"/>
  <c r="P36" i="37"/>
  <c r="P37" i="37"/>
  <c r="D38" i="37"/>
  <c r="E38" i="37"/>
  <c r="F38" i="37"/>
  <c r="G38" i="37"/>
  <c r="H38" i="37"/>
  <c r="I38" i="37"/>
  <c r="J38" i="37"/>
  <c r="K38" i="37"/>
  <c r="L38" i="37"/>
  <c r="M38" i="37"/>
  <c r="N38" i="37"/>
  <c r="O38" i="37"/>
  <c r="P38" i="37"/>
  <c r="D39" i="37"/>
  <c r="E39" i="37"/>
  <c r="F39" i="37"/>
  <c r="G39" i="37"/>
  <c r="H39" i="37"/>
  <c r="I39" i="37"/>
  <c r="J39" i="37"/>
  <c r="K39" i="37"/>
  <c r="L39" i="37"/>
  <c r="M39" i="37"/>
  <c r="N39" i="37"/>
  <c r="O39" i="37"/>
  <c r="P39" i="37"/>
  <c r="D40" i="37"/>
  <c r="E40" i="37"/>
  <c r="F40" i="37"/>
  <c r="G40" i="37"/>
  <c r="H40" i="37"/>
  <c r="I40" i="37"/>
  <c r="J40" i="37"/>
  <c r="K40" i="37"/>
  <c r="L40" i="37"/>
  <c r="M40" i="37"/>
  <c r="N40" i="37"/>
  <c r="O40" i="37"/>
  <c r="P40" i="37"/>
  <c r="P41" i="37"/>
  <c r="P42" i="37"/>
  <c r="D43" i="37"/>
  <c r="E43" i="37"/>
  <c r="F43" i="37"/>
  <c r="G43" i="37"/>
  <c r="H43" i="37"/>
  <c r="I43" i="37"/>
  <c r="J43" i="37"/>
  <c r="K43" i="37"/>
  <c r="L43" i="37"/>
  <c r="M43" i="37"/>
  <c r="N43" i="37"/>
  <c r="O43" i="37"/>
  <c r="P43" i="37"/>
  <c r="O44" i="37"/>
  <c r="P44" i="37"/>
  <c r="P45" i="37"/>
  <c r="P46" i="37"/>
  <c r="P47" i="37"/>
  <c r="L48" i="37"/>
  <c r="N48" i="37"/>
  <c r="P48" i="37"/>
  <c r="P49" i="37"/>
  <c r="P50" i="37"/>
  <c r="L51" i="37"/>
  <c r="P51" i="37"/>
  <c r="P52" i="37"/>
  <c r="P53" i="37"/>
  <c r="D54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P55" i="37"/>
  <c r="P56" i="37"/>
  <c r="N57" i="37"/>
  <c r="P57" i="37"/>
  <c r="D58" i="37"/>
  <c r="E58" i="37"/>
  <c r="F58" i="37"/>
  <c r="G58" i="37"/>
  <c r="H58" i="37"/>
  <c r="I58" i="37"/>
  <c r="J58" i="37"/>
  <c r="K58" i="37"/>
  <c r="L58" i="37"/>
  <c r="M58" i="37"/>
  <c r="N58" i="37"/>
  <c r="O58" i="37"/>
  <c r="D61" i="37"/>
  <c r="E61" i="37"/>
  <c r="F61" i="37"/>
  <c r="G61" i="37"/>
  <c r="H61" i="37"/>
  <c r="I61" i="37"/>
  <c r="J61" i="37"/>
  <c r="K61" i="37"/>
  <c r="L61" i="37"/>
  <c r="M61" i="37"/>
  <c r="N61" i="37"/>
  <c r="O61" i="37"/>
  <c r="D63" i="37"/>
  <c r="E63" i="37"/>
  <c r="F63" i="37"/>
  <c r="G63" i="37"/>
  <c r="H63" i="37"/>
  <c r="I63" i="37"/>
  <c r="J63" i="37"/>
  <c r="K63" i="37"/>
  <c r="L63" i="37"/>
  <c r="M63" i="37"/>
  <c r="N63" i="37"/>
  <c r="O63" i="37"/>
  <c r="D64" i="37"/>
  <c r="E64" i="37"/>
  <c r="F64" i="37"/>
  <c r="G64" i="37"/>
  <c r="H64" i="37"/>
  <c r="I64" i="37"/>
  <c r="J64" i="37"/>
  <c r="K64" i="37"/>
  <c r="L64" i="37"/>
  <c r="M64" i="37"/>
  <c r="N64" i="37"/>
  <c r="O64" i="37"/>
  <c r="D65" i="37"/>
  <c r="E65" i="37"/>
  <c r="F65" i="37"/>
  <c r="G65" i="37"/>
  <c r="H65" i="37"/>
  <c r="I65" i="37"/>
  <c r="J65" i="37"/>
  <c r="K65" i="37"/>
  <c r="L65" i="37"/>
  <c r="M65" i="37"/>
  <c r="N65" i="37"/>
  <c r="O65" i="37"/>
  <c r="D67" i="37"/>
  <c r="E67" i="37"/>
  <c r="F67" i="37"/>
  <c r="G67" i="37"/>
  <c r="H67" i="37"/>
  <c r="I67" i="37"/>
  <c r="J67" i="37"/>
  <c r="K67" i="37"/>
  <c r="L67" i="37"/>
  <c r="M67" i="37"/>
  <c r="N67" i="37"/>
  <c r="O67" i="37"/>
  <c r="I69" i="37"/>
  <c r="D73" i="37"/>
  <c r="E73" i="37"/>
  <c r="F73" i="37"/>
  <c r="G73" i="37"/>
  <c r="H73" i="37"/>
  <c r="I73" i="37"/>
  <c r="J73" i="37"/>
  <c r="K73" i="37"/>
  <c r="L73" i="37"/>
  <c r="M73" i="37"/>
  <c r="N73" i="37"/>
  <c r="O73" i="37"/>
  <c r="P73" i="37"/>
  <c r="K79" i="37"/>
  <c r="K85" i="37"/>
  <c r="K87" i="37"/>
  <c r="L87" i="37"/>
  <c r="M87" i="37"/>
  <c r="N87" i="37"/>
  <c r="O87" i="37"/>
  <c r="P87" i="37"/>
  <c r="K96" i="37"/>
  <c r="L96" i="37"/>
  <c r="M96" i="37"/>
  <c r="N96" i="37"/>
  <c r="O96" i="37"/>
  <c r="P96" i="37"/>
  <c r="I98" i="37"/>
  <c r="I100" i="37"/>
  <c r="J108" i="37"/>
  <c r="P8" i="36"/>
  <c r="P9" i="36"/>
  <c r="P10" i="36"/>
  <c r="P11" i="36"/>
  <c r="P12" i="36"/>
  <c r="P13" i="36"/>
  <c r="D14" i="36"/>
  <c r="E14" i="36"/>
  <c r="F14" i="36"/>
  <c r="G14" i="36"/>
  <c r="H14" i="36"/>
  <c r="I14" i="36"/>
  <c r="J14" i="36"/>
  <c r="K14" i="36"/>
  <c r="L14" i="36"/>
  <c r="M14" i="36"/>
  <c r="N14" i="36"/>
  <c r="O14" i="36"/>
  <c r="P14" i="36"/>
  <c r="P16" i="36"/>
  <c r="P17" i="36"/>
  <c r="P18" i="36"/>
  <c r="P19" i="36"/>
  <c r="P20" i="36"/>
  <c r="D21" i="36"/>
  <c r="E21" i="36"/>
  <c r="F21" i="36"/>
  <c r="G21" i="36"/>
  <c r="H21" i="36"/>
  <c r="I21" i="36"/>
  <c r="J21" i="36"/>
  <c r="K21" i="36"/>
  <c r="L21" i="36"/>
  <c r="M21" i="36"/>
  <c r="N21" i="36"/>
  <c r="O21" i="36"/>
  <c r="P21" i="36"/>
  <c r="D22" i="36"/>
  <c r="E22" i="36"/>
  <c r="F22" i="36"/>
  <c r="G22" i="36"/>
  <c r="H22" i="36"/>
  <c r="I22" i="36"/>
  <c r="J22" i="36"/>
  <c r="K22" i="36"/>
  <c r="L22" i="36"/>
  <c r="M22" i="36"/>
  <c r="N22" i="36"/>
  <c r="O22" i="36"/>
  <c r="P22" i="36"/>
  <c r="D27" i="36"/>
  <c r="E27" i="36"/>
  <c r="F27" i="36"/>
  <c r="G27" i="36"/>
  <c r="H27" i="36"/>
  <c r="I27" i="36"/>
  <c r="J27" i="36"/>
  <c r="K27" i="36"/>
  <c r="L27" i="36"/>
  <c r="M27" i="36"/>
  <c r="N27" i="36"/>
  <c r="O27" i="36"/>
  <c r="P27" i="36"/>
  <c r="N28" i="36"/>
  <c r="P28" i="36"/>
  <c r="N29" i="36"/>
  <c r="P29" i="36"/>
  <c r="D30" i="36"/>
  <c r="E30" i="36"/>
  <c r="F30" i="36"/>
  <c r="G30" i="36"/>
  <c r="H30" i="36"/>
  <c r="I30" i="36"/>
  <c r="J30" i="36"/>
  <c r="K30" i="36"/>
  <c r="L30" i="36"/>
  <c r="M30" i="36"/>
  <c r="N30" i="36"/>
  <c r="O30" i="36"/>
  <c r="P30" i="36"/>
  <c r="P31" i="36"/>
  <c r="D32" i="36"/>
  <c r="E32" i="36"/>
  <c r="F32" i="36"/>
  <c r="G32" i="36"/>
  <c r="H32" i="36"/>
  <c r="I32" i="36"/>
  <c r="J32" i="36"/>
  <c r="K32" i="36"/>
  <c r="L32" i="36"/>
  <c r="M32" i="36"/>
  <c r="N32" i="36"/>
  <c r="O32" i="36"/>
  <c r="P32" i="36"/>
  <c r="O33" i="36"/>
  <c r="P33" i="36"/>
  <c r="P34" i="36"/>
  <c r="D35" i="36"/>
  <c r="E35" i="36"/>
  <c r="F35" i="36"/>
  <c r="G35" i="36"/>
  <c r="H35" i="36"/>
  <c r="I35" i="36"/>
  <c r="J35" i="36"/>
  <c r="K35" i="36"/>
  <c r="L35" i="36"/>
  <c r="M35" i="36"/>
  <c r="N35" i="36"/>
  <c r="O35" i="36"/>
  <c r="P35" i="36"/>
  <c r="P36" i="36"/>
  <c r="P37" i="36"/>
  <c r="D38" i="36"/>
  <c r="E38" i="36"/>
  <c r="F38" i="36"/>
  <c r="G38" i="36"/>
  <c r="H38" i="36"/>
  <c r="I38" i="36"/>
  <c r="J38" i="36"/>
  <c r="K38" i="36"/>
  <c r="L38" i="36"/>
  <c r="M38" i="36"/>
  <c r="N38" i="36"/>
  <c r="O38" i="36"/>
  <c r="P38" i="36"/>
  <c r="D39" i="36"/>
  <c r="E39" i="36"/>
  <c r="F39" i="36"/>
  <c r="G39" i="36"/>
  <c r="H39" i="36"/>
  <c r="I39" i="36"/>
  <c r="J39" i="36"/>
  <c r="K39" i="36"/>
  <c r="L39" i="36"/>
  <c r="M39" i="36"/>
  <c r="N39" i="36"/>
  <c r="O39" i="36"/>
  <c r="P39" i="36"/>
  <c r="D40" i="36"/>
  <c r="E40" i="36"/>
  <c r="F40" i="36"/>
  <c r="G40" i="36"/>
  <c r="H40" i="36"/>
  <c r="I40" i="36"/>
  <c r="J40" i="36"/>
  <c r="K40" i="36"/>
  <c r="L40" i="36"/>
  <c r="M40" i="36"/>
  <c r="N40" i="36"/>
  <c r="O40" i="36"/>
  <c r="P40" i="36"/>
  <c r="P41" i="36"/>
  <c r="P42" i="36"/>
  <c r="D43" i="36"/>
  <c r="E43" i="36"/>
  <c r="F43" i="36"/>
  <c r="G43" i="36"/>
  <c r="H43" i="36"/>
  <c r="I43" i="36"/>
  <c r="J43" i="36"/>
  <c r="K43" i="36"/>
  <c r="L43" i="36"/>
  <c r="M43" i="36"/>
  <c r="N43" i="36"/>
  <c r="O43" i="36"/>
  <c r="P43" i="36"/>
  <c r="P44" i="36"/>
  <c r="P45" i="36"/>
  <c r="P46" i="36"/>
  <c r="P47" i="36"/>
  <c r="L48" i="36"/>
  <c r="N48" i="36"/>
  <c r="P48" i="36"/>
  <c r="P49" i="36"/>
  <c r="P50" i="36"/>
  <c r="L51" i="36"/>
  <c r="P51" i="36"/>
  <c r="P52" i="36"/>
  <c r="P53" i="36"/>
  <c r="D54" i="36"/>
  <c r="E54" i="36"/>
  <c r="F54" i="36"/>
  <c r="G54" i="36"/>
  <c r="H54" i="36"/>
  <c r="I54" i="36"/>
  <c r="J54" i="36"/>
  <c r="K54" i="36"/>
  <c r="L54" i="36"/>
  <c r="M54" i="36"/>
  <c r="N54" i="36"/>
  <c r="O54" i="36"/>
  <c r="P54" i="36"/>
  <c r="P55" i="36"/>
  <c r="P56" i="36"/>
  <c r="N57" i="36"/>
  <c r="P57" i="36"/>
  <c r="D61" i="36"/>
  <c r="E61" i="36"/>
  <c r="F61" i="36"/>
  <c r="G61" i="36"/>
  <c r="H61" i="36"/>
  <c r="I61" i="36"/>
  <c r="J61" i="36"/>
  <c r="K61" i="36"/>
  <c r="L61" i="36"/>
  <c r="M61" i="36"/>
  <c r="N61" i="36"/>
  <c r="O61" i="36"/>
  <c r="D63" i="36"/>
  <c r="E63" i="36"/>
  <c r="F63" i="36"/>
  <c r="G63" i="36"/>
  <c r="H63" i="36"/>
  <c r="I63" i="36"/>
  <c r="J63" i="36"/>
  <c r="K63" i="36"/>
  <c r="L63" i="36"/>
  <c r="M63" i="36"/>
  <c r="N63" i="36"/>
  <c r="O63" i="36"/>
  <c r="D64" i="36"/>
  <c r="E64" i="36"/>
  <c r="F64" i="36"/>
  <c r="G64" i="36"/>
  <c r="H64" i="36"/>
  <c r="I64" i="36"/>
  <c r="J64" i="36"/>
  <c r="K64" i="36"/>
  <c r="L64" i="36"/>
  <c r="M64" i="36"/>
  <c r="N64" i="36"/>
  <c r="O64" i="36"/>
  <c r="D65" i="36"/>
  <c r="E65" i="36"/>
  <c r="F65" i="36"/>
  <c r="G65" i="36"/>
  <c r="H65" i="36"/>
  <c r="I65" i="36"/>
  <c r="J65" i="36"/>
  <c r="K65" i="36"/>
  <c r="L65" i="36"/>
  <c r="M65" i="36"/>
  <c r="N65" i="36"/>
  <c r="O65" i="36"/>
  <c r="D67" i="36"/>
  <c r="E67" i="36"/>
  <c r="F67" i="36"/>
  <c r="G67" i="36"/>
  <c r="H67" i="36"/>
  <c r="I67" i="36"/>
  <c r="J67" i="36"/>
  <c r="K67" i="36"/>
  <c r="L67" i="36"/>
  <c r="M67" i="36"/>
  <c r="N67" i="36"/>
  <c r="O67" i="36"/>
  <c r="I69" i="36"/>
  <c r="D73" i="36"/>
  <c r="E73" i="36"/>
  <c r="F73" i="36"/>
  <c r="G73" i="36"/>
  <c r="H73" i="36"/>
  <c r="I73" i="36"/>
  <c r="J73" i="36"/>
  <c r="K73" i="36"/>
  <c r="L73" i="36"/>
  <c r="M73" i="36"/>
  <c r="N73" i="36"/>
  <c r="O73" i="36"/>
  <c r="P73" i="36"/>
  <c r="K79" i="36"/>
  <c r="K85" i="36"/>
  <c r="K87" i="36"/>
  <c r="L87" i="36"/>
  <c r="M87" i="36"/>
  <c r="N87" i="36"/>
  <c r="O87" i="36"/>
  <c r="P87" i="36"/>
  <c r="K96" i="36"/>
  <c r="L96" i="36"/>
  <c r="M96" i="36"/>
  <c r="N96" i="36"/>
  <c r="O96" i="36"/>
  <c r="P96" i="36"/>
  <c r="I98" i="36"/>
  <c r="I100" i="36"/>
  <c r="J108" i="36"/>
  <c r="P8" i="35"/>
  <c r="P9" i="35"/>
  <c r="P10" i="35"/>
  <c r="P11" i="35"/>
  <c r="P12" i="35"/>
  <c r="P13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P16" i="35"/>
  <c r="P17" i="35"/>
  <c r="P18" i="35"/>
  <c r="P19" i="35"/>
  <c r="P20" i="35"/>
  <c r="D21" i="35"/>
  <c r="E21" i="35"/>
  <c r="F21" i="35"/>
  <c r="G21" i="35"/>
  <c r="H21" i="35"/>
  <c r="I21" i="35"/>
  <c r="J21" i="35"/>
  <c r="K21" i="35"/>
  <c r="L21" i="35"/>
  <c r="M21" i="35"/>
  <c r="N21" i="35"/>
  <c r="O21" i="35"/>
  <c r="P21" i="35"/>
  <c r="D22" i="35"/>
  <c r="E22" i="35"/>
  <c r="F22" i="35"/>
  <c r="G22" i="35"/>
  <c r="H22" i="35"/>
  <c r="I22" i="35"/>
  <c r="J22" i="35"/>
  <c r="K22" i="35"/>
  <c r="L22" i="35"/>
  <c r="M22" i="35"/>
  <c r="N22" i="35"/>
  <c r="O22" i="35"/>
  <c r="P22" i="35"/>
  <c r="D27" i="35"/>
  <c r="E27" i="35"/>
  <c r="F27" i="35"/>
  <c r="G27" i="35"/>
  <c r="H27" i="35"/>
  <c r="I27" i="35"/>
  <c r="J27" i="35"/>
  <c r="K27" i="35"/>
  <c r="L27" i="35"/>
  <c r="M27" i="35"/>
  <c r="N27" i="35"/>
  <c r="O27" i="35"/>
  <c r="P27" i="35"/>
  <c r="D28" i="35"/>
  <c r="P28" i="35"/>
  <c r="D29" i="35"/>
  <c r="P29" i="35"/>
  <c r="D30" i="35"/>
  <c r="E30" i="35"/>
  <c r="F30" i="35"/>
  <c r="G30" i="35"/>
  <c r="H30" i="35"/>
  <c r="I30" i="35"/>
  <c r="J30" i="35"/>
  <c r="K30" i="35"/>
  <c r="L30" i="35"/>
  <c r="M30" i="35"/>
  <c r="N30" i="35"/>
  <c r="O30" i="35"/>
  <c r="P30" i="35"/>
  <c r="P31" i="35"/>
  <c r="D32" i="35"/>
  <c r="E32" i="35"/>
  <c r="F32" i="35"/>
  <c r="G32" i="35"/>
  <c r="H32" i="35"/>
  <c r="I32" i="35"/>
  <c r="J32" i="35"/>
  <c r="K32" i="35"/>
  <c r="L32" i="35"/>
  <c r="M32" i="35"/>
  <c r="N32" i="35"/>
  <c r="O32" i="35"/>
  <c r="P32" i="35"/>
  <c r="K33" i="35"/>
  <c r="P33" i="35"/>
  <c r="K34" i="35"/>
  <c r="P34" i="35"/>
  <c r="D35" i="35"/>
  <c r="E35" i="35"/>
  <c r="F35" i="35"/>
  <c r="G35" i="35"/>
  <c r="H35" i="35"/>
  <c r="I35" i="35"/>
  <c r="J35" i="35"/>
  <c r="K35" i="35"/>
  <c r="L35" i="35"/>
  <c r="M35" i="35"/>
  <c r="N35" i="35"/>
  <c r="O35" i="35"/>
  <c r="P35" i="35"/>
  <c r="P36" i="35"/>
  <c r="P37" i="35"/>
  <c r="D38" i="35"/>
  <c r="E38" i="35"/>
  <c r="F38" i="35"/>
  <c r="G38" i="35"/>
  <c r="H38" i="35"/>
  <c r="I38" i="35"/>
  <c r="J38" i="35"/>
  <c r="K38" i="35"/>
  <c r="L38" i="35"/>
  <c r="M38" i="35"/>
  <c r="N38" i="35"/>
  <c r="O38" i="35"/>
  <c r="P38" i="35"/>
  <c r="D39" i="35"/>
  <c r="E39" i="35"/>
  <c r="F39" i="35"/>
  <c r="G39" i="35"/>
  <c r="H39" i="35"/>
  <c r="I39" i="35"/>
  <c r="J39" i="35"/>
  <c r="K39" i="35"/>
  <c r="L39" i="35"/>
  <c r="M39" i="35"/>
  <c r="N39" i="35"/>
  <c r="O39" i="35"/>
  <c r="P39" i="35"/>
  <c r="D40" i="35"/>
  <c r="E40" i="35"/>
  <c r="F40" i="35"/>
  <c r="G40" i="35"/>
  <c r="H40" i="35"/>
  <c r="I40" i="35"/>
  <c r="J40" i="35"/>
  <c r="K40" i="35"/>
  <c r="L40" i="35"/>
  <c r="M40" i="35"/>
  <c r="N40" i="35"/>
  <c r="O40" i="35"/>
  <c r="P40" i="35"/>
  <c r="R40" i="35"/>
  <c r="P41" i="35"/>
  <c r="P42" i="35"/>
  <c r="D43" i="35"/>
  <c r="E43" i="35"/>
  <c r="F43" i="35"/>
  <c r="G43" i="35"/>
  <c r="H43" i="35"/>
  <c r="I43" i="35"/>
  <c r="J43" i="35"/>
  <c r="K43" i="35"/>
  <c r="L43" i="35"/>
  <c r="M43" i="35"/>
  <c r="N43" i="35"/>
  <c r="O43" i="35"/>
  <c r="P43" i="35"/>
  <c r="P44" i="35"/>
  <c r="P45" i="35"/>
  <c r="P46" i="35"/>
  <c r="D47" i="35"/>
  <c r="G47" i="35"/>
  <c r="P47" i="35"/>
  <c r="P48" i="35"/>
  <c r="P49" i="35"/>
  <c r="P50" i="35"/>
  <c r="P51" i="35"/>
  <c r="P52" i="35"/>
  <c r="D53" i="35"/>
  <c r="E53" i="35"/>
  <c r="F53" i="35"/>
  <c r="G53" i="35"/>
  <c r="H53" i="35"/>
  <c r="I53" i="35"/>
  <c r="J53" i="35"/>
  <c r="K53" i="35"/>
  <c r="L53" i="35"/>
  <c r="M53" i="35"/>
  <c r="N53" i="35"/>
  <c r="O53" i="35"/>
  <c r="P53" i="35"/>
  <c r="P54" i="35"/>
  <c r="P55" i="35"/>
  <c r="R55" i="35"/>
  <c r="R56" i="35"/>
  <c r="D57" i="35"/>
  <c r="E57" i="35"/>
  <c r="F57" i="35"/>
  <c r="G57" i="35"/>
  <c r="H57" i="35"/>
  <c r="I57" i="35"/>
  <c r="J57" i="35"/>
  <c r="K57" i="35"/>
  <c r="L57" i="35"/>
  <c r="M57" i="35"/>
  <c r="N57" i="35"/>
  <c r="O57" i="35"/>
  <c r="P57" i="35"/>
  <c r="R57" i="35"/>
  <c r="R58" i="35"/>
  <c r="D59" i="35"/>
  <c r="E59" i="35"/>
  <c r="F59" i="35"/>
  <c r="G59" i="35"/>
  <c r="H59" i="35"/>
  <c r="I59" i="35"/>
  <c r="J59" i="35"/>
  <c r="K59" i="35"/>
  <c r="L59" i="35"/>
  <c r="M59" i="35"/>
  <c r="N59" i="35"/>
  <c r="O59" i="35"/>
  <c r="D60" i="35"/>
  <c r="E60" i="35"/>
  <c r="F60" i="35"/>
  <c r="G60" i="35"/>
  <c r="H60" i="35"/>
  <c r="I60" i="35"/>
  <c r="J60" i="35"/>
  <c r="K60" i="35"/>
  <c r="L60" i="35"/>
  <c r="M60" i="35"/>
  <c r="N60" i="35"/>
  <c r="O60" i="35"/>
  <c r="D61" i="35"/>
  <c r="E61" i="35"/>
  <c r="F61" i="35"/>
  <c r="G61" i="35"/>
  <c r="H61" i="35"/>
  <c r="I61" i="35"/>
  <c r="J61" i="35"/>
  <c r="K61" i="35"/>
  <c r="L61" i="35"/>
  <c r="M61" i="35"/>
  <c r="N61" i="35"/>
  <c r="O61" i="35"/>
  <c r="D63" i="35"/>
  <c r="E63" i="35"/>
  <c r="F63" i="35"/>
  <c r="G63" i="35"/>
  <c r="H63" i="35"/>
  <c r="I63" i="35"/>
  <c r="J63" i="35"/>
  <c r="K63" i="35"/>
  <c r="L63" i="35"/>
  <c r="M63" i="35"/>
  <c r="N63" i="35"/>
  <c r="O63" i="35"/>
  <c r="D65" i="35"/>
  <c r="E65" i="35"/>
  <c r="F65" i="35"/>
  <c r="G65" i="35"/>
  <c r="H65" i="35"/>
  <c r="I65" i="35"/>
  <c r="J65" i="35"/>
  <c r="K65" i="35"/>
  <c r="L65" i="35"/>
  <c r="M65" i="35"/>
  <c r="N65" i="35"/>
  <c r="O65" i="35"/>
  <c r="D69" i="35"/>
  <c r="E69" i="35"/>
  <c r="F69" i="35"/>
  <c r="G69" i="35"/>
  <c r="H69" i="35"/>
  <c r="I69" i="35"/>
  <c r="J69" i="35"/>
  <c r="K69" i="35"/>
  <c r="L69" i="35"/>
  <c r="M69" i="35"/>
  <c r="N69" i="35"/>
  <c r="O69" i="35"/>
  <c r="P69" i="35"/>
  <c r="K75" i="35"/>
  <c r="K81" i="35"/>
  <c r="K83" i="35"/>
  <c r="L83" i="35"/>
  <c r="M83" i="35"/>
  <c r="N83" i="35"/>
  <c r="O83" i="35"/>
  <c r="P83" i="35"/>
  <c r="K92" i="35"/>
  <c r="L92" i="35"/>
  <c r="M92" i="35"/>
  <c r="N92" i="35"/>
  <c r="O92" i="35"/>
  <c r="P92" i="35"/>
  <c r="I94" i="35"/>
  <c r="I96" i="35"/>
  <c r="O8" i="34"/>
  <c r="O9" i="34"/>
  <c r="O10" i="34"/>
  <c r="O11" i="34"/>
  <c r="O12" i="34"/>
  <c r="O13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O16" i="34"/>
  <c r="O17" i="34"/>
  <c r="O18" i="34"/>
  <c r="O19" i="34"/>
  <c r="O20" i="34"/>
  <c r="C21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C22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C27" i="34"/>
  <c r="D27" i="34"/>
  <c r="E27" i="34"/>
  <c r="F27" i="34"/>
  <c r="G27" i="34"/>
  <c r="H27" i="34"/>
  <c r="I27" i="34"/>
  <c r="J27" i="34"/>
  <c r="K27" i="34"/>
  <c r="L27" i="34"/>
  <c r="M27" i="34"/>
  <c r="N27" i="34"/>
  <c r="C28" i="34"/>
  <c r="D28" i="34"/>
  <c r="E28" i="34"/>
  <c r="F28" i="34"/>
  <c r="G28" i="34"/>
  <c r="H28" i="34"/>
  <c r="I28" i="34"/>
  <c r="J28" i="34"/>
  <c r="K28" i="34"/>
  <c r="L28" i="34"/>
  <c r="M28" i="34"/>
  <c r="N28" i="34"/>
  <c r="O28" i="34"/>
  <c r="C29" i="34"/>
  <c r="D29" i="34"/>
  <c r="E29" i="34"/>
  <c r="F29" i="34"/>
  <c r="G29" i="34"/>
  <c r="H29" i="34"/>
  <c r="I29" i="34"/>
  <c r="J29" i="34"/>
  <c r="K29" i="34"/>
  <c r="L29" i="34"/>
  <c r="M29" i="34"/>
  <c r="N29" i="34"/>
  <c r="C30" i="34"/>
  <c r="D30" i="34"/>
  <c r="E30" i="34"/>
  <c r="F30" i="34"/>
  <c r="G30" i="34"/>
  <c r="H30" i="34"/>
  <c r="I30" i="34"/>
  <c r="J30" i="34"/>
  <c r="K30" i="34"/>
  <c r="L30" i="34"/>
  <c r="M30" i="34"/>
  <c r="N30" i="34"/>
  <c r="O30" i="34"/>
  <c r="O31" i="34"/>
  <c r="C32" i="34"/>
  <c r="D32" i="34"/>
  <c r="E32" i="34"/>
  <c r="F32" i="34"/>
  <c r="G32" i="34"/>
  <c r="H32" i="34"/>
  <c r="I32" i="34"/>
  <c r="J32" i="34"/>
  <c r="K32" i="34"/>
  <c r="L32" i="34"/>
  <c r="M32" i="34"/>
  <c r="N32" i="34"/>
  <c r="O32" i="34"/>
  <c r="O33" i="34"/>
  <c r="O34" i="34"/>
  <c r="C35" i="34"/>
  <c r="D35" i="34"/>
  <c r="E35" i="34"/>
  <c r="F35" i="34"/>
  <c r="G35" i="34"/>
  <c r="H35" i="34"/>
  <c r="I35" i="34"/>
  <c r="J35" i="34"/>
  <c r="K35" i="34"/>
  <c r="L35" i="34"/>
  <c r="M35" i="34"/>
  <c r="N35" i="34"/>
  <c r="O35" i="34"/>
  <c r="O36" i="34"/>
  <c r="O37" i="34"/>
  <c r="C38" i="34"/>
  <c r="D38" i="34"/>
  <c r="E38" i="34"/>
  <c r="F38" i="34"/>
  <c r="G38" i="34"/>
  <c r="H38" i="34"/>
  <c r="I38" i="34"/>
  <c r="J38" i="34"/>
  <c r="K38" i="34"/>
  <c r="L38" i="34"/>
  <c r="M38" i="34"/>
  <c r="N38" i="34"/>
  <c r="O38" i="34"/>
  <c r="C39" i="34"/>
  <c r="D39" i="34"/>
  <c r="E39" i="34"/>
  <c r="F39" i="34"/>
  <c r="G39" i="34"/>
  <c r="H39" i="34"/>
  <c r="I39" i="34"/>
  <c r="J39" i="34"/>
  <c r="K39" i="34"/>
  <c r="L39" i="34"/>
  <c r="M39" i="34"/>
  <c r="N39" i="34"/>
  <c r="O39" i="34"/>
  <c r="C40" i="34"/>
  <c r="D40" i="34"/>
  <c r="E40" i="34"/>
  <c r="F40" i="34"/>
  <c r="G40" i="34"/>
  <c r="H40" i="34"/>
  <c r="I40" i="34"/>
  <c r="J40" i="34"/>
  <c r="K40" i="34"/>
  <c r="L40" i="34"/>
  <c r="M40" i="34"/>
  <c r="N40" i="34"/>
  <c r="O40" i="34"/>
  <c r="O41" i="34"/>
  <c r="O42" i="34"/>
  <c r="C43" i="34"/>
  <c r="D43" i="34"/>
  <c r="E43" i="34"/>
  <c r="F43" i="34"/>
  <c r="G43" i="34"/>
  <c r="H43" i="34"/>
  <c r="I43" i="34"/>
  <c r="J43" i="34"/>
  <c r="K43" i="34"/>
  <c r="L43" i="34"/>
  <c r="M43" i="34"/>
  <c r="N43" i="34"/>
  <c r="O43" i="34"/>
  <c r="O44" i="34"/>
  <c r="O45" i="34"/>
  <c r="O46" i="34"/>
  <c r="O47" i="34"/>
  <c r="O48" i="34"/>
  <c r="O49" i="34"/>
  <c r="O50" i="34"/>
  <c r="O51" i="34"/>
  <c r="O52" i="34"/>
  <c r="C53" i="34"/>
  <c r="D53" i="34"/>
  <c r="E53" i="34"/>
  <c r="F53" i="34"/>
  <c r="G53" i="34"/>
  <c r="H53" i="34"/>
  <c r="I53" i="34"/>
  <c r="J53" i="34"/>
  <c r="K53" i="34"/>
  <c r="L53" i="34"/>
  <c r="M53" i="34"/>
  <c r="N53" i="34"/>
  <c r="O53" i="34"/>
  <c r="O54" i="34"/>
  <c r="O55" i="34"/>
  <c r="C57" i="34"/>
  <c r="D57" i="34"/>
  <c r="E57" i="34"/>
  <c r="F57" i="34"/>
  <c r="G57" i="34"/>
  <c r="H57" i="34"/>
  <c r="I57" i="34"/>
  <c r="J57" i="34"/>
  <c r="K57" i="34"/>
  <c r="L57" i="34"/>
  <c r="M57" i="34"/>
  <c r="N57" i="34"/>
  <c r="C59" i="34"/>
  <c r="D59" i="34"/>
  <c r="E59" i="34"/>
  <c r="F59" i="34"/>
  <c r="G59" i="34"/>
  <c r="H59" i="34"/>
  <c r="I59" i="34"/>
  <c r="J59" i="34"/>
  <c r="K59" i="34"/>
  <c r="L59" i="34"/>
  <c r="M59" i="34"/>
  <c r="N59" i="34"/>
  <c r="C60" i="34"/>
  <c r="D60" i="34"/>
  <c r="E60" i="34"/>
  <c r="F60" i="34"/>
  <c r="G60" i="34"/>
  <c r="H60" i="34"/>
  <c r="I60" i="34"/>
  <c r="J60" i="34"/>
  <c r="K60" i="34"/>
  <c r="L60" i="34"/>
  <c r="M60" i="34"/>
  <c r="N60" i="34"/>
  <c r="C61" i="34"/>
  <c r="D61" i="34"/>
  <c r="E61" i="34"/>
  <c r="F61" i="34"/>
  <c r="G61" i="34"/>
  <c r="H61" i="34"/>
  <c r="I61" i="34"/>
  <c r="J61" i="34"/>
  <c r="K61" i="34"/>
  <c r="L61" i="34"/>
  <c r="M61" i="34"/>
  <c r="N61" i="34"/>
  <c r="C63" i="34"/>
  <c r="D63" i="34"/>
  <c r="E63" i="34"/>
  <c r="F63" i="34"/>
  <c r="G63" i="34"/>
  <c r="H63" i="34"/>
  <c r="I63" i="34"/>
  <c r="J63" i="34"/>
  <c r="K63" i="34"/>
  <c r="L63" i="34"/>
  <c r="M63" i="34"/>
  <c r="N63" i="34"/>
  <c r="O56" i="57"/>
  <c r="O34" i="59"/>
  <c r="O68" i="59"/>
  <c r="N34" i="59"/>
  <c r="M55" i="57"/>
  <c r="N68" i="59"/>
  <c r="M34" i="59"/>
  <c r="L55" i="57"/>
  <c r="M68" i="59"/>
  <c r="L34" i="59"/>
  <c r="K55" i="57"/>
  <c r="L68" i="59"/>
  <c r="K34" i="59"/>
  <c r="J55" i="57"/>
  <c r="K68" i="59"/>
  <c r="J34" i="59"/>
  <c r="I55" i="57"/>
  <c r="J68" i="59"/>
  <c r="I34" i="59"/>
  <c r="H55" i="57"/>
  <c r="I68" i="59"/>
  <c r="H34" i="59"/>
  <c r="G55" i="57"/>
  <c r="H68" i="59"/>
  <c r="G34" i="59"/>
  <c r="F55" i="57"/>
  <c r="G68" i="59"/>
  <c r="F34" i="59"/>
  <c r="E55" i="57"/>
  <c r="F68" i="59"/>
  <c r="E34" i="59"/>
  <c r="D55" i="57"/>
  <c r="P35" i="59"/>
  <c r="E68" i="59"/>
  <c r="C55" i="57"/>
  <c r="P34" i="59"/>
  <c r="D30" i="59"/>
  <c r="P32" i="59"/>
  <c r="M54" i="57"/>
  <c r="N40" i="59"/>
  <c r="L54" i="57"/>
  <c r="M40" i="59"/>
  <c r="K54" i="57"/>
  <c r="L40" i="59"/>
  <c r="J54" i="57"/>
  <c r="K40" i="59"/>
  <c r="I54" i="57"/>
  <c r="J40" i="59"/>
  <c r="H54" i="57"/>
  <c r="I40" i="59"/>
  <c r="G54" i="57"/>
  <c r="H40" i="59"/>
  <c r="F54" i="57"/>
  <c r="G40" i="59"/>
  <c r="E54" i="57"/>
  <c r="F40" i="59"/>
  <c r="E30" i="59"/>
  <c r="P31" i="59"/>
  <c r="P30" i="59"/>
  <c r="O72" i="59"/>
  <c r="O71" i="59"/>
  <c r="N58" i="57"/>
  <c r="P40" i="56"/>
  <c r="N68" i="56"/>
  <c r="N65" i="59"/>
  <c r="P65" i="59"/>
  <c r="N67" i="56"/>
  <c r="N64" i="59"/>
  <c r="N65" i="56"/>
  <c r="N64" i="56"/>
  <c r="S64" i="56"/>
  <c r="P64" i="56"/>
  <c r="N63" i="56"/>
  <c r="N61" i="59"/>
  <c r="P63" i="56"/>
  <c r="P60" i="59"/>
  <c r="N62" i="56"/>
  <c r="N60" i="59"/>
  <c r="P62" i="56"/>
  <c r="N61" i="56"/>
  <c r="S61" i="56"/>
  <c r="P61" i="56"/>
  <c r="N60" i="56"/>
  <c r="N59" i="56"/>
  <c r="N57" i="59"/>
  <c r="P59" i="56"/>
  <c r="N58" i="56"/>
  <c r="N57" i="56"/>
  <c r="S57" i="56"/>
  <c r="N55" i="56"/>
  <c r="N54" i="56"/>
  <c r="N52" i="59"/>
  <c r="N52" i="56"/>
  <c r="N51" i="59"/>
  <c r="P52" i="56"/>
  <c r="N51" i="56"/>
  <c r="N50" i="56"/>
  <c r="N49" i="56"/>
  <c r="N48" i="59"/>
  <c r="N48" i="56"/>
  <c r="N47" i="56"/>
  <c r="N46" i="59"/>
  <c r="P47" i="56"/>
  <c r="N45" i="55"/>
  <c r="D52" i="55"/>
  <c r="K52" i="55"/>
  <c r="M56" i="55"/>
  <c r="F45" i="54"/>
  <c r="O45" i="54"/>
  <c r="J52" i="54"/>
  <c r="L56" i="54"/>
  <c r="M66" i="54"/>
  <c r="E45" i="55"/>
  <c r="G52" i="55"/>
  <c r="D56" i="55"/>
  <c r="K56" i="55"/>
  <c r="M45" i="54"/>
  <c r="G52" i="54"/>
  <c r="O52" i="54"/>
  <c r="E56" i="54"/>
  <c r="K56" i="54"/>
  <c r="J66" i="54"/>
  <c r="D45" i="55"/>
  <c r="H52" i="55"/>
  <c r="M52" i="55"/>
  <c r="G56" i="55"/>
  <c r="P65" i="55"/>
  <c r="J45" i="54"/>
  <c r="M52" i="54"/>
  <c r="J56" i="54"/>
  <c r="L66" i="54"/>
  <c r="H45" i="55"/>
  <c r="J45" i="55"/>
  <c r="P52" i="54"/>
  <c r="F45" i="55"/>
  <c r="K52" i="54"/>
  <c r="L45" i="55"/>
  <c r="E52" i="55"/>
  <c r="O52" i="55"/>
  <c r="H56" i="55"/>
  <c r="N56" i="55"/>
  <c r="D45" i="54"/>
  <c r="F52" i="54"/>
  <c r="G56" i="54"/>
  <c r="K45" i="55"/>
  <c r="J56" i="55"/>
  <c r="P59" i="55"/>
  <c r="K45" i="54"/>
  <c r="H52" i="54"/>
  <c r="I45" i="55"/>
  <c r="L52" i="55"/>
  <c r="E56" i="55"/>
  <c r="I45" i="54"/>
  <c r="E52" i="54"/>
  <c r="H56" i="54"/>
  <c r="M56" i="54"/>
  <c r="P59" i="54"/>
  <c r="O66" i="54"/>
  <c r="N52" i="55"/>
  <c r="L56" i="55"/>
  <c r="H45" i="54"/>
  <c r="P45" i="54"/>
  <c r="I52" i="54"/>
  <c r="F56" i="54"/>
  <c r="P58" i="54"/>
  <c r="I52" i="55"/>
  <c r="F56" i="55"/>
  <c r="L45" i="54"/>
  <c r="N52" i="54"/>
  <c r="N66" i="54"/>
  <c r="O45" i="55"/>
  <c r="J52" i="55"/>
  <c r="O56" i="55"/>
  <c r="E45" i="54"/>
  <c r="N45" i="54"/>
  <c r="L52" i="54"/>
  <c r="D56" i="54"/>
  <c r="I56" i="54"/>
  <c r="N56" i="54"/>
  <c r="P68" i="54"/>
  <c r="M45" i="55"/>
  <c r="Q47" i="55"/>
  <c r="F52" i="55"/>
  <c r="I56" i="55"/>
  <c r="I72" i="55"/>
  <c r="G45" i="54"/>
  <c r="D52" i="54"/>
  <c r="O56" i="54"/>
  <c r="K66" i="54"/>
  <c r="D41" i="55"/>
  <c r="D73" i="55"/>
  <c r="D71" i="55"/>
  <c r="E41" i="55"/>
  <c r="E73" i="55"/>
  <c r="E71" i="55"/>
  <c r="F41" i="55"/>
  <c r="F73" i="55"/>
  <c r="F71" i="55"/>
  <c r="P46" i="55"/>
  <c r="G45" i="55"/>
  <c r="H41" i="55"/>
  <c r="H73" i="55"/>
  <c r="H71" i="55"/>
  <c r="I41" i="55"/>
  <c r="I73" i="55"/>
  <c r="I71" i="55"/>
  <c r="D84" i="54"/>
  <c r="D72" i="54"/>
  <c r="CU12" i="58"/>
  <c r="D41" i="54"/>
  <c r="E41" i="54"/>
  <c r="E72" i="54"/>
  <c r="CV12" i="58"/>
  <c r="E84" i="54"/>
  <c r="F41" i="54"/>
  <c r="F84" i="54"/>
  <c r="F72" i="54"/>
  <c r="CW12" i="58"/>
  <c r="G41" i="54"/>
  <c r="G84" i="54"/>
  <c r="G72" i="54"/>
  <c r="CX12" i="58"/>
  <c r="H41" i="54"/>
  <c r="H84" i="54"/>
  <c r="H72" i="54"/>
  <c r="CY12" i="58"/>
  <c r="I41" i="54"/>
  <c r="I72" i="54"/>
  <c r="CZ12" i="58"/>
  <c r="I84" i="54"/>
  <c r="J41" i="54"/>
  <c r="J84" i="54"/>
  <c r="J72" i="54"/>
  <c r="DA12" i="58"/>
  <c r="K41" i="54"/>
  <c r="K84" i="54"/>
  <c r="K72" i="54"/>
  <c r="DB12" i="58"/>
  <c r="L41" i="54"/>
  <c r="L72" i="54"/>
  <c r="DC12" i="58"/>
  <c r="L84" i="54"/>
  <c r="M41" i="54"/>
  <c r="M84" i="54"/>
  <c r="M72" i="54"/>
  <c r="DD12" i="58"/>
  <c r="N41" i="54"/>
  <c r="N72" i="54"/>
  <c r="DE12" i="58"/>
  <c r="N84" i="54"/>
  <c r="O41" i="54"/>
  <c r="O72" i="54"/>
  <c r="DF12" i="58"/>
  <c r="O84" i="54"/>
  <c r="F9" i="57"/>
  <c r="J41" i="55"/>
  <c r="J73" i="55"/>
  <c r="L41" i="55"/>
  <c r="L73" i="55"/>
  <c r="M41" i="55"/>
  <c r="M73" i="55"/>
  <c r="N41" i="55"/>
  <c r="N73" i="55"/>
  <c r="O41" i="55"/>
  <c r="O73" i="55"/>
  <c r="D72" i="55"/>
  <c r="E72" i="55"/>
  <c r="F72" i="55"/>
  <c r="G72" i="55"/>
  <c r="H72" i="55"/>
  <c r="P56" i="55"/>
  <c r="E73" i="54"/>
  <c r="F73" i="54"/>
  <c r="H73" i="54"/>
  <c r="J73" i="54"/>
  <c r="L73" i="54"/>
  <c r="N73" i="54"/>
  <c r="P56" i="54"/>
  <c r="P66" i="54"/>
  <c r="K41" i="55"/>
  <c r="K73" i="55"/>
  <c r="D73" i="54"/>
  <c r="G73" i="54"/>
  <c r="I73" i="54"/>
  <c r="K73" i="54"/>
  <c r="M73" i="54"/>
  <c r="O73" i="54"/>
  <c r="DG14" i="58"/>
  <c r="DG9" i="58"/>
  <c r="DH9" i="58"/>
  <c r="DH14" i="58"/>
  <c r="DI9" i="58"/>
  <c r="DI14" i="58"/>
  <c r="DJ14" i="58"/>
  <c r="DJ9" i="58"/>
  <c r="N57" i="57"/>
  <c r="O41" i="59"/>
  <c r="O78" i="56"/>
  <c r="O77" i="56"/>
  <c r="F46" i="56"/>
  <c r="I45" i="56"/>
  <c r="I41" i="56"/>
  <c r="I74" i="56"/>
  <c r="DL12" i="58"/>
  <c r="L9" i="57"/>
  <c r="J45" i="56"/>
  <c r="M9" i="57"/>
  <c r="M45" i="56"/>
  <c r="M41" i="56"/>
  <c r="M76" i="56"/>
  <c r="P9" i="57"/>
  <c r="M74" i="56"/>
  <c r="DP12" i="58"/>
  <c r="E75" i="56"/>
  <c r="H10" i="57"/>
  <c r="F75" i="56"/>
  <c r="L10" i="57"/>
  <c r="I75" i="56"/>
  <c r="J75" i="56"/>
  <c r="P10" i="57"/>
  <c r="M75" i="56"/>
  <c r="N55" i="57"/>
  <c r="O55" i="57"/>
  <c r="O40" i="59"/>
  <c r="P40" i="59"/>
  <c r="D40" i="59"/>
  <c r="C54" i="57"/>
  <c r="D54" i="57"/>
  <c r="E40" i="59"/>
  <c r="P67" i="56"/>
  <c r="N66" i="56"/>
  <c r="P57" i="56"/>
  <c r="N56" i="56"/>
  <c r="N75" i="56"/>
  <c r="P54" i="56"/>
  <c r="P49" i="56"/>
  <c r="D75" i="55"/>
  <c r="D74" i="55"/>
  <c r="E75" i="55"/>
  <c r="E74" i="55"/>
  <c r="F75" i="55"/>
  <c r="F74" i="55"/>
  <c r="P45" i="55"/>
  <c r="P41" i="55"/>
  <c r="Q41" i="55"/>
  <c r="Q46" i="55"/>
  <c r="G41" i="55"/>
  <c r="G73" i="55"/>
  <c r="G71" i="55"/>
  <c r="H75" i="55"/>
  <c r="H74" i="55"/>
  <c r="I75" i="55"/>
  <c r="I74" i="55"/>
  <c r="CU20" i="58"/>
  <c r="CU10" i="58"/>
  <c r="EH12" i="58"/>
  <c r="D81" i="54"/>
  <c r="D74" i="54"/>
  <c r="S41" i="54"/>
  <c r="E81" i="54"/>
  <c r="E74" i="54"/>
  <c r="CV20" i="58"/>
  <c r="CV10" i="58"/>
  <c r="F81" i="54"/>
  <c r="F74" i="54"/>
  <c r="CW20" i="58"/>
  <c r="CW10" i="58"/>
  <c r="G81" i="54"/>
  <c r="G74" i="54"/>
  <c r="CX20" i="58"/>
  <c r="CX10" i="58"/>
  <c r="H81" i="54"/>
  <c r="H74" i="54"/>
  <c r="CY10" i="58"/>
  <c r="CY20" i="58"/>
  <c r="I74" i="54"/>
  <c r="I81" i="54"/>
  <c r="CZ20" i="58"/>
  <c r="CZ10" i="58"/>
  <c r="J74" i="54"/>
  <c r="J81" i="54"/>
  <c r="DA20" i="58"/>
  <c r="DA10" i="58"/>
  <c r="K81" i="54"/>
  <c r="K74" i="54"/>
  <c r="DB10" i="58"/>
  <c r="DB20" i="58"/>
  <c r="L81" i="54"/>
  <c r="L74" i="54"/>
  <c r="DC20" i="58"/>
  <c r="DC10" i="58"/>
  <c r="M74" i="54"/>
  <c r="M81" i="54"/>
  <c r="DD10" i="58"/>
  <c r="DD20" i="58"/>
  <c r="N81" i="54"/>
  <c r="N74" i="54"/>
  <c r="DE20" i="58"/>
  <c r="DE10" i="58"/>
  <c r="O74" i="54"/>
  <c r="O81" i="54"/>
  <c r="DF20" i="58"/>
  <c r="DF10" i="58"/>
  <c r="J74" i="55"/>
  <c r="J75" i="55"/>
  <c r="L74" i="55"/>
  <c r="L75" i="55"/>
  <c r="M74" i="55"/>
  <c r="M75" i="55"/>
  <c r="N75" i="55"/>
  <c r="N74" i="55"/>
  <c r="O75" i="55"/>
  <c r="O74" i="55"/>
  <c r="K74" i="55"/>
  <c r="K75" i="55"/>
  <c r="F10" i="57"/>
  <c r="F12" i="57"/>
  <c r="P41" i="54"/>
  <c r="DG17" i="58"/>
  <c r="DG16" i="58"/>
  <c r="DH17" i="58"/>
  <c r="DH16" i="58"/>
  <c r="DI17" i="58"/>
  <c r="DI16" i="58"/>
  <c r="DJ17" i="58"/>
  <c r="DJ16" i="58"/>
  <c r="O78" i="59"/>
  <c r="O77" i="59"/>
  <c r="O79" i="59"/>
  <c r="O73" i="59"/>
  <c r="I9" i="57"/>
  <c r="L12" i="57"/>
  <c r="P12" i="57"/>
  <c r="O54" i="57"/>
  <c r="G75" i="55"/>
  <c r="G74" i="55"/>
  <c r="D76" i="54"/>
  <c r="D75" i="54"/>
  <c r="E75" i="54"/>
  <c r="E76" i="54"/>
  <c r="F75" i="54"/>
  <c r="F76" i="54"/>
  <c r="G75" i="54"/>
  <c r="G76" i="54"/>
  <c r="H76" i="54"/>
  <c r="H75" i="54"/>
  <c r="I75" i="54"/>
  <c r="I76" i="54"/>
  <c r="J75" i="54"/>
  <c r="J76" i="54"/>
  <c r="K75" i="54"/>
  <c r="K76" i="54"/>
  <c r="L76" i="54"/>
  <c r="L75" i="54"/>
  <c r="M75" i="54"/>
  <c r="M76" i="54"/>
  <c r="N75" i="54"/>
  <c r="N76" i="54"/>
  <c r="O76" i="54"/>
  <c r="O75" i="54"/>
  <c r="EH10" i="58"/>
  <c r="B24" i="58"/>
  <c r="B26" i="58"/>
  <c r="B25" i="58"/>
  <c r="B23" i="58"/>
  <c r="O75" i="59"/>
  <c r="O74" i="59"/>
  <c r="B27" i="58"/>
  <c r="B29" i="58"/>
  <c r="DQ16" i="58"/>
  <c r="DN17" i="58"/>
  <c r="DL17" i="58"/>
  <c r="DK16" i="58"/>
  <c r="DK17" i="58"/>
  <c r="DM17" i="58"/>
  <c r="EI5" i="58"/>
  <c r="DO9" i="58"/>
  <c r="DM9" i="58"/>
  <c r="EI9" i="58"/>
  <c r="EI7" i="58"/>
  <c r="DP14" i="58"/>
  <c r="DP16" i="58"/>
  <c r="DP17" i="58"/>
  <c r="S50" i="56"/>
  <c r="P50" i="56"/>
  <c r="N49" i="59"/>
  <c r="N46" i="56"/>
  <c r="I76" i="56"/>
  <c r="I90" i="56"/>
  <c r="S55" i="56"/>
  <c r="P55" i="56"/>
  <c r="P53" i="56"/>
  <c r="N53" i="59"/>
  <c r="P53" i="59"/>
  <c r="N53" i="56"/>
  <c r="M77" i="56"/>
  <c r="M78" i="56"/>
  <c r="DL10" i="58"/>
  <c r="DL20" i="58"/>
  <c r="F45" i="56"/>
  <c r="S51" i="56"/>
  <c r="P51" i="56"/>
  <c r="N50" i="59"/>
  <c r="P50" i="59"/>
  <c r="P61" i="59"/>
  <c r="P57" i="59"/>
  <c r="L54" i="59"/>
  <c r="H54" i="59"/>
  <c r="D54" i="59"/>
  <c r="E45" i="59"/>
  <c r="P58" i="56"/>
  <c r="P56" i="56"/>
  <c r="N56" i="59"/>
  <c r="P56" i="59"/>
  <c r="S58" i="56"/>
  <c r="S60" i="56"/>
  <c r="N58" i="59"/>
  <c r="P58" i="59"/>
  <c r="P60" i="56"/>
  <c r="P64" i="59"/>
  <c r="K54" i="59"/>
  <c r="G54" i="59"/>
  <c r="D45" i="59"/>
  <c r="DP20" i="58"/>
  <c r="DP10" i="58"/>
  <c r="P48" i="56"/>
  <c r="P46" i="56"/>
  <c r="P45" i="56"/>
  <c r="P41" i="56"/>
  <c r="N47" i="59"/>
  <c r="S48" i="56"/>
  <c r="S65" i="56"/>
  <c r="P65" i="56"/>
  <c r="N63" i="59"/>
  <c r="P63" i="59"/>
  <c r="P51" i="59"/>
  <c r="P49" i="59"/>
  <c r="F45" i="59"/>
  <c r="P68" i="56"/>
  <c r="P66" i="56"/>
  <c r="K66" i="56"/>
  <c r="G66" i="56"/>
  <c r="K53" i="56"/>
  <c r="G53" i="56"/>
  <c r="D46" i="56"/>
  <c r="S52" i="56"/>
  <c r="S62" i="56"/>
  <c r="H46" i="59"/>
  <c r="J46" i="59"/>
  <c r="L46" i="59"/>
  <c r="L45" i="59"/>
  <c r="I48" i="59"/>
  <c r="P48" i="59"/>
  <c r="M48" i="59"/>
  <c r="M45" i="59"/>
  <c r="E55" i="59"/>
  <c r="I55" i="59"/>
  <c r="I54" i="59"/>
  <c r="M55" i="59"/>
  <c r="M54" i="59"/>
  <c r="K56" i="56"/>
  <c r="G56" i="56"/>
  <c r="S49" i="56"/>
  <c r="S54" i="56"/>
  <c r="S59" i="56"/>
  <c r="S63" i="56"/>
  <c r="F52" i="59"/>
  <c r="J52" i="59"/>
  <c r="F55" i="59"/>
  <c r="F54" i="59"/>
  <c r="J55" i="59"/>
  <c r="J54" i="59"/>
  <c r="N55" i="59"/>
  <c r="N59" i="59"/>
  <c r="P59" i="59"/>
  <c r="N62" i="59"/>
  <c r="P62" i="59"/>
  <c r="L66" i="56"/>
  <c r="J66" i="56"/>
  <c r="H66" i="56"/>
  <c r="F66" i="56"/>
  <c r="I10" i="57"/>
  <c r="I12" i="57"/>
  <c r="D66" i="56"/>
  <c r="L53" i="56"/>
  <c r="H53" i="56"/>
  <c r="D53" i="56"/>
  <c r="E46" i="56"/>
  <c r="G47" i="59"/>
  <c r="K47" i="59"/>
  <c r="K45" i="59"/>
  <c r="L56" i="56"/>
  <c r="H56" i="56"/>
  <c r="D56" i="56"/>
  <c r="S47" i="56"/>
  <c r="M41" i="59"/>
  <c r="L57" i="57"/>
  <c r="K77" i="59"/>
  <c r="K41" i="59"/>
  <c r="J57" i="57"/>
  <c r="M78" i="59"/>
  <c r="M72" i="59"/>
  <c r="M71" i="59"/>
  <c r="L58" i="57"/>
  <c r="H72" i="59"/>
  <c r="G58" i="57"/>
  <c r="H71" i="59"/>
  <c r="G10" i="57"/>
  <c r="D75" i="56"/>
  <c r="J74" i="56"/>
  <c r="DM12" i="58"/>
  <c r="M10" i="57"/>
  <c r="M12" i="57"/>
  <c r="P52" i="59"/>
  <c r="I71" i="59"/>
  <c r="I72" i="59"/>
  <c r="H58" i="57"/>
  <c r="K57" i="57"/>
  <c r="L41" i="59"/>
  <c r="L77" i="59"/>
  <c r="I45" i="59"/>
  <c r="L72" i="59"/>
  <c r="L78" i="59"/>
  <c r="K58" i="57"/>
  <c r="L71" i="59"/>
  <c r="F41" i="56"/>
  <c r="I78" i="56"/>
  <c r="I77" i="56"/>
  <c r="H45" i="56"/>
  <c r="H41" i="56"/>
  <c r="K9" i="57"/>
  <c r="K12" i="57"/>
  <c r="H74" i="56"/>
  <c r="DK12" i="58"/>
  <c r="D57" i="57"/>
  <c r="N54" i="59"/>
  <c r="K10" i="57"/>
  <c r="H75" i="56"/>
  <c r="H9" i="57"/>
  <c r="H12" i="57"/>
  <c r="E74" i="56"/>
  <c r="DH12" i="58"/>
  <c r="E45" i="56"/>
  <c r="E41" i="56"/>
  <c r="J71" i="59"/>
  <c r="J72" i="59"/>
  <c r="I58" i="57"/>
  <c r="J10" i="57"/>
  <c r="G75" i="56"/>
  <c r="E54" i="59"/>
  <c r="E41" i="59"/>
  <c r="P55" i="59"/>
  <c r="P54" i="59"/>
  <c r="J45" i="59"/>
  <c r="D74" i="56"/>
  <c r="DG12" i="58"/>
  <c r="G9" i="57"/>
  <c r="D45" i="56"/>
  <c r="D41" i="56"/>
  <c r="C57" i="57"/>
  <c r="D41" i="59"/>
  <c r="F74" i="56"/>
  <c r="DI12" i="58"/>
  <c r="K74" i="56"/>
  <c r="DN12" i="58"/>
  <c r="N9" i="57"/>
  <c r="N12" i="57"/>
  <c r="K45" i="56"/>
  <c r="K41" i="56"/>
  <c r="F41" i="59"/>
  <c r="E57" i="57"/>
  <c r="F77" i="59"/>
  <c r="K78" i="59"/>
  <c r="K72" i="59"/>
  <c r="K71" i="59"/>
  <c r="J58" i="57"/>
  <c r="P47" i="59"/>
  <c r="O9" i="57"/>
  <c r="L74" i="56"/>
  <c r="DO12" i="58"/>
  <c r="L45" i="56"/>
  <c r="L41" i="56"/>
  <c r="L76" i="56"/>
  <c r="L75" i="56"/>
  <c r="O10" i="57"/>
  <c r="E58" i="57"/>
  <c r="F71" i="59"/>
  <c r="F78" i="59"/>
  <c r="F72" i="59"/>
  <c r="N10" i="57"/>
  <c r="K75" i="56"/>
  <c r="H45" i="59"/>
  <c r="P46" i="59"/>
  <c r="J9" i="57"/>
  <c r="J12" i="57"/>
  <c r="G74" i="56"/>
  <c r="DJ12" i="58"/>
  <c r="G45" i="56"/>
  <c r="G41" i="56"/>
  <c r="N45" i="59"/>
  <c r="G45" i="59"/>
  <c r="F58" i="57"/>
  <c r="G72" i="59"/>
  <c r="G71" i="59"/>
  <c r="D78" i="59"/>
  <c r="C58" i="57"/>
  <c r="D72" i="59"/>
  <c r="D71" i="59"/>
  <c r="N45" i="56"/>
  <c r="N41" i="56"/>
  <c r="N76" i="56"/>
  <c r="N74" i="56"/>
  <c r="DQ12" i="58"/>
  <c r="J41" i="56"/>
  <c r="I93" i="56"/>
  <c r="I95" i="56"/>
  <c r="E73" i="59"/>
  <c r="E79" i="59"/>
  <c r="E77" i="59"/>
  <c r="DJ10" i="58"/>
  <c r="DJ20" i="58"/>
  <c r="L77" i="56"/>
  <c r="L78" i="56"/>
  <c r="EI12" i="58"/>
  <c r="DG10" i="58"/>
  <c r="DG20" i="58"/>
  <c r="F76" i="56"/>
  <c r="F90" i="56"/>
  <c r="D79" i="59"/>
  <c r="D73" i="59"/>
  <c r="DN20" i="58"/>
  <c r="DN10" i="58"/>
  <c r="J41" i="59"/>
  <c r="J77" i="59"/>
  <c r="I57" i="57"/>
  <c r="H76" i="56"/>
  <c r="H90" i="56"/>
  <c r="H57" i="57"/>
  <c r="O57" i="57"/>
  <c r="I41" i="59"/>
  <c r="I77" i="59"/>
  <c r="J90" i="56"/>
  <c r="J76" i="56"/>
  <c r="N41" i="59"/>
  <c r="M57" i="57"/>
  <c r="P45" i="59"/>
  <c r="O12" i="57"/>
  <c r="F73" i="59"/>
  <c r="F79" i="59"/>
  <c r="DI10" i="58"/>
  <c r="DI20" i="58"/>
  <c r="D76" i="56"/>
  <c r="D90" i="56"/>
  <c r="E76" i="56"/>
  <c r="E90" i="56"/>
  <c r="M79" i="59"/>
  <c r="M73" i="59"/>
  <c r="N77" i="56"/>
  <c r="N78" i="56"/>
  <c r="G77" i="59"/>
  <c r="F57" i="57"/>
  <c r="G41" i="59"/>
  <c r="DO10" i="58"/>
  <c r="DO20" i="58"/>
  <c r="DQ20" i="58"/>
  <c r="DQ10" i="58"/>
  <c r="G90" i="56"/>
  <c r="G76" i="56"/>
  <c r="G57" i="57"/>
  <c r="H41" i="59"/>
  <c r="H77" i="59"/>
  <c r="K90" i="56"/>
  <c r="K76" i="56"/>
  <c r="D77" i="59"/>
  <c r="G12" i="57"/>
  <c r="D58" i="57"/>
  <c r="E72" i="59"/>
  <c r="E71" i="59"/>
  <c r="E78" i="59"/>
  <c r="DH20" i="58"/>
  <c r="DH10" i="58"/>
  <c r="N72" i="59"/>
  <c r="M58" i="57"/>
  <c r="O58" i="57"/>
  <c r="N71" i="59"/>
  <c r="DK10" i="58"/>
  <c r="DK20" i="58"/>
  <c r="L73" i="59"/>
  <c r="L79" i="59"/>
  <c r="DM20" i="58"/>
  <c r="DM10" i="58"/>
  <c r="K73" i="59"/>
  <c r="K79" i="59"/>
  <c r="M77" i="59"/>
  <c r="G93" i="56"/>
  <c r="G95" i="56"/>
  <c r="G73" i="59"/>
  <c r="G79" i="59"/>
  <c r="G78" i="59"/>
  <c r="E78" i="56"/>
  <c r="E77" i="56"/>
  <c r="P41" i="59"/>
  <c r="S45" i="59"/>
  <c r="J77" i="56"/>
  <c r="J78" i="56"/>
  <c r="F77" i="56"/>
  <c r="F78" i="56"/>
  <c r="H73" i="59"/>
  <c r="H79" i="59"/>
  <c r="H78" i="59"/>
  <c r="F75" i="59"/>
  <c r="F74" i="59"/>
  <c r="E95" i="56"/>
  <c r="E93" i="56"/>
  <c r="N79" i="59"/>
  <c r="N73" i="59"/>
  <c r="F93" i="56"/>
  <c r="F95" i="56"/>
  <c r="K77" i="56"/>
  <c r="K78" i="56"/>
  <c r="K75" i="59"/>
  <c r="K74" i="59"/>
  <c r="L74" i="59"/>
  <c r="L75" i="59"/>
  <c r="N78" i="59"/>
  <c r="K95" i="56"/>
  <c r="K93" i="56"/>
  <c r="G77" i="56"/>
  <c r="G78" i="56"/>
  <c r="M75" i="59"/>
  <c r="M74" i="59"/>
  <c r="D95" i="56"/>
  <c r="D93" i="56"/>
  <c r="N77" i="59"/>
  <c r="J93" i="56"/>
  <c r="J95" i="56"/>
  <c r="H93" i="56"/>
  <c r="H95" i="56"/>
  <c r="J73" i="59"/>
  <c r="J79" i="59"/>
  <c r="J78" i="59"/>
  <c r="D74" i="59"/>
  <c r="D75" i="59"/>
  <c r="D77" i="56"/>
  <c r="D78" i="56"/>
  <c r="I79" i="59"/>
  <c r="I73" i="59"/>
  <c r="I78" i="59"/>
  <c r="H77" i="56"/>
  <c r="H78" i="56"/>
  <c r="EI10" i="58"/>
  <c r="E75" i="59"/>
  <c r="E74" i="59"/>
  <c r="G75" i="59"/>
  <c r="G74" i="59"/>
  <c r="N74" i="59"/>
  <c r="N75" i="59"/>
  <c r="H74" i="59"/>
  <c r="H75" i="59"/>
  <c r="I74" i="59"/>
  <c r="I75" i="59"/>
  <c r="J74" i="59"/>
  <c r="J75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Hernan Paredes</author>
  </authors>
  <commentList>
    <comment ref="F41" authorId="0" shapeId="0" xr:uid="{27F789F9-1456-41A7-8A6C-87490C16D9A4}">
      <text>
        <r>
          <rPr>
            <b/>
            <sz val="9"/>
            <color indexed="81"/>
            <rFont val="Tahoma"/>
            <family val="2"/>
          </rPr>
          <t>Carlos Hernan Paredes:</t>
        </r>
        <r>
          <rPr>
            <sz val="9"/>
            <color indexed="81"/>
            <rFont val="Tahoma"/>
            <family val="2"/>
          </rPr>
          <t xml:space="preserve">
Vse corrigio según rev 01 coes</t>
        </r>
      </text>
    </comment>
    <comment ref="E47" authorId="0" shapeId="0" xr:uid="{CF12DC33-9679-44D0-B1B3-B401636B1372}">
      <text>
        <r>
          <rPr>
            <b/>
            <sz val="9"/>
            <color indexed="81"/>
            <rFont val="Tahoma"/>
            <family val="2"/>
          </rPr>
          <t>Carlos Hernan Paredes:</t>
        </r>
        <r>
          <rPr>
            <sz val="9"/>
            <color indexed="81"/>
            <rFont val="Tahoma"/>
            <family val="2"/>
          </rPr>
          <t xml:space="preserve">
RECALCULO</t>
        </r>
      </text>
    </comment>
    <comment ref="E49" authorId="0" shapeId="0" xr:uid="{12757AD8-549B-47EB-9BC8-66EAE45E04E6}">
      <text>
        <r>
          <rPr>
            <b/>
            <sz val="9"/>
            <color indexed="81"/>
            <rFont val="Tahoma"/>
            <family val="2"/>
          </rPr>
          <t>Carlos Hernan Paredes:</t>
        </r>
        <r>
          <rPr>
            <sz val="9"/>
            <color indexed="81"/>
            <rFont val="Tahoma"/>
            <family val="2"/>
          </rPr>
          <t xml:space="preserve">
RECALCULO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Milton Abrigo Q</author>
  </authors>
  <commentList>
    <comment ref="H41" authorId="0" shapeId="0" xr:uid="{B7AD901D-071F-4302-ABB7-B17A4A07D9BE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Por la consideracion de la controversia de luz del sur con termochilca la venta al coes seria la diferencia facturado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Milton Abrigo Q</author>
  </authors>
  <commentList>
    <comment ref="H41" authorId="0" shapeId="0" xr:uid="{0F2BE6CD-F74F-4F39-8ACF-8E7A4632443C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Por la consideracion de la controversia de luz del sur con termochilca la venta al coes seria la diferencia facturado</t>
        </r>
      </text>
    </comment>
    <comment ref="L41" authorId="0" shapeId="0" xr:uid="{14963E75-32BF-4BA8-8E2A-15ABBF0B9E5C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SE HA CONSIDERADO EL RETIRO DE EOR,ELD Y ECA</t>
        </r>
      </text>
    </comment>
    <comment ref="L48" authorId="0" shapeId="0" xr:uid="{A8E1B4E3-8D5F-4360-B4B3-EF983AD8F7FB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Milton Abrigo Q</author>
  </authors>
  <commentList>
    <comment ref="H41" authorId="0" shapeId="0" xr:uid="{4D64E2E6-2EEE-4BD3-B3A5-464B5BA18736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Por la consideracion de la controversia de luz del sur con termochilca la venta al coes seria la diferencia facturado</t>
        </r>
      </text>
    </comment>
    <comment ref="L41" authorId="0" shapeId="0" xr:uid="{A3E5B048-A107-4636-B8E6-DB5AC553B5BF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SE HA CONSIDERADO EL RETIRO DE EOR,ELD Y ECA</t>
        </r>
      </text>
    </comment>
    <comment ref="L48" authorId="0" shapeId="0" xr:uid="{22E74460-D66D-447C-A79C-3EC1D298AEDC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Milton Abrigo Q</author>
  </authors>
  <commentList>
    <comment ref="D41" authorId="0" shapeId="0" xr:uid="{25FAFEAB-F18C-4408-80E5-AD321B103030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r4</t>
        </r>
      </text>
    </comment>
    <comment ref="E41" authorId="0" shapeId="0" xr:uid="{38A0AB75-4932-4111-8AE9-6371EFFA228B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R3
</t>
        </r>
      </text>
    </comment>
    <comment ref="F41" authorId="0" shapeId="0" xr:uid="{C8ED2D73-AB2E-4E4D-B3A8-E62DE5B8631B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R3</t>
        </r>
      </text>
    </comment>
    <comment ref="G41" authorId="0" shapeId="0" xr:uid="{0DDE7285-49D3-4A78-A0A0-88D205EEFDD0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R4</t>
        </r>
      </text>
    </comment>
    <comment ref="H41" authorId="0" shapeId="0" xr:uid="{66D9043C-132A-460C-9EE9-609E60ECF469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R5</t>
        </r>
      </text>
    </comment>
    <comment ref="I41" authorId="0" shapeId="0" xr:uid="{E30F90B6-E005-4DFF-8F97-4F5BF05D951D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R3</t>
        </r>
      </text>
    </comment>
    <comment ref="J41" authorId="0" shapeId="0" xr:uid="{47FCCFD7-53FF-4849-AE73-EFF7325176AD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R3</t>
        </r>
      </text>
    </comment>
    <comment ref="K41" authorId="0" shapeId="0" xr:uid="{BC2133BD-03B6-47B9-B01A-E1C898A8C584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R4</t>
        </r>
      </text>
    </comment>
    <comment ref="L41" authorId="0" shapeId="0" xr:uid="{BB20EC54-D5DC-4E19-9639-CEF163D1C416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R4</t>
        </r>
      </text>
    </comment>
    <comment ref="M41" authorId="0" shapeId="0" xr:uid="{F3CB66F5-F6C4-4D3F-BC60-6416ED838578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R4</t>
        </r>
      </text>
    </comment>
    <comment ref="N41" authorId="0" shapeId="0" xr:uid="{A53DF8B9-C3E3-47A8-A3BA-E9DC5FDF05F3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R4</t>
        </r>
      </text>
    </comment>
    <comment ref="L48" authorId="0" shapeId="0" xr:uid="{4A4A838C-B80E-45B0-B97E-AC232925A92B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r1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Milton Abrigo Q</author>
  </authors>
  <commentList>
    <comment ref="D41" authorId="0" shapeId="0" xr:uid="{18743372-863D-46D3-AC26-0042CE05B71D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Se ajuto con el retiro de coelvisac.
El retiro considerado de Coelvisa por el COES es  menor (de 7 mil a 3 mil)
</t>
        </r>
      </text>
    </comment>
    <comment ref="H41" authorId="0" shapeId="0" xr:uid="{090DF187-BAB4-4F7D-A864-6F9E7C01500D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Por la consideracion de la controversia de luz del sur con termochilca la venta al coes seria la diferencia facturado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Milton Abrigo Q</author>
  </authors>
  <commentList>
    <comment ref="D41" authorId="0" shapeId="0" xr:uid="{BFABE09C-F0A2-423D-91EA-0CD710CEE4BF}">
      <text>
        <r>
          <rPr>
            <b/>
            <sz val="9"/>
            <color indexed="81"/>
            <rFont val="Tahoma"/>
            <family val="2"/>
          </rPr>
          <t>Milton Abrigo Q:</t>
        </r>
        <r>
          <rPr>
            <sz val="9"/>
            <color indexed="81"/>
            <rFont val="Tahoma"/>
            <family val="2"/>
          </rPr>
          <t xml:space="preserve">
Se ajuto con el retiro de coelvisac.
El retiro considerado de Coelvisa por el COES es  menor (de 7 mil a 3 mil)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Milton Abrigo</author>
  </authors>
  <commentList>
    <comment ref="F41" authorId="0" shapeId="0" xr:uid="{40E3A546-27E2-46FF-AB5A-48299BA91453}">
      <text>
        <r>
          <rPr>
            <b/>
            <sz val="9"/>
            <color indexed="81"/>
            <rFont val="Tahoma"/>
            <family val="2"/>
          </rPr>
          <t>Milton Abrigo:</t>
        </r>
        <r>
          <rPr>
            <sz val="9"/>
            <color indexed="81"/>
            <rFont val="Tahoma"/>
            <family val="2"/>
          </rPr>
          <t xml:space="preserve">
67712.2440030238 por el COES</t>
        </r>
      </text>
    </comment>
    <comment ref="H41" authorId="0" shapeId="0" xr:uid="{3B50D4EE-15FB-49E0-86C7-281BE79942BB}">
      <text>
        <r>
          <rPr>
            <b/>
            <sz val="9"/>
            <color indexed="81"/>
            <rFont val="Tahoma"/>
            <family val="2"/>
          </rPr>
          <t>Milton Abrigo:</t>
        </r>
        <r>
          <rPr>
            <sz val="9"/>
            <color indexed="81"/>
            <rFont val="Tahoma"/>
            <family val="2"/>
          </rPr>
          <t xml:space="preserve">
Se ajusto la energia de COELVISAC y ELECTROSUR</t>
        </r>
      </text>
    </comment>
    <comment ref="I41" authorId="0" shapeId="0" xr:uid="{2F0ADDD5-7933-4F2E-9CDB-A23E756C13F1}">
      <text>
        <r>
          <rPr>
            <b/>
            <sz val="9"/>
            <color indexed="81"/>
            <rFont val="Tahoma"/>
            <family val="2"/>
          </rPr>
          <t>Milton Abrigo:</t>
        </r>
        <r>
          <rPr>
            <sz val="9"/>
            <color indexed="81"/>
            <rFont val="Tahoma"/>
            <family val="2"/>
          </rPr>
          <t xml:space="preserve">
se corrigió la energia de eor y Coelvisac en COES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Milton Abrigo</author>
  </authors>
  <commentList>
    <comment ref="H48" authorId="0" shapeId="0" xr:uid="{B8079BEF-B4C1-48D4-A37C-3E56A3C9D0A5}">
      <text>
        <r>
          <rPr>
            <b/>
            <sz val="9"/>
            <color indexed="81"/>
            <rFont val="Tahoma"/>
            <family val="2"/>
          </rPr>
          <t>Milton Abrigo:</t>
        </r>
        <r>
          <rPr>
            <sz val="9"/>
            <color indexed="81"/>
            <rFont val="Tahoma"/>
            <family val="2"/>
          </rPr>
          <t xml:space="preserve">
R1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Milton Abrigo</author>
  </authors>
  <commentList>
    <comment ref="H47" authorId="0" shapeId="0" xr:uid="{B0AD223A-D1C1-4859-B8D5-ADB78983EA6C}">
      <text>
        <r>
          <rPr>
            <b/>
            <sz val="9"/>
            <color indexed="81"/>
            <rFont val="Tahoma"/>
            <family val="2"/>
          </rPr>
          <t>Milton Abrigo:</t>
        </r>
        <r>
          <rPr>
            <sz val="9"/>
            <color indexed="81"/>
            <rFont val="Tahoma"/>
            <family val="2"/>
          </rPr>
          <t xml:space="preserve">
R1</t>
        </r>
      </text>
    </comment>
  </commentList>
</comments>
</file>

<file path=xl/sharedStrings.xml><?xml version="1.0" encoding="utf-8"?>
<sst xmlns="http://schemas.openxmlformats.org/spreadsheetml/2006/main" count="2335" uniqueCount="185">
  <si>
    <t>PRODUCCIÓN MENSUAL DE ENERGÍA ELÉCTRICA EN EGASA</t>
  </si>
  <si>
    <t>CENTRALES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</si>
  <si>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</si>
  <si>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</si>
  <si>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</si>
  <si>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</si>
  <si>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</si>
  <si>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</si>
  <si>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</si>
  <si>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</si>
  <si>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</si>
  <si>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</si>
  <si>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</si>
  <si>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</si>
  <si>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Acumulado</t>
  </si>
  <si>
    <t>Hidráulica</t>
  </si>
  <si>
    <t>Charcani I</t>
  </si>
  <si>
    <t>Charcani II</t>
  </si>
  <si>
    <t>Charcani III</t>
  </si>
  <si>
    <t>Charcani IV</t>
  </si>
  <si>
    <t>Charcani V</t>
  </si>
  <si>
    <t>Charcani VI</t>
  </si>
  <si>
    <t>Total Hidraúlica</t>
  </si>
  <si>
    <t>Térmica</t>
  </si>
  <si>
    <t>T.Vapor</t>
  </si>
  <si>
    <t>T.G.-Ciclo Combinado</t>
  </si>
  <si>
    <t>Sulzers</t>
  </si>
  <si>
    <t>C.T. Mollendo</t>
  </si>
  <si>
    <t>Total Térmica</t>
  </si>
  <si>
    <t>TOTAL EGASA</t>
  </si>
  <si>
    <t>DESCRIPCIÓN</t>
  </si>
  <si>
    <t>Energía producida</t>
  </si>
  <si>
    <t>Hidroeléctrica</t>
  </si>
  <si>
    <t>Termoeléctrica</t>
  </si>
  <si>
    <t>Compra de energía</t>
  </si>
  <si>
    <t>Consumo propio de centrales</t>
  </si>
  <si>
    <t>Pérdidas Sistemas Transmisión</t>
  </si>
  <si>
    <t>En muy alta tensión</t>
  </si>
  <si>
    <t>En alta tensión</t>
  </si>
  <si>
    <t>Energía total disponible</t>
  </si>
  <si>
    <t>Venta de energía</t>
  </si>
  <si>
    <t>COES</t>
  </si>
  <si>
    <t>A emp. Distribuidoras:</t>
  </si>
  <si>
    <t>A clientes Libres</t>
  </si>
  <si>
    <t>A Emp. Generadoras</t>
  </si>
  <si>
    <t>Electroperú (SWAP)</t>
  </si>
  <si>
    <t>C.T. Pisco</t>
  </si>
  <si>
    <t xml:space="preserve">   Edelnor</t>
  </si>
  <si>
    <t xml:space="preserve">   Luz del Sur</t>
  </si>
  <si>
    <t xml:space="preserve">   Edecañete</t>
  </si>
  <si>
    <t xml:space="preserve">   Electrosur</t>
  </si>
  <si>
    <t xml:space="preserve">   Electrosur Este</t>
  </si>
  <si>
    <t xml:space="preserve">   Electropuno</t>
  </si>
  <si>
    <t xml:space="preserve">   Electro Oriente</t>
  </si>
  <si>
    <t xml:space="preserve">   Electro Dunas</t>
  </si>
  <si>
    <t xml:space="preserve">   Seal Licitaciones</t>
  </si>
  <si>
    <t>TISUR</t>
  </si>
  <si>
    <t>BALANCE DE ENERGÍA EN MWh - AÑO 2016</t>
  </si>
  <si>
    <t>AÑO 2016 (MWh)</t>
  </si>
  <si>
    <t>MICHELL</t>
  </si>
  <si>
    <t>BALANCE DE ENERGÍA EN MWh - AÑO 2017</t>
  </si>
  <si>
    <t>AÑO 2017 (MWh)</t>
  </si>
  <si>
    <t>Auxiliares</t>
  </si>
  <si>
    <t>Antena</t>
  </si>
  <si>
    <t>Total Hidraulica</t>
  </si>
  <si>
    <t>Pisco Aux1</t>
  </si>
  <si>
    <t>Pisco Aux2</t>
  </si>
  <si>
    <t>Total Termica</t>
  </si>
  <si>
    <t>Alimentador de Calentadores</t>
  </si>
  <si>
    <t>Medicion</t>
  </si>
  <si>
    <t>Aux</t>
  </si>
  <si>
    <t>Toma III</t>
  </si>
  <si>
    <t>Toma P3,P4,P5,P6</t>
  </si>
  <si>
    <t>Aux G1</t>
  </si>
  <si>
    <t>Aux G2</t>
  </si>
  <si>
    <t>Aux (1)</t>
  </si>
  <si>
    <t>Aux (2)</t>
  </si>
  <si>
    <t>Total (3)</t>
  </si>
  <si>
    <t>Aux (4)</t>
  </si>
  <si>
    <t>Total (5)</t>
  </si>
  <si>
    <t>Aux (6)</t>
  </si>
  <si>
    <t>P1</t>
  </si>
  <si>
    <t>Chilina</t>
  </si>
  <si>
    <t>TG</t>
  </si>
  <si>
    <t>Sulzer</t>
  </si>
  <si>
    <t>Pisco</t>
  </si>
  <si>
    <t>Mollendo</t>
  </si>
  <si>
    <t>C. Edificio</t>
  </si>
  <si>
    <t>Mirrles</t>
  </si>
  <si>
    <t>NATURGEN</t>
  </si>
  <si>
    <t xml:space="preserve">   Seal</t>
  </si>
  <si>
    <t>BALANCE DE ENERGÍA EN MWh - AÑO 2018</t>
  </si>
  <si>
    <t>Fuente: COES - EGASA</t>
  </si>
  <si>
    <t>Coelvisac</t>
  </si>
  <si>
    <t>INCALPACA</t>
  </si>
  <si>
    <t>INCATOPS</t>
  </si>
  <si>
    <t>IBERICA</t>
  </si>
  <si>
    <t>PAMPABAJA</t>
  </si>
  <si>
    <t xml:space="preserve">PAMPA BAJA </t>
  </si>
  <si>
    <t>BALANCE DE ENERGÍA EN MWh - AÑO 2019</t>
  </si>
  <si>
    <t>LADRILLERA DIAMANTE</t>
  </si>
  <si>
    <t>ROCATECH</t>
  </si>
  <si>
    <t xml:space="preserve">   Electro Sur Este</t>
  </si>
  <si>
    <t>Coelvisac (Bolsa 1)</t>
  </si>
  <si>
    <t>Coelvisac (Bolsa 2)</t>
  </si>
  <si>
    <t>BALANCE DE ENERGÍA EN MWh - AÑO 2020</t>
  </si>
  <si>
    <t>Edecañete</t>
  </si>
  <si>
    <t>EL DORAL</t>
  </si>
  <si>
    <t>ELECTROPERU</t>
  </si>
  <si>
    <t>Electroperu</t>
  </si>
  <si>
    <t>BALANCE DE ENERGÍA EN MWh - AÑO 2021</t>
  </si>
  <si>
    <t>SAN PABLO</t>
  </si>
  <si>
    <t>BALANCE DE ENERGÍA EN MWh - AÑO 2022</t>
  </si>
  <si>
    <t>AÑO 2022 (MWh)</t>
  </si>
  <si>
    <t>BALANCE DE ENERGÍA EN MWh - AÑO 2023</t>
  </si>
  <si>
    <t>AÑO 2023 (MWh)</t>
  </si>
  <si>
    <t>Tisur</t>
  </si>
  <si>
    <t>Michell</t>
  </si>
  <si>
    <t>Incalpaca</t>
  </si>
  <si>
    <t>Iberica</t>
  </si>
  <si>
    <t>Pampabaja</t>
  </si>
  <si>
    <t>El Doral</t>
  </si>
  <si>
    <t>San Pablo</t>
  </si>
  <si>
    <t>Oxyman</t>
  </si>
  <si>
    <t>Bilateral</t>
  </si>
  <si>
    <t>CVC Energia</t>
  </si>
  <si>
    <t>Resapaldo</t>
  </si>
  <si>
    <t>Atria</t>
  </si>
  <si>
    <t>A Bilaterales</t>
  </si>
  <si>
    <t>Coelvisac 1</t>
  </si>
  <si>
    <t>Coelvisac 2</t>
  </si>
  <si>
    <t>Enel Distribución1</t>
  </si>
  <si>
    <t>Electropuno1</t>
  </si>
  <si>
    <t>Enel Distribución</t>
  </si>
  <si>
    <t>Electropuno</t>
  </si>
  <si>
    <t>Enel Distribución2</t>
  </si>
  <si>
    <t>AÑO 2024 (MWh)</t>
  </si>
  <si>
    <t>BALANCE DE ENERGÍA EN MWh - AÑO 2024</t>
  </si>
  <si>
    <t>Engie</t>
  </si>
  <si>
    <t>IncaTops</t>
  </si>
  <si>
    <t>Licitaciones</t>
  </si>
  <si>
    <t>Pluz Energía</t>
  </si>
  <si>
    <t>Pluz Energía (M. Libre)</t>
  </si>
  <si>
    <t>Respalado</t>
  </si>
  <si>
    <t>Año</t>
  </si>
  <si>
    <t>Mercado Regulado</t>
  </si>
  <si>
    <t>Total</t>
  </si>
  <si>
    <t>BALANCE DE ENERGÍA EN MWh - AÑO 2025</t>
  </si>
  <si>
    <t>Produccion Hidraulica</t>
  </si>
  <si>
    <t>Produccion Termica</t>
  </si>
  <si>
    <t>Consumos Aux.</t>
  </si>
  <si>
    <t>Perdidas</t>
  </si>
  <si>
    <t>Compra de Energia</t>
  </si>
  <si>
    <t>Eergia Disponible</t>
  </si>
  <si>
    <t>Venta de Energia</t>
  </si>
  <si>
    <t>Contratos</t>
  </si>
  <si>
    <t>Venta en COES</t>
  </si>
  <si>
    <t>Concepto</t>
  </si>
  <si>
    <t>VENTA DE ENERGIA</t>
  </si>
  <si>
    <t xml:space="preserve">Venta de energia </t>
  </si>
  <si>
    <t>ENERGIA POR CONTRATOS</t>
  </si>
  <si>
    <t>Maxima Energia (GWh)</t>
  </si>
  <si>
    <t>Minima Energia (GWh)</t>
  </si>
  <si>
    <t>Promedio (GWh)</t>
  </si>
  <si>
    <t>Potencia a Contratar (MWh)</t>
  </si>
  <si>
    <t>Energia Comercializable (GWh)</t>
  </si>
  <si>
    <t>Factor de Carga</t>
  </si>
  <si>
    <t>Desviacion Estandar (MWh)*0.8</t>
  </si>
  <si>
    <t>AÑO 2025 (MWh)</t>
  </si>
  <si>
    <t>Caudal (m3/s)</t>
  </si>
  <si>
    <t>Potencia Vendida (MW)</t>
  </si>
  <si>
    <t>Rendimiento (MW/(m3/s)</t>
  </si>
  <si>
    <t>Participación</t>
  </si>
  <si>
    <t>Usaurios Libres</t>
  </si>
  <si>
    <t>Usaurios Regulados</t>
  </si>
  <si>
    <t>Setiembre</t>
  </si>
  <si>
    <t>Compra de Energía</t>
  </si>
  <si>
    <t>Servicios Auxiliares</t>
  </si>
  <si>
    <t>Producción</t>
  </si>
  <si>
    <t>Balance de Energía 
(2025)</t>
  </si>
  <si>
    <t>Mercado Libre</t>
  </si>
  <si>
    <t>Pérdidas</t>
  </si>
  <si>
    <t>Libres</t>
  </si>
  <si>
    <t>Regulados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</si>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</sst>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-* #,##0.00\ _€_-;\-* #,##0.00\ _€_-;_-* &quot;-&quot;??\ _€_-;_-@_-"/>
    <numFmt numFmtId="165" formatCode="_ * #,##0.00_ ;_ * \-#,##0.00_ ;_ * &quot;-&quot;??_ ;_ @_ "/>
    <numFmt numFmtId="166" formatCode="_-* #,##0.00\ _p_t_a_-;\-* #,##0.00\ _p_t_a_-;_-* &quot;-&quot;??\ _p_t_a_-;_-@_-"/>
    <numFmt numFmtId="167" formatCode="#,##0.000"/>
    <numFmt numFmtId="168" formatCode="_ * #,##0.000_ ;_ * \-#,##0.000_ ;_ * &quot;-&quot;??_ ;_ @_ "/>
    <numFmt numFmtId="169" formatCode="_-* #,##0.0000_-;\-* #,##0.0000_-;_-* &quot;-&quot;??_-;_-@_-"/>
    <numFmt numFmtId="170" formatCode="0.0%"/>
    <numFmt numFmtId="171" formatCode="0.0000%"/>
    <numFmt numFmtId="172" formatCode="_ * #,##0.0000_ ;_ * \-#,##0.0000_ ;_ * &quot;-&quot;??_ ;_ @_ "/>
    <numFmt numFmtId="173" formatCode="_ * #,##0.00000_ ;_ * \-#,##0.00000_ ;_ * &quot;-&quot;??_ ;_ @_ "/>
    <numFmt numFmtId="174" formatCode="_-* #,##0.00000000_-;\-* #,##0.00000000_-;_-* &quot;-&quot;??_-;_-@_-"/>
    <numFmt numFmtId="175" formatCode="_ * #,##0_ ;_ * \-#,##0_ ;_ * &quot;-&quot;??_ ;_ @_ "/>
    <numFmt numFmtId="176" formatCode="_-* #,##0.000_-;\-* #,##0.000_-;_-* &quot;-&quot;??_-;_-@_-"/>
    <numFmt numFmtId="177" formatCode="0.000%"/>
  </numFmts>
  <fonts count="31">
    <font>
      <sz val="10"/>
      <name val="Albertus Medium"/>
    </font>
    <font>
      <sz val="10"/>
      <name val="Albertus Medium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2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1"/>
      <color indexed="10"/>
      <name val="Arial"/>
      <family val="2"/>
    </font>
    <font>
      <sz val="10"/>
      <name val="Albertus Medium"/>
      <family val="2"/>
    </font>
    <font>
      <sz val="10"/>
      <name val="Albertus Medium"/>
      <family val="2"/>
    </font>
    <font>
      <sz val="10"/>
      <name val="Albertus Medium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lbertus Medium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10"/>
      <name val="Albertus Medium"/>
    </font>
    <font>
      <sz val="10"/>
      <name val="Albertus Medium"/>
    </font>
    <font>
      <sz val="8"/>
      <name val="Albertus Medium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8"/>
      <color rgb="FF0033CC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66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4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2" fillId="0" borderId="1" xfId="0" applyFont="1" applyBorder="1"/>
    <xf numFmtId="4" fontId="2" fillId="0" borderId="2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0" fontId="2" fillId="0" borderId="5" xfId="0" applyFont="1" applyBorder="1"/>
    <xf numFmtId="4" fontId="3" fillId="0" borderId="6" xfId="0" applyNumberFormat="1" applyFont="1" applyBorder="1"/>
    <xf numFmtId="4" fontId="3" fillId="0" borderId="7" xfId="0" applyNumberFormat="1" applyFont="1" applyBorder="1"/>
    <xf numFmtId="4" fontId="3" fillId="0" borderId="0" xfId="0" applyNumberFormat="1" applyFont="1"/>
    <xf numFmtId="4" fontId="3" fillId="0" borderId="8" xfId="0" applyNumberFormat="1" applyFont="1" applyBorder="1"/>
    <xf numFmtId="4" fontId="3" fillId="0" borderId="9" xfId="0" applyNumberFormat="1" applyFont="1" applyBorder="1"/>
    <xf numFmtId="0" fontId="3" fillId="0" borderId="5" xfId="0" applyFont="1" applyBorder="1"/>
    <xf numFmtId="0" fontId="2" fillId="0" borderId="10" xfId="0" applyFont="1" applyBorder="1"/>
    <xf numFmtId="167" fontId="3" fillId="0" borderId="6" xfId="0" applyNumberFormat="1" applyFont="1" applyBorder="1"/>
    <xf numFmtId="167" fontId="3" fillId="0" borderId="7" xfId="0" applyNumberFormat="1" applyFont="1" applyBorder="1"/>
    <xf numFmtId="167" fontId="3" fillId="0" borderId="0" xfId="0" applyNumberFormat="1" applyFont="1"/>
    <xf numFmtId="167" fontId="3" fillId="0" borderId="9" xfId="0" applyNumberFormat="1" applyFont="1" applyBorder="1"/>
    <xf numFmtId="0" fontId="3" fillId="0" borderId="5" xfId="0" quotePrefix="1" applyFont="1" applyBorder="1" applyAlignment="1">
      <alignment horizontal="left"/>
    </xf>
    <xf numFmtId="165" fontId="3" fillId="0" borderId="0" xfId="0" applyNumberFormat="1" applyFont="1"/>
    <xf numFmtId="0" fontId="2" fillId="0" borderId="11" xfId="0" applyFont="1" applyBorder="1"/>
    <xf numFmtId="0" fontId="2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2" fillId="0" borderId="13" xfId="0" applyFont="1" applyBorder="1"/>
    <xf numFmtId="0" fontId="3" fillId="0" borderId="16" xfId="0" applyFont="1" applyBorder="1"/>
    <xf numFmtId="0" fontId="2" fillId="2" borderId="1" xfId="0" applyFont="1" applyFill="1" applyBorder="1" applyAlignment="1">
      <alignment horizontal="center"/>
    </xf>
    <xf numFmtId="4" fontId="2" fillId="2" borderId="17" xfId="0" applyNumberFormat="1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center"/>
    </xf>
    <xf numFmtId="4" fontId="2" fillId="2" borderId="4" xfId="0" applyNumberFormat="1" applyFont="1" applyFill="1" applyBorder="1" applyAlignment="1">
      <alignment horizontal="center"/>
    </xf>
    <xf numFmtId="0" fontId="2" fillId="2" borderId="18" xfId="0" applyFont="1" applyFill="1" applyBorder="1"/>
    <xf numFmtId="166" fontId="3" fillId="0" borderId="0" xfId="0" applyNumberFormat="1" applyFont="1"/>
    <xf numFmtId="3" fontId="3" fillId="0" borderId="0" xfId="0" applyNumberFormat="1" applyFont="1"/>
    <xf numFmtId="0" fontId="6" fillId="0" borderId="0" xfId="0" applyFont="1"/>
    <xf numFmtId="167" fontId="0" fillId="0" borderId="0" xfId="0" applyNumberFormat="1"/>
    <xf numFmtId="166" fontId="7" fillId="0" borderId="0" xfId="0" applyNumberFormat="1" applyFont="1"/>
    <xf numFmtId="0" fontId="3" fillId="0" borderId="5" xfId="0" applyFont="1" applyBorder="1" applyAlignment="1">
      <alignment horizontal="left"/>
    </xf>
    <xf numFmtId="167" fontId="3" fillId="0" borderId="6" xfId="2" applyNumberFormat="1" applyFont="1" applyFill="1" applyBorder="1"/>
    <xf numFmtId="167" fontId="3" fillId="0" borderId="7" xfId="2" applyNumberFormat="1" applyFont="1" applyFill="1" applyBorder="1"/>
    <xf numFmtId="167" fontId="3" fillId="0" borderId="0" xfId="2" applyNumberFormat="1" applyFont="1" applyFill="1" applyBorder="1"/>
    <xf numFmtId="167" fontId="3" fillId="0" borderId="8" xfId="2" applyNumberFormat="1" applyFont="1" applyFill="1" applyBorder="1"/>
    <xf numFmtId="167" fontId="3" fillId="0" borderId="9" xfId="2" applyNumberFormat="1" applyFont="1" applyFill="1" applyBorder="1"/>
    <xf numFmtId="167" fontId="2" fillId="0" borderId="19" xfId="2" applyNumberFormat="1" applyFont="1" applyFill="1" applyBorder="1"/>
    <xf numFmtId="167" fontId="2" fillId="0" borderId="20" xfId="2" applyNumberFormat="1" applyFont="1" applyFill="1" applyBorder="1"/>
    <xf numFmtId="167" fontId="2" fillId="0" borderId="21" xfId="2" applyNumberFormat="1" applyFont="1" applyFill="1" applyBorder="1"/>
    <xf numFmtId="167" fontId="2" fillId="0" borderId="22" xfId="2" applyNumberFormat="1" applyFont="1" applyFill="1" applyBorder="1"/>
    <xf numFmtId="167" fontId="2" fillId="0" borderId="23" xfId="2" applyNumberFormat="1" applyFont="1" applyFill="1" applyBorder="1"/>
    <xf numFmtId="167" fontId="2" fillId="0" borderId="24" xfId="2" applyNumberFormat="1" applyFont="1" applyFill="1" applyBorder="1"/>
    <xf numFmtId="167" fontId="2" fillId="0" borderId="25" xfId="2" applyNumberFormat="1" applyFont="1" applyBorder="1"/>
    <xf numFmtId="167" fontId="2" fillId="0" borderId="26" xfId="2" applyNumberFormat="1" applyFont="1" applyBorder="1" applyProtection="1">
      <protection locked="0"/>
    </xf>
    <xf numFmtId="167" fontId="2" fillId="0" borderId="26" xfId="2" applyNumberFormat="1" applyFont="1" applyBorder="1"/>
    <xf numFmtId="167" fontId="2" fillId="0" borderId="26" xfId="2" applyNumberFormat="1" applyFont="1" applyFill="1" applyBorder="1"/>
    <xf numFmtId="167" fontId="2" fillId="0" borderId="27" xfId="2" applyNumberFormat="1" applyFont="1" applyBorder="1"/>
    <xf numFmtId="167" fontId="2" fillId="0" borderId="28" xfId="2" applyNumberFormat="1" applyFont="1" applyBorder="1"/>
    <xf numFmtId="167" fontId="3" fillId="0" borderId="29" xfId="2" applyNumberFormat="1" applyFont="1" applyBorder="1"/>
    <xf numFmtId="167" fontId="3" fillId="0" borderId="7" xfId="2" applyNumberFormat="1" applyFont="1" applyBorder="1"/>
    <xf numFmtId="167" fontId="3" fillId="0" borderId="9" xfId="2" applyNumberFormat="1" applyFont="1" applyBorder="1"/>
    <xf numFmtId="167" fontId="3" fillId="0" borderId="30" xfId="2" applyNumberFormat="1" applyFont="1" applyBorder="1"/>
    <xf numFmtId="167" fontId="3" fillId="0" borderId="31" xfId="2" applyNumberFormat="1" applyFont="1" applyBorder="1"/>
    <xf numFmtId="167" fontId="3" fillId="0" borderId="32" xfId="2" applyNumberFormat="1" applyFont="1" applyFill="1" applyBorder="1"/>
    <xf numFmtId="167" fontId="3" fillId="0" borderId="33" xfId="2" applyNumberFormat="1" applyFont="1" applyBorder="1"/>
    <xf numFmtId="167" fontId="2" fillId="0" borderId="34" xfId="2" applyNumberFormat="1" applyFont="1" applyFill="1" applyBorder="1"/>
    <xf numFmtId="167" fontId="3" fillId="0" borderId="35" xfId="2" applyNumberFormat="1" applyFont="1" applyFill="1" applyBorder="1"/>
    <xf numFmtId="167" fontId="2" fillId="0" borderId="36" xfId="2" applyNumberFormat="1" applyFont="1" applyBorder="1"/>
    <xf numFmtId="167" fontId="3" fillId="0" borderId="31" xfId="2" applyNumberFormat="1" applyFont="1" applyFill="1" applyBorder="1"/>
    <xf numFmtId="167" fontId="2" fillId="0" borderId="29" xfId="2" applyNumberFormat="1" applyFont="1" applyBorder="1"/>
    <xf numFmtId="167" fontId="2" fillId="0" borderId="7" xfId="2" applyNumberFormat="1" applyFont="1" applyBorder="1"/>
    <xf numFmtId="167" fontId="2" fillId="0" borderId="7" xfId="2" applyNumberFormat="1" applyFont="1" applyFill="1" applyBorder="1"/>
    <xf numFmtId="167" fontId="2" fillId="0" borderId="8" xfId="2" applyNumberFormat="1" applyFont="1" applyFill="1" applyBorder="1"/>
    <xf numFmtId="167" fontId="2" fillId="0" borderId="9" xfId="2" applyNumberFormat="1" applyFont="1" applyBorder="1"/>
    <xf numFmtId="167" fontId="3" fillId="0" borderId="29" xfId="2" applyNumberFormat="1" applyFont="1" applyFill="1" applyBorder="1"/>
    <xf numFmtId="167" fontId="2" fillId="2" borderId="37" xfId="2" applyNumberFormat="1" applyFont="1" applyFill="1" applyBorder="1"/>
    <xf numFmtId="167" fontId="2" fillId="2" borderId="38" xfId="2" applyNumberFormat="1" applyFont="1" applyFill="1" applyBorder="1"/>
    <xf numFmtId="167" fontId="2" fillId="2" borderId="39" xfId="2" applyNumberFormat="1" applyFont="1" applyFill="1" applyBorder="1"/>
    <xf numFmtId="167" fontId="2" fillId="2" borderId="21" xfId="2" applyNumberFormat="1" applyFont="1" applyFill="1" applyBorder="1"/>
    <xf numFmtId="167" fontId="2" fillId="0" borderId="29" xfId="2" applyNumberFormat="1" applyFont="1" applyFill="1" applyBorder="1"/>
    <xf numFmtId="4" fontId="2" fillId="0" borderId="7" xfId="2" applyNumberFormat="1" applyFont="1" applyFill="1" applyBorder="1"/>
    <xf numFmtId="167" fontId="2" fillId="0" borderId="8" xfId="2" applyNumberFormat="1" applyFont="1" applyBorder="1"/>
    <xf numFmtId="167" fontId="2" fillId="0" borderId="0" xfId="2" applyNumberFormat="1" applyFont="1" applyBorder="1"/>
    <xf numFmtId="167" fontId="3" fillId="0" borderId="40" xfId="2" applyNumberFormat="1" applyFont="1" applyBorder="1"/>
    <xf numFmtId="167" fontId="3" fillId="0" borderId="41" xfId="2" applyNumberFormat="1" applyFont="1" applyBorder="1"/>
    <xf numFmtId="167" fontId="3" fillId="0" borderId="41" xfId="2" applyNumberFormat="1" applyFont="1" applyFill="1" applyBorder="1"/>
    <xf numFmtId="167" fontId="3" fillId="0" borderId="42" xfId="2" applyNumberFormat="1" applyFont="1" applyBorder="1"/>
    <xf numFmtId="167" fontId="3" fillId="0" borderId="43" xfId="2" applyNumberFormat="1" applyFont="1" applyBorder="1"/>
    <xf numFmtId="43" fontId="5" fillId="0" borderId="0" xfId="2" applyNumberFormat="1" applyFont="1" applyFill="1" applyBorder="1"/>
    <xf numFmtId="168" fontId="3" fillId="0" borderId="0" xfId="2" applyNumberFormat="1" applyFont="1"/>
    <xf numFmtId="167" fontId="2" fillId="0" borderId="0" xfId="2" applyNumberFormat="1" applyFont="1" applyFill="1" applyBorder="1"/>
    <xf numFmtId="168" fontId="3" fillId="0" borderId="0" xfId="2" applyNumberFormat="1" applyFont="1" applyFill="1" applyBorder="1"/>
    <xf numFmtId="9" fontId="9" fillId="0" borderId="0" xfId="8"/>
    <xf numFmtId="167" fontId="3" fillId="3" borderId="7" xfId="2" applyNumberFormat="1" applyFont="1" applyFill="1" applyBorder="1"/>
    <xf numFmtId="10" fontId="4" fillId="0" borderId="0" xfId="6" applyNumberFormat="1" applyFont="1" applyFill="1" applyBorder="1"/>
    <xf numFmtId="10" fontId="3" fillId="0" borderId="0" xfId="6" applyNumberFormat="1" applyFont="1" applyFill="1" applyBorder="1"/>
    <xf numFmtId="167" fontId="3" fillId="0" borderId="44" xfId="2" applyNumberFormat="1" applyFont="1" applyFill="1" applyBorder="1"/>
    <xf numFmtId="167" fontId="2" fillId="0" borderId="6" xfId="2" applyNumberFormat="1" applyFont="1" applyFill="1" applyBorder="1"/>
    <xf numFmtId="167" fontId="3" fillId="0" borderId="7" xfId="3" applyNumberFormat="1" applyFont="1" applyFill="1" applyBorder="1"/>
    <xf numFmtId="167" fontId="2" fillId="0" borderId="7" xfId="3" applyNumberFormat="1" applyFont="1" applyFill="1" applyBorder="1"/>
    <xf numFmtId="167" fontId="3" fillId="3" borderId="0" xfId="3" applyNumberFormat="1" applyFont="1" applyFill="1" applyBorder="1"/>
    <xf numFmtId="167" fontId="3" fillId="0" borderId="0" xfId="3" applyNumberFormat="1" applyFont="1" applyFill="1" applyBorder="1"/>
    <xf numFmtId="167" fontId="3" fillId="3" borderId="0" xfId="0" applyNumberFormat="1" applyFont="1" applyFill="1"/>
    <xf numFmtId="167" fontId="3" fillId="0" borderId="0" xfId="2" applyNumberFormat="1" applyFont="1" applyBorder="1"/>
    <xf numFmtId="167" fontId="3" fillId="0" borderId="8" xfId="2" applyNumberFormat="1" applyFont="1" applyBorder="1"/>
    <xf numFmtId="43" fontId="13" fillId="0" borderId="7" xfId="1" applyNumberFormat="1" applyFont="1" applyFill="1" applyBorder="1" applyProtection="1">
      <protection locked="0"/>
    </xf>
    <xf numFmtId="169" fontId="14" fillId="0" borderId="0" xfId="2" applyNumberFormat="1" applyFont="1" applyFill="1" applyBorder="1"/>
    <xf numFmtId="0" fontId="3" fillId="0" borderId="13" xfId="0" applyFont="1" applyBorder="1" applyAlignment="1">
      <alignment horizontal="left" indent="1"/>
    </xf>
    <xf numFmtId="0" fontId="3" fillId="0" borderId="16" xfId="0" applyFont="1" applyBorder="1" applyAlignment="1">
      <alignment horizontal="left" indent="1"/>
    </xf>
    <xf numFmtId="165" fontId="3" fillId="0" borderId="0" xfId="1" applyFont="1"/>
    <xf numFmtId="0" fontId="3" fillId="4" borderId="38" xfId="0" applyFont="1" applyFill="1" applyBorder="1"/>
    <xf numFmtId="165" fontId="3" fillId="4" borderId="38" xfId="0" applyNumberFormat="1" applyFont="1" applyFill="1" applyBorder="1"/>
    <xf numFmtId="0" fontId="3" fillId="0" borderId="7" xfId="0" applyFont="1" applyBorder="1"/>
    <xf numFmtId="165" fontId="3" fillId="4" borderId="38" xfId="1" applyFont="1" applyFill="1" applyBorder="1"/>
    <xf numFmtId="0" fontId="3" fillId="0" borderId="26" xfId="0" applyFont="1" applyBorder="1"/>
    <xf numFmtId="165" fontId="3" fillId="0" borderId="26" xfId="1" applyFont="1" applyFill="1" applyBorder="1"/>
    <xf numFmtId="165" fontId="3" fillId="0" borderId="7" xfId="1" applyFont="1" applyFill="1" applyBorder="1"/>
    <xf numFmtId="165" fontId="23" fillId="0" borderId="7" xfId="1" applyFont="1" applyFill="1" applyBorder="1"/>
    <xf numFmtId="9" fontId="9" fillId="0" borderId="7" xfId="8" applyBorder="1"/>
    <xf numFmtId="0" fontId="0" fillId="0" borderId="7" xfId="0" applyBorder="1"/>
    <xf numFmtId="165" fontId="0" fillId="0" borderId="7" xfId="1" applyFont="1" applyBorder="1"/>
    <xf numFmtId="165" fontId="3" fillId="0" borderId="7" xfId="1" applyFont="1" applyBorder="1"/>
    <xf numFmtId="0" fontId="6" fillId="0" borderId="7" xfId="0" applyFont="1" applyBorder="1"/>
    <xf numFmtId="4" fontId="3" fillId="4" borderId="38" xfId="0" applyNumberFormat="1" applyFont="1" applyFill="1" applyBorder="1" applyAlignment="1">
      <alignment horizontal="center"/>
    </xf>
    <xf numFmtId="0" fontId="2" fillId="0" borderId="7" xfId="0" applyFont="1" applyBorder="1"/>
    <xf numFmtId="0" fontId="6" fillId="0" borderId="26" xfId="0" applyFont="1" applyBorder="1"/>
    <xf numFmtId="9" fontId="9" fillId="0" borderId="26" xfId="8" applyBorder="1"/>
    <xf numFmtId="0" fontId="0" fillId="0" borderId="26" xfId="0" applyBorder="1"/>
    <xf numFmtId="165" fontId="0" fillId="0" borderId="26" xfId="1" applyFont="1" applyBorder="1"/>
    <xf numFmtId="43" fontId="3" fillId="0" borderId="26" xfId="0" applyNumberFormat="1" applyFont="1" applyBorder="1"/>
    <xf numFmtId="165" fontId="23" fillId="0" borderId="26" xfId="1" applyFont="1" applyFill="1" applyBorder="1"/>
    <xf numFmtId="0" fontId="2" fillId="5" borderId="31" xfId="0" applyFont="1" applyFill="1" applyBorder="1"/>
    <xf numFmtId="165" fontId="24" fillId="5" borderId="31" xfId="1" applyFont="1" applyFill="1" applyBorder="1"/>
    <xf numFmtId="165" fontId="2" fillId="5" borderId="31" xfId="1" applyFont="1" applyFill="1" applyBorder="1"/>
    <xf numFmtId="0" fontId="6" fillId="5" borderId="31" xfId="0" applyFont="1" applyFill="1" applyBorder="1"/>
    <xf numFmtId="9" fontId="9" fillId="5" borderId="31" xfId="8" applyFill="1" applyBorder="1"/>
    <xf numFmtId="0" fontId="0" fillId="5" borderId="31" xfId="0" applyFill="1" applyBorder="1"/>
    <xf numFmtId="165" fontId="10" fillId="5" borderId="31" xfId="1" applyFont="1" applyFill="1" applyBorder="1"/>
    <xf numFmtId="0" fontId="3" fillId="5" borderId="31" xfId="0" applyFont="1" applyFill="1" applyBorder="1"/>
    <xf numFmtId="165" fontId="15" fillId="5" borderId="31" xfId="1" applyFont="1" applyFill="1" applyBorder="1"/>
    <xf numFmtId="165" fontId="2" fillId="0" borderId="7" xfId="1" applyFont="1" applyBorder="1"/>
    <xf numFmtId="165" fontId="2" fillId="0" borderId="26" xfId="1" applyFont="1" applyFill="1" applyBorder="1"/>
    <xf numFmtId="165" fontId="2" fillId="0" borderId="7" xfId="1" applyFont="1" applyFill="1" applyBorder="1"/>
    <xf numFmtId="167" fontId="3" fillId="0" borderId="31" xfId="3" applyNumberFormat="1" applyFont="1" applyBorder="1"/>
    <xf numFmtId="167" fontId="3" fillId="0" borderId="7" xfId="3" applyNumberFormat="1" applyFont="1" applyBorder="1"/>
    <xf numFmtId="9" fontId="3" fillId="0" borderId="0" xfId="6" applyFont="1"/>
    <xf numFmtId="165" fontId="2" fillId="2" borderId="38" xfId="1" applyFont="1" applyFill="1" applyBorder="1"/>
    <xf numFmtId="165" fontId="3" fillId="0" borderId="0" xfId="1" applyFont="1" applyFill="1" applyBorder="1"/>
    <xf numFmtId="165" fontId="2" fillId="0" borderId="8" xfId="1" applyFont="1" applyFill="1" applyBorder="1"/>
    <xf numFmtId="165" fontId="2" fillId="0" borderId="29" xfId="1" applyFont="1" applyFill="1" applyBorder="1"/>
    <xf numFmtId="165" fontId="3" fillId="0" borderId="0" xfId="1" applyFont="1" applyBorder="1"/>
    <xf numFmtId="165" fontId="3" fillId="0" borderId="41" xfId="1" applyFont="1" applyBorder="1"/>
    <xf numFmtId="165" fontId="2" fillId="0" borderId="25" xfId="1" applyFont="1" applyBorder="1"/>
    <xf numFmtId="165" fontId="2" fillId="0" borderId="26" xfId="1" applyFont="1" applyBorder="1" applyProtection="1">
      <protection locked="0"/>
    </xf>
    <xf numFmtId="165" fontId="2" fillId="0" borderId="26" xfId="1" applyFont="1" applyBorder="1"/>
    <xf numFmtId="165" fontId="2" fillId="0" borderId="27" xfId="1" applyFont="1" applyBorder="1"/>
    <xf numFmtId="165" fontId="2" fillId="0" borderId="28" xfId="1" applyFont="1" applyBorder="1"/>
    <xf numFmtId="165" fontId="3" fillId="0" borderId="29" xfId="1" applyFont="1" applyBorder="1"/>
    <xf numFmtId="165" fontId="3" fillId="0" borderId="9" xfId="1" applyFont="1" applyBorder="1"/>
    <xf numFmtId="165" fontId="3" fillId="0" borderId="30" xfId="1" applyFont="1" applyBorder="1"/>
    <xf numFmtId="165" fontId="3" fillId="0" borderId="31" xfId="1" applyFont="1" applyBorder="1"/>
    <xf numFmtId="165" fontId="3" fillId="0" borderId="33" xfId="1" applyFont="1" applyBorder="1"/>
    <xf numFmtId="165" fontId="2" fillId="0" borderId="34" xfId="1" applyFont="1" applyFill="1" applyBorder="1"/>
    <xf numFmtId="165" fontId="3" fillId="0" borderId="29" xfId="1" applyFont="1" applyFill="1" applyBorder="1"/>
    <xf numFmtId="165" fontId="3" fillId="0" borderId="31" xfId="1" applyFont="1" applyFill="1" applyBorder="1"/>
    <xf numFmtId="165" fontId="3" fillId="0" borderId="8" xfId="1" applyFont="1" applyFill="1" applyBorder="1"/>
    <xf numFmtId="165" fontId="2" fillId="0" borderId="36" xfId="1" applyFont="1" applyBorder="1"/>
    <xf numFmtId="165" fontId="3" fillId="0" borderId="44" xfId="1" applyFont="1" applyFill="1" applyBorder="1"/>
    <xf numFmtId="165" fontId="2" fillId="0" borderId="29" xfId="1" applyFont="1" applyBorder="1"/>
    <xf numFmtId="165" fontId="2" fillId="0" borderId="9" xfId="1" applyFont="1" applyBorder="1"/>
    <xf numFmtId="165" fontId="2" fillId="2" borderId="37" xfId="1" applyFont="1" applyFill="1" applyBorder="1"/>
    <xf numFmtId="165" fontId="2" fillId="2" borderId="39" xfId="1" applyFont="1" applyFill="1" applyBorder="1"/>
    <xf numFmtId="165" fontId="2" fillId="2" borderId="21" xfId="1" applyFont="1" applyFill="1" applyBorder="1"/>
    <xf numFmtId="165" fontId="2" fillId="0" borderId="8" xfId="1" applyFont="1" applyBorder="1"/>
    <xf numFmtId="165" fontId="13" fillId="0" borderId="7" xfId="1" applyFont="1" applyFill="1" applyBorder="1" applyProtection="1">
      <protection locked="0"/>
    </xf>
    <xf numFmtId="165" fontId="3" fillId="0" borderId="8" xfId="1" applyFont="1" applyBorder="1"/>
    <xf numFmtId="165" fontId="3" fillId="0" borderId="40" xfId="1" applyFont="1" applyBorder="1"/>
    <xf numFmtId="165" fontId="3" fillId="0" borderId="41" xfId="1" applyFont="1" applyFill="1" applyBorder="1"/>
    <xf numFmtId="165" fontId="3" fillId="0" borderId="42" xfId="1" applyFont="1" applyBorder="1"/>
    <xf numFmtId="165" fontId="3" fillId="0" borderId="43" xfId="1" applyFont="1" applyBorder="1"/>
    <xf numFmtId="165" fontId="2" fillId="0" borderId="35" xfId="1" applyFont="1" applyFill="1" applyBorder="1"/>
    <xf numFmtId="43" fontId="3" fillId="0" borderId="0" xfId="0" applyNumberFormat="1" applyFont="1"/>
    <xf numFmtId="165" fontId="3" fillId="0" borderId="32" xfId="1" applyFont="1" applyFill="1" applyBorder="1"/>
    <xf numFmtId="171" fontId="3" fillId="0" borderId="0" xfId="6" applyNumberFormat="1" applyFont="1"/>
    <xf numFmtId="0" fontId="3" fillId="0" borderId="45" xfId="0" applyFont="1" applyBorder="1" applyAlignment="1">
      <alignment horizontal="left" indent="1"/>
    </xf>
    <xf numFmtId="165" fontId="3" fillId="0" borderId="46" xfId="1" applyFont="1" applyBorder="1"/>
    <xf numFmtId="165" fontId="3" fillId="3" borderId="29" xfId="1" applyFont="1" applyFill="1" applyBorder="1"/>
    <xf numFmtId="0" fontId="3" fillId="0" borderId="47" xfId="0" applyFont="1" applyBorder="1" applyAlignment="1">
      <alignment horizontal="left" indent="1"/>
    </xf>
    <xf numFmtId="165" fontId="3" fillId="0" borderId="48" xfId="1" applyFont="1" applyBorder="1"/>
    <xf numFmtId="165" fontId="3" fillId="3" borderId="7" xfId="1" applyFont="1" applyFill="1" applyBorder="1"/>
    <xf numFmtId="165" fontId="13" fillId="3" borderId="7" xfId="1" applyFont="1" applyFill="1" applyBorder="1" applyProtection="1">
      <protection locked="0"/>
    </xf>
    <xf numFmtId="172" fontId="2" fillId="2" borderId="37" xfId="1" applyNumberFormat="1" applyFont="1" applyFill="1" applyBorder="1"/>
    <xf numFmtId="172" fontId="2" fillId="2" borderId="38" xfId="1" applyNumberFormat="1" applyFont="1" applyFill="1" applyBorder="1"/>
    <xf numFmtId="164" fontId="3" fillId="0" borderId="0" xfId="0" applyNumberFormat="1" applyFont="1"/>
    <xf numFmtId="0" fontId="3" fillId="3" borderId="0" xfId="0" applyFont="1" applyFill="1"/>
    <xf numFmtId="0" fontId="3" fillId="3" borderId="13" xfId="0" applyFont="1" applyFill="1" applyBorder="1"/>
    <xf numFmtId="165" fontId="3" fillId="3" borderId="0" xfId="1" applyFont="1" applyFill="1" applyBorder="1"/>
    <xf numFmtId="165" fontId="3" fillId="3" borderId="9" xfId="1" applyFont="1" applyFill="1" applyBorder="1"/>
    <xf numFmtId="165" fontId="3" fillId="3" borderId="0" xfId="1" applyFont="1" applyFill="1"/>
    <xf numFmtId="165" fontId="23" fillId="3" borderId="29" xfId="1" applyFont="1" applyFill="1" applyBorder="1"/>
    <xf numFmtId="165" fontId="25" fillId="3" borderId="7" xfId="1" applyFont="1" applyFill="1" applyBorder="1" applyProtection="1">
      <protection locked="0"/>
    </xf>
    <xf numFmtId="165" fontId="23" fillId="3" borderId="0" xfId="1" applyFont="1" applyFill="1" applyBorder="1"/>
    <xf numFmtId="165" fontId="23" fillId="3" borderId="7" xfId="1" applyFont="1" applyFill="1" applyBorder="1"/>
    <xf numFmtId="173" fontId="2" fillId="2" borderId="38" xfId="1" applyNumberFormat="1" applyFont="1" applyFill="1" applyBorder="1"/>
    <xf numFmtId="165" fontId="3" fillId="3" borderId="8" xfId="1" applyFont="1" applyFill="1" applyBorder="1"/>
    <xf numFmtId="168" fontId="3" fillId="0" borderId="7" xfId="1" applyNumberFormat="1" applyFont="1" applyFill="1" applyBorder="1"/>
    <xf numFmtId="165" fontId="3" fillId="0" borderId="49" xfId="1" applyFont="1" applyFill="1" applyBorder="1"/>
    <xf numFmtId="165" fontId="2" fillId="0" borderId="50" xfId="1" applyFont="1" applyBorder="1"/>
    <xf numFmtId="165" fontId="3" fillId="0" borderId="51" xfId="1" applyFont="1" applyFill="1" applyBorder="1"/>
    <xf numFmtId="0" fontId="2" fillId="2" borderId="52" xfId="0" applyFont="1" applyFill="1" applyBorder="1" applyAlignment="1">
      <alignment horizontal="center"/>
    </xf>
    <xf numFmtId="4" fontId="2" fillId="2" borderId="53" xfId="0" applyNumberFormat="1" applyFont="1" applyFill="1" applyBorder="1" applyAlignment="1">
      <alignment horizontal="center"/>
    </xf>
    <xf numFmtId="4" fontId="2" fillId="2" borderId="54" xfId="0" applyNumberFormat="1" applyFont="1" applyFill="1" applyBorder="1" applyAlignment="1">
      <alignment horizontal="center"/>
    </xf>
    <xf numFmtId="0" fontId="2" fillId="0" borderId="55" xfId="0" applyFont="1" applyBorder="1"/>
    <xf numFmtId="165" fontId="2" fillId="0" borderId="56" xfId="1" applyFont="1" applyBorder="1"/>
    <xf numFmtId="0" fontId="3" fillId="0" borderId="45" xfId="0" applyFont="1" applyBorder="1"/>
    <xf numFmtId="0" fontId="3" fillId="0" borderId="57" xfId="0" applyFont="1" applyBorder="1"/>
    <xf numFmtId="165" fontId="3" fillId="0" borderId="58" xfId="1" applyFont="1" applyBorder="1"/>
    <xf numFmtId="0" fontId="2" fillId="0" borderId="45" xfId="0" applyFont="1" applyBorder="1"/>
    <xf numFmtId="165" fontId="2" fillId="0" borderId="46" xfId="1" applyFont="1" applyBorder="1"/>
    <xf numFmtId="0" fontId="2" fillId="2" borderId="59" xfId="0" applyFont="1" applyFill="1" applyBorder="1"/>
    <xf numFmtId="165" fontId="2" fillId="2" borderId="60" xfId="1" applyFont="1" applyFill="1" applyBorder="1"/>
    <xf numFmtId="0" fontId="16" fillId="0" borderId="0" xfId="0" applyFont="1"/>
    <xf numFmtId="0" fontId="14" fillId="0" borderId="0" xfId="0" applyFont="1" applyAlignment="1">
      <alignment horizontal="centerContinuous"/>
    </xf>
    <xf numFmtId="0" fontId="16" fillId="0" borderId="0" xfId="0" applyFont="1" applyAlignment="1">
      <alignment horizontal="centerContinuous"/>
    </xf>
    <xf numFmtId="0" fontId="14" fillId="0" borderId="1" xfId="0" applyFont="1" applyBorder="1"/>
    <xf numFmtId="4" fontId="14" fillId="0" borderId="2" xfId="0" applyNumberFormat="1" applyFont="1" applyBorder="1" applyAlignment="1">
      <alignment horizontal="center"/>
    </xf>
    <xf numFmtId="4" fontId="14" fillId="0" borderId="3" xfId="0" applyNumberFormat="1" applyFont="1" applyBorder="1" applyAlignment="1">
      <alignment horizontal="center"/>
    </xf>
    <xf numFmtId="4" fontId="14" fillId="0" borderId="4" xfId="0" applyNumberFormat="1" applyFont="1" applyBorder="1" applyAlignment="1">
      <alignment horizontal="center"/>
    </xf>
    <xf numFmtId="0" fontId="14" fillId="0" borderId="5" xfId="0" applyFont="1" applyBorder="1"/>
    <xf numFmtId="4" fontId="16" fillId="0" borderId="6" xfId="0" applyNumberFormat="1" applyFont="1" applyBorder="1"/>
    <xf numFmtId="4" fontId="16" fillId="0" borderId="7" xfId="0" applyNumberFormat="1" applyFont="1" applyBorder="1"/>
    <xf numFmtId="4" fontId="16" fillId="0" borderId="0" xfId="0" applyNumberFormat="1" applyFont="1"/>
    <xf numFmtId="4" fontId="16" fillId="0" borderId="8" xfId="0" applyNumberFormat="1" applyFont="1" applyBorder="1"/>
    <xf numFmtId="4" fontId="16" fillId="0" borderId="9" xfId="0" applyNumberFormat="1" applyFont="1" applyBorder="1"/>
    <xf numFmtId="0" fontId="16" fillId="0" borderId="5" xfId="0" applyFont="1" applyBorder="1"/>
    <xf numFmtId="167" fontId="16" fillId="0" borderId="6" xfId="2" applyNumberFormat="1" applyFont="1" applyFill="1" applyBorder="1"/>
    <xf numFmtId="167" fontId="16" fillId="0" borderId="7" xfId="2" applyNumberFormat="1" applyFont="1" applyFill="1" applyBorder="1"/>
    <xf numFmtId="167" fontId="16" fillId="0" borderId="0" xfId="2" applyNumberFormat="1" applyFont="1" applyFill="1" applyBorder="1"/>
    <xf numFmtId="167" fontId="16" fillId="0" borderId="8" xfId="2" applyNumberFormat="1" applyFont="1" applyFill="1" applyBorder="1"/>
    <xf numFmtId="167" fontId="16" fillId="0" borderId="9" xfId="2" applyNumberFormat="1" applyFont="1" applyFill="1" applyBorder="1"/>
    <xf numFmtId="0" fontId="14" fillId="0" borderId="10" xfId="0" applyFont="1" applyBorder="1"/>
    <xf numFmtId="167" fontId="14" fillId="0" borderId="19" xfId="2" applyNumberFormat="1" applyFont="1" applyFill="1" applyBorder="1"/>
    <xf numFmtId="167" fontId="14" fillId="0" borderId="20" xfId="2" applyNumberFormat="1" applyFont="1" applyFill="1" applyBorder="1"/>
    <xf numFmtId="167" fontId="14" fillId="0" borderId="21" xfId="2" applyNumberFormat="1" applyFont="1" applyFill="1" applyBorder="1"/>
    <xf numFmtId="167" fontId="16" fillId="0" borderId="6" xfId="0" applyNumberFormat="1" applyFont="1" applyBorder="1"/>
    <xf numFmtId="167" fontId="16" fillId="0" borderId="7" xfId="0" applyNumberFormat="1" applyFont="1" applyBorder="1"/>
    <xf numFmtId="167" fontId="16" fillId="0" borderId="0" xfId="0" applyNumberFormat="1" applyFont="1"/>
    <xf numFmtId="167" fontId="16" fillId="0" borderId="9" xfId="0" applyNumberFormat="1" applyFont="1" applyBorder="1"/>
    <xf numFmtId="0" fontId="16" fillId="0" borderId="5" xfId="0" quotePrefix="1" applyFont="1" applyBorder="1" applyAlignment="1">
      <alignment horizontal="left"/>
    </xf>
    <xf numFmtId="165" fontId="16" fillId="0" borderId="0" xfId="0" applyNumberFormat="1" applyFont="1"/>
    <xf numFmtId="0" fontId="16" fillId="0" borderId="5" xfId="0" applyFont="1" applyBorder="1" applyAlignment="1">
      <alignment horizontal="left"/>
    </xf>
    <xf numFmtId="0" fontId="14" fillId="0" borderId="11" xfId="0" applyFont="1" applyBorder="1"/>
    <xf numFmtId="167" fontId="14" fillId="0" borderId="22" xfId="2" applyNumberFormat="1" applyFont="1" applyFill="1" applyBorder="1"/>
    <xf numFmtId="167" fontId="14" fillId="0" borderId="23" xfId="2" applyNumberFormat="1" applyFont="1" applyFill="1" applyBorder="1"/>
    <xf numFmtId="167" fontId="14" fillId="0" borderId="24" xfId="2" applyNumberFormat="1" applyFont="1" applyFill="1" applyBorder="1"/>
    <xf numFmtId="0" fontId="14" fillId="2" borderId="1" xfId="0" applyFont="1" applyFill="1" applyBorder="1" applyAlignment="1">
      <alignment horizontal="center"/>
    </xf>
    <xf numFmtId="4" fontId="14" fillId="2" borderId="17" xfId="0" applyNumberFormat="1" applyFont="1" applyFill="1" applyBorder="1" applyAlignment="1">
      <alignment horizontal="center"/>
    </xf>
    <xf numFmtId="4" fontId="14" fillId="2" borderId="2" xfId="0" applyNumberFormat="1" applyFont="1" applyFill="1" applyBorder="1" applyAlignment="1">
      <alignment horizontal="center"/>
    </xf>
    <xf numFmtId="4" fontId="14" fillId="2" borderId="3" xfId="0" applyNumberFormat="1" applyFont="1" applyFill="1" applyBorder="1" applyAlignment="1">
      <alignment horizontal="center"/>
    </xf>
    <xf numFmtId="4" fontId="14" fillId="2" borderId="4" xfId="0" applyNumberFormat="1" applyFont="1" applyFill="1" applyBorder="1" applyAlignment="1">
      <alignment horizontal="center"/>
    </xf>
    <xf numFmtId="0" fontId="14" fillId="0" borderId="12" xfId="0" applyFont="1" applyBorder="1"/>
    <xf numFmtId="165" fontId="14" fillId="0" borderId="25" xfId="1" applyFont="1" applyFill="1" applyBorder="1"/>
    <xf numFmtId="165" fontId="14" fillId="0" borderId="26" xfId="1" applyFont="1" applyFill="1" applyBorder="1" applyProtection="1">
      <protection locked="0"/>
    </xf>
    <xf numFmtId="165" fontId="14" fillId="0" borderId="26" xfId="1" applyFont="1" applyFill="1" applyBorder="1"/>
    <xf numFmtId="165" fontId="14" fillId="0" borderId="27" xfId="1" applyFont="1" applyFill="1" applyBorder="1"/>
    <xf numFmtId="165" fontId="14" fillId="0" borderId="28" xfId="1" applyFont="1" applyFill="1" applyBorder="1"/>
    <xf numFmtId="0" fontId="16" fillId="0" borderId="13" xfId="0" applyFont="1" applyBorder="1"/>
    <xf numFmtId="165" fontId="16" fillId="0" borderId="29" xfId="1" applyFont="1" applyFill="1" applyBorder="1"/>
    <xf numFmtId="165" fontId="16" fillId="0" borderId="7" xfId="1" applyFont="1" applyFill="1" applyBorder="1"/>
    <xf numFmtId="165" fontId="16" fillId="0" borderId="9" xfId="1" applyFont="1" applyFill="1" applyBorder="1"/>
    <xf numFmtId="0" fontId="16" fillId="0" borderId="14" xfId="0" applyFont="1" applyBorder="1"/>
    <xf numFmtId="165" fontId="16" fillId="0" borderId="30" xfId="1" applyFont="1" applyFill="1" applyBorder="1"/>
    <xf numFmtId="165" fontId="16" fillId="0" borderId="31" xfId="1" applyFont="1" applyFill="1" applyBorder="1"/>
    <xf numFmtId="165" fontId="16" fillId="0" borderId="33" xfId="1" applyFont="1" applyFill="1" applyBorder="1"/>
    <xf numFmtId="165" fontId="14" fillId="0" borderId="34" xfId="1" applyFont="1" applyFill="1" applyBorder="1"/>
    <xf numFmtId="165" fontId="16" fillId="0" borderId="8" xfId="1" applyFont="1" applyFill="1" applyBorder="1"/>
    <xf numFmtId="165" fontId="14" fillId="0" borderId="36" xfId="1" applyFont="1" applyFill="1" applyBorder="1"/>
    <xf numFmtId="165" fontId="16" fillId="0" borderId="0" xfId="1" applyFont="1"/>
    <xf numFmtId="43" fontId="16" fillId="0" borderId="0" xfId="0" applyNumberFormat="1" applyFont="1"/>
    <xf numFmtId="0" fontId="16" fillId="0" borderId="15" xfId="0" applyFont="1" applyBorder="1"/>
    <xf numFmtId="165" fontId="16" fillId="0" borderId="32" xfId="1" applyFont="1" applyFill="1" applyBorder="1"/>
    <xf numFmtId="0" fontId="14" fillId="0" borderId="13" xfId="0" applyFont="1" applyBorder="1"/>
    <xf numFmtId="165" fontId="14" fillId="0" borderId="7" xfId="1" applyFont="1" applyFill="1" applyBorder="1"/>
    <xf numFmtId="165" fontId="14" fillId="0" borderId="8" xfId="1" applyFont="1" applyFill="1" applyBorder="1"/>
    <xf numFmtId="165" fontId="14" fillId="0" borderId="9" xfId="1" applyFont="1" applyFill="1" applyBorder="1"/>
    <xf numFmtId="174" fontId="16" fillId="0" borderId="0" xfId="0" applyNumberFormat="1" applyFont="1"/>
    <xf numFmtId="165" fontId="16" fillId="0" borderId="44" xfId="1" applyFont="1" applyFill="1" applyBorder="1"/>
    <xf numFmtId="0" fontId="14" fillId="2" borderId="18" xfId="0" applyFont="1" applyFill="1" applyBorder="1"/>
    <xf numFmtId="165" fontId="16" fillId="0" borderId="7" xfId="1" applyFont="1" applyFill="1" applyBorder="1" applyProtection="1">
      <protection locked="0"/>
    </xf>
    <xf numFmtId="168" fontId="16" fillId="0" borderId="7" xfId="1" applyNumberFormat="1" applyFont="1" applyFill="1" applyBorder="1"/>
    <xf numFmtId="0" fontId="16" fillId="0" borderId="13" xfId="0" applyFont="1" applyBorder="1" applyAlignment="1">
      <alignment horizontal="left" indent="1"/>
    </xf>
    <xf numFmtId="0" fontId="16" fillId="0" borderId="16" xfId="0" applyFont="1" applyBorder="1" applyAlignment="1">
      <alignment horizontal="left" indent="1"/>
    </xf>
    <xf numFmtId="165" fontId="16" fillId="0" borderId="41" xfId="1" applyFont="1" applyFill="1" applyBorder="1"/>
    <xf numFmtId="171" fontId="16" fillId="0" borderId="0" xfId="6" applyNumberFormat="1" applyFont="1" applyFill="1"/>
    <xf numFmtId="166" fontId="16" fillId="0" borderId="0" xfId="0" applyNumberFormat="1" applyFont="1"/>
    <xf numFmtId="166" fontId="17" fillId="0" borderId="0" xfId="0" applyNumberFormat="1" applyFont="1"/>
    <xf numFmtId="43" fontId="14" fillId="0" borderId="0" xfId="2" applyNumberFormat="1" applyFont="1" applyFill="1" applyBorder="1"/>
    <xf numFmtId="168" fontId="16" fillId="0" borderId="0" xfId="2" applyNumberFormat="1" applyFont="1"/>
    <xf numFmtId="167" fontId="14" fillId="0" borderId="0" xfId="2" applyNumberFormat="1" applyFont="1" applyFill="1" applyBorder="1"/>
    <xf numFmtId="168" fontId="16" fillId="0" borderId="0" xfId="2" applyNumberFormat="1" applyFont="1" applyFill="1" applyBorder="1"/>
    <xf numFmtId="10" fontId="18" fillId="0" borderId="0" xfId="6" applyNumberFormat="1" applyFont="1" applyFill="1" applyBorder="1"/>
    <xf numFmtId="10" fontId="16" fillId="0" borderId="0" xfId="6" applyNumberFormat="1" applyFont="1" applyFill="1" applyBorder="1"/>
    <xf numFmtId="165" fontId="14" fillId="2" borderId="38" xfId="1" applyFont="1" applyFill="1" applyBorder="1"/>
    <xf numFmtId="165" fontId="26" fillId="0" borderId="7" xfId="1" applyFont="1" applyFill="1" applyBorder="1"/>
    <xf numFmtId="165" fontId="27" fillId="0" borderId="7" xfId="1" applyFont="1" applyFill="1" applyBorder="1"/>
    <xf numFmtId="10" fontId="16" fillId="0" borderId="0" xfId="6" applyNumberFormat="1" applyFont="1"/>
    <xf numFmtId="165" fontId="16" fillId="0" borderId="46" xfId="1" applyFont="1" applyFill="1" applyBorder="1"/>
    <xf numFmtId="0" fontId="16" fillId="0" borderId="45" xfId="0" applyFont="1" applyBorder="1" applyAlignment="1">
      <alignment horizontal="left" indent="1"/>
    </xf>
    <xf numFmtId="0" fontId="16" fillId="0" borderId="47" xfId="0" applyFont="1" applyBorder="1" applyAlignment="1">
      <alignment horizontal="left" indent="1"/>
    </xf>
    <xf numFmtId="165" fontId="16" fillId="0" borderId="48" xfId="1" applyFont="1" applyFill="1" applyBorder="1"/>
    <xf numFmtId="0" fontId="14" fillId="2" borderId="52" xfId="0" applyFont="1" applyFill="1" applyBorder="1" applyAlignment="1">
      <alignment horizontal="center"/>
    </xf>
    <xf numFmtId="4" fontId="14" fillId="2" borderId="53" xfId="0" applyNumberFormat="1" applyFont="1" applyFill="1" applyBorder="1" applyAlignment="1">
      <alignment horizontal="center"/>
    </xf>
    <xf numFmtId="4" fontId="14" fillId="2" borderId="54" xfId="0" applyNumberFormat="1" applyFont="1" applyFill="1" applyBorder="1" applyAlignment="1">
      <alignment horizontal="center"/>
    </xf>
    <xf numFmtId="0" fontId="14" fillId="0" borderId="55" xfId="0" applyFont="1" applyBorder="1"/>
    <xf numFmtId="165" fontId="14" fillId="0" borderId="56" xfId="1" applyFont="1" applyFill="1" applyBorder="1"/>
    <xf numFmtId="0" fontId="16" fillId="0" borderId="45" xfId="0" applyFont="1" applyBorder="1"/>
    <xf numFmtId="0" fontId="16" fillId="0" borderId="57" xfId="0" applyFont="1" applyBorder="1"/>
    <xf numFmtId="165" fontId="16" fillId="0" borderId="58" xfId="1" applyFont="1" applyFill="1" applyBorder="1"/>
    <xf numFmtId="0" fontId="14" fillId="0" borderId="45" xfId="0" applyFont="1" applyBorder="1"/>
    <xf numFmtId="165" fontId="14" fillId="0" borderId="46" xfId="1" applyFont="1" applyFill="1" applyBorder="1"/>
    <xf numFmtId="0" fontId="14" fillId="2" borderId="59" xfId="0" applyFont="1" applyFill="1" applyBorder="1"/>
    <xf numFmtId="165" fontId="14" fillId="2" borderId="60" xfId="1" applyFont="1" applyFill="1" applyBorder="1"/>
    <xf numFmtId="0" fontId="16" fillId="0" borderId="57" xfId="0" applyFont="1" applyBorder="1" applyAlignment="1">
      <alignment horizontal="left" indent="1"/>
    </xf>
    <xf numFmtId="0" fontId="16" fillId="0" borderId="15" xfId="0" applyFont="1" applyBorder="1" applyAlignment="1">
      <alignment horizontal="left" indent="1"/>
    </xf>
    <xf numFmtId="165" fontId="16" fillId="3" borderId="7" xfId="1" applyFont="1" applyFill="1" applyBorder="1"/>
    <xf numFmtId="43" fontId="28" fillId="0" borderId="0" xfId="0" applyNumberFormat="1" applyFont="1"/>
    <xf numFmtId="165" fontId="29" fillId="0" borderId="46" xfId="1" applyFont="1" applyFill="1" applyBorder="1"/>
    <xf numFmtId="9" fontId="16" fillId="0" borderId="0" xfId="6" applyFont="1"/>
    <xf numFmtId="168" fontId="16" fillId="0" borderId="31" xfId="1" applyNumberFormat="1" applyFont="1" applyFill="1" applyBorder="1"/>
    <xf numFmtId="165" fontId="16" fillId="0" borderId="0" xfId="1" applyFont="1" applyBorder="1"/>
    <xf numFmtId="10" fontId="16" fillId="0" borderId="0" xfId="6" applyNumberFormat="1" applyFont="1" applyBorder="1"/>
    <xf numFmtId="0" fontId="16" fillId="0" borderId="61" xfId="0" applyFont="1" applyBorder="1"/>
    <xf numFmtId="43" fontId="28" fillId="0" borderId="61" xfId="0" applyNumberFormat="1" applyFont="1" applyBorder="1"/>
    <xf numFmtId="0" fontId="16" fillId="0" borderId="62" xfId="0" applyFont="1" applyBorder="1"/>
    <xf numFmtId="165" fontId="16" fillId="0" borderId="62" xfId="1" applyFont="1" applyBorder="1"/>
    <xf numFmtId="0" fontId="16" fillId="0" borderId="63" xfId="0" applyFont="1" applyBorder="1"/>
    <xf numFmtId="165" fontId="16" fillId="0" borderId="8" xfId="1" applyFont="1" applyBorder="1"/>
    <xf numFmtId="165" fontId="16" fillId="0" borderId="64" xfId="1" applyFont="1" applyBorder="1"/>
    <xf numFmtId="10" fontId="16" fillId="0" borderId="3" xfId="6" applyNumberFormat="1" applyFont="1" applyBorder="1"/>
    <xf numFmtId="165" fontId="16" fillId="0" borderId="3" xfId="1" applyFont="1" applyBorder="1"/>
    <xf numFmtId="0" fontId="16" fillId="0" borderId="65" xfId="0" applyFont="1" applyBorder="1"/>
    <xf numFmtId="165" fontId="16" fillId="0" borderId="0" xfId="1" applyFont="1" applyFill="1" applyBorder="1"/>
    <xf numFmtId="165" fontId="16" fillId="0" borderId="0" xfId="1" applyFont="1" applyProtection="1"/>
    <xf numFmtId="165" fontId="16" fillId="3" borderId="31" xfId="1" applyFont="1" applyFill="1" applyBorder="1"/>
    <xf numFmtId="0" fontId="30" fillId="0" borderId="45" xfId="0" applyFont="1" applyBorder="1"/>
    <xf numFmtId="165" fontId="30" fillId="0" borderId="7" xfId="1" applyFont="1" applyBorder="1"/>
    <xf numFmtId="0" fontId="16" fillId="0" borderId="7" xfId="0" applyFont="1" applyBorder="1"/>
    <xf numFmtId="0" fontId="27" fillId="0" borderId="45" xfId="0" applyFont="1" applyBorder="1" applyAlignment="1">
      <alignment horizontal="left" indent="1"/>
    </xf>
    <xf numFmtId="165" fontId="27" fillId="0" borderId="7" xfId="1" applyFont="1" applyBorder="1"/>
    <xf numFmtId="9" fontId="16" fillId="0" borderId="0" xfId="6" applyFont="1" applyBorder="1" applyAlignment="1">
      <alignment horizontal="centerContinuous"/>
    </xf>
    <xf numFmtId="9" fontId="16" fillId="0" borderId="0" xfId="6" applyFont="1" applyBorder="1"/>
    <xf numFmtId="170" fontId="16" fillId="0" borderId="0" xfId="6" applyNumberFormat="1" applyFont="1"/>
    <xf numFmtId="165" fontId="30" fillId="0" borderId="46" xfId="1" applyFont="1" applyBorder="1"/>
    <xf numFmtId="0" fontId="30" fillId="0" borderId="7" xfId="0" applyFont="1" applyBorder="1"/>
    <xf numFmtId="0" fontId="27" fillId="0" borderId="31" xfId="0" applyFont="1" applyBorder="1" applyAlignment="1">
      <alignment horizontal="left" indent="1"/>
    </xf>
    <xf numFmtId="165" fontId="27" fillId="0" borderId="31" xfId="1" applyFont="1" applyBorder="1"/>
    <xf numFmtId="165" fontId="14" fillId="3" borderId="26" xfId="1" applyFont="1" applyFill="1" applyBorder="1"/>
    <xf numFmtId="165" fontId="14" fillId="3" borderId="7" xfId="1" applyFont="1" applyFill="1" applyBorder="1"/>
    <xf numFmtId="10" fontId="16" fillId="0" borderId="0" xfId="0" applyNumberFormat="1" applyFont="1"/>
    <xf numFmtId="165" fontId="16" fillId="0" borderId="7" xfId="1" applyFont="1" applyBorder="1"/>
    <xf numFmtId="165" fontId="16" fillId="0" borderId="6" xfId="1" applyFont="1" applyFill="1" applyBorder="1"/>
    <xf numFmtId="165" fontId="14" fillId="0" borderId="19" xfId="1" applyFont="1" applyFill="1" applyBorder="1"/>
    <xf numFmtId="165" fontId="14" fillId="0" borderId="21" xfId="1" applyFont="1" applyFill="1" applyBorder="1"/>
    <xf numFmtId="165" fontId="14" fillId="0" borderId="22" xfId="1" applyFont="1" applyFill="1" applyBorder="1"/>
    <xf numFmtId="165" fontId="14" fillId="0" borderId="24" xfId="1" applyFont="1" applyFill="1" applyBorder="1"/>
    <xf numFmtId="165" fontId="27" fillId="0" borderId="46" xfId="1" applyFont="1" applyBorder="1"/>
    <xf numFmtId="0" fontId="27" fillId="0" borderId="47" xfId="0" applyFont="1" applyBorder="1" applyAlignment="1">
      <alignment horizontal="left" indent="1"/>
    </xf>
    <xf numFmtId="165" fontId="27" fillId="0" borderId="41" xfId="1" applyFont="1" applyBorder="1"/>
    <xf numFmtId="165" fontId="27" fillId="0" borderId="48" xfId="1" applyFont="1" applyBorder="1"/>
    <xf numFmtId="165" fontId="27" fillId="0" borderId="41" xfId="1" applyFont="1" applyFill="1" applyBorder="1"/>
    <xf numFmtId="165" fontId="14" fillId="0" borderId="0" xfId="1" applyFont="1" applyFill="1" applyBorder="1"/>
    <xf numFmtId="0" fontId="14" fillId="0" borderId="45" xfId="0" applyFont="1" applyBorder="1" applyAlignment="1">
      <alignment horizontal="left" indent="1"/>
    </xf>
    <xf numFmtId="0" fontId="30" fillId="0" borderId="45" xfId="0" applyFont="1" applyBorder="1" applyAlignment="1">
      <alignment horizontal="left" indent="1"/>
    </xf>
    <xf numFmtId="0" fontId="16" fillId="0" borderId="45" xfId="0" applyFont="1" applyBorder="1" applyAlignment="1">
      <alignment horizontal="left" indent="2"/>
    </xf>
    <xf numFmtId="0" fontId="27" fillId="0" borderId="45" xfId="0" applyFont="1" applyBorder="1" applyAlignment="1">
      <alignment horizontal="left" indent="2"/>
    </xf>
    <xf numFmtId="0" fontId="27" fillId="0" borderId="47" xfId="0" applyFont="1" applyBorder="1" applyAlignment="1">
      <alignment horizontal="left" indent="2"/>
    </xf>
    <xf numFmtId="0" fontId="16" fillId="0" borderId="45" xfId="0" applyFont="1" applyBorder="1" applyAlignment="1">
      <alignment horizontal="left" indent="3"/>
    </xf>
    <xf numFmtId="165" fontId="0" fillId="0" borderId="0" xfId="1" applyFont="1"/>
    <xf numFmtId="0" fontId="0" fillId="0" borderId="30" xfId="0" applyBorder="1"/>
    <xf numFmtId="17" fontId="0" fillId="0" borderId="30" xfId="0" applyNumberFormat="1" applyBorder="1"/>
    <xf numFmtId="175" fontId="0" fillId="0" borderId="0" xfId="1" applyNumberFormat="1" applyFont="1"/>
    <xf numFmtId="175" fontId="0" fillId="0" borderId="30" xfId="1" applyNumberFormat="1" applyFont="1" applyBorder="1"/>
    <xf numFmtId="0" fontId="14" fillId="6" borderId="55" xfId="0" applyFont="1" applyFill="1" applyBorder="1"/>
    <xf numFmtId="165" fontId="14" fillId="6" borderId="26" xfId="1" applyFont="1" applyFill="1" applyBorder="1"/>
    <xf numFmtId="165" fontId="14" fillId="6" borderId="56" xfId="1" applyFont="1" applyFill="1" applyBorder="1"/>
    <xf numFmtId="0" fontId="16" fillId="6" borderId="45" xfId="0" applyFont="1" applyFill="1" applyBorder="1"/>
    <xf numFmtId="165" fontId="16" fillId="6" borderId="7" xfId="1" applyFont="1" applyFill="1" applyBorder="1"/>
    <xf numFmtId="165" fontId="16" fillId="6" borderId="46" xfId="1" applyFont="1" applyFill="1" applyBorder="1"/>
    <xf numFmtId="0" fontId="16" fillId="6" borderId="57" xfId="0" applyFont="1" applyFill="1" applyBorder="1"/>
    <xf numFmtId="165" fontId="16" fillId="6" borderId="31" xfId="1" applyFont="1" applyFill="1" applyBorder="1"/>
    <xf numFmtId="165" fontId="16" fillId="6" borderId="58" xfId="1" applyFont="1" applyFill="1" applyBorder="1"/>
    <xf numFmtId="0" fontId="16" fillId="6" borderId="45" xfId="0" applyFont="1" applyFill="1" applyBorder="1" applyAlignment="1">
      <alignment horizontal="left" indent="1"/>
    </xf>
    <xf numFmtId="0" fontId="16" fillId="6" borderId="57" xfId="0" applyFont="1" applyFill="1" applyBorder="1" applyAlignment="1">
      <alignment horizontal="left" indent="1"/>
    </xf>
    <xf numFmtId="0" fontId="14" fillId="6" borderId="45" xfId="0" applyFont="1" applyFill="1" applyBorder="1"/>
    <xf numFmtId="165" fontId="14" fillId="6" borderId="7" xfId="1" applyFont="1" applyFill="1" applyBorder="1"/>
    <xf numFmtId="165" fontId="14" fillId="6" borderId="46" xfId="1" applyFont="1" applyFill="1" applyBorder="1"/>
    <xf numFmtId="0" fontId="14" fillId="6" borderId="45" xfId="0" applyFont="1" applyFill="1" applyBorder="1" applyAlignment="1">
      <alignment horizontal="left" indent="1"/>
    </xf>
    <xf numFmtId="0" fontId="16" fillId="6" borderId="45" xfId="0" applyFont="1" applyFill="1" applyBorder="1" applyAlignment="1">
      <alignment horizontal="left" indent="3"/>
    </xf>
    <xf numFmtId="0" fontId="16" fillId="6" borderId="45" xfId="0" applyFont="1" applyFill="1" applyBorder="1" applyAlignment="1">
      <alignment horizontal="left" indent="2"/>
    </xf>
    <xf numFmtId="0" fontId="14" fillId="6" borderId="47" xfId="0" applyFont="1" applyFill="1" applyBorder="1" applyAlignment="1">
      <alignment horizontal="left" indent="1"/>
    </xf>
    <xf numFmtId="165" fontId="14" fillId="6" borderId="41" xfId="1" applyFont="1" applyFill="1" applyBorder="1"/>
    <xf numFmtId="165" fontId="14" fillId="6" borderId="48" xfId="1" applyFont="1" applyFill="1" applyBorder="1"/>
    <xf numFmtId="43" fontId="0" fillId="0" borderId="0" xfId="0" applyNumberFormat="1"/>
    <xf numFmtId="0" fontId="0" fillId="7" borderId="0" xfId="0" applyFill="1"/>
    <xf numFmtId="0" fontId="19" fillId="0" borderId="30" xfId="0" applyFont="1" applyBorder="1"/>
    <xf numFmtId="17" fontId="19" fillId="0" borderId="30" xfId="0" applyNumberFormat="1" applyFont="1" applyBorder="1"/>
    <xf numFmtId="10" fontId="20" fillId="7" borderId="0" xfId="6" applyNumberFormat="1" applyFont="1" applyFill="1"/>
    <xf numFmtId="0" fontId="0" fillId="3" borderId="0" xfId="0" applyFill="1"/>
    <xf numFmtId="175" fontId="20" fillId="3" borderId="0" xfId="1" applyNumberFormat="1" applyFont="1" applyFill="1"/>
    <xf numFmtId="0" fontId="3" fillId="0" borderId="39" xfId="0" applyFont="1" applyBorder="1"/>
    <xf numFmtId="169" fontId="14" fillId="0" borderId="20" xfId="2" applyNumberFormat="1" applyFont="1" applyFill="1" applyBorder="1"/>
    <xf numFmtId="169" fontId="14" fillId="0" borderId="19" xfId="2" applyNumberFormat="1" applyFont="1" applyFill="1" applyBorder="1"/>
    <xf numFmtId="165" fontId="0" fillId="0" borderId="0" xfId="0" applyNumberFormat="1"/>
    <xf numFmtId="176" fontId="16" fillId="0" borderId="0" xfId="0" applyNumberFormat="1" applyFont="1"/>
    <xf numFmtId="165" fontId="20" fillId="3" borderId="0" xfId="1" applyFont="1" applyFill="1"/>
    <xf numFmtId="17" fontId="16" fillId="0" borderId="0" xfId="0" applyNumberFormat="1" applyFont="1"/>
    <xf numFmtId="0" fontId="16" fillId="0" borderId="38" xfId="0" applyFont="1" applyBorder="1"/>
    <xf numFmtId="165" fontId="16" fillId="0" borderId="38" xfId="6" applyNumberFormat="1" applyFont="1" applyBorder="1"/>
    <xf numFmtId="0" fontId="14" fillId="0" borderId="38" xfId="0" applyFont="1" applyBorder="1"/>
    <xf numFmtId="4" fontId="14" fillId="0" borderId="38" xfId="0" applyNumberFormat="1" applyFont="1" applyBorder="1"/>
    <xf numFmtId="175" fontId="0" fillId="0" borderId="0" xfId="0" applyNumberFormat="1"/>
    <xf numFmtId="175" fontId="20" fillId="0" borderId="0" xfId="1" applyNumberFormat="1" applyFont="1"/>
    <xf numFmtId="0" fontId="0" fillId="0" borderId="0" xfId="0" applyAlignment="1">
      <alignment wrapText="1"/>
    </xf>
    <xf numFmtId="0" fontId="16" fillId="6" borderId="0" xfId="0" applyFont="1" applyFill="1"/>
    <xf numFmtId="0" fontId="14" fillId="6" borderId="0" xfId="0" applyFont="1" applyFill="1" applyAlignment="1">
      <alignment horizontal="centerContinuous"/>
    </xf>
    <xf numFmtId="0" fontId="16" fillId="6" borderId="0" xfId="0" applyFont="1" applyFill="1" applyAlignment="1">
      <alignment horizontal="centerContinuous"/>
    </xf>
    <xf numFmtId="0" fontId="14" fillId="6" borderId="52" xfId="0" applyFont="1" applyFill="1" applyBorder="1" applyAlignment="1">
      <alignment horizontal="center"/>
    </xf>
    <xf numFmtId="4" fontId="14" fillId="6" borderId="53" xfId="0" applyNumberFormat="1" applyFont="1" applyFill="1" applyBorder="1" applyAlignment="1">
      <alignment horizontal="center"/>
    </xf>
    <xf numFmtId="4" fontId="14" fillId="6" borderId="54" xfId="0" applyNumberFormat="1" applyFont="1" applyFill="1" applyBorder="1" applyAlignment="1">
      <alignment horizontal="center"/>
    </xf>
    <xf numFmtId="165" fontId="16" fillId="6" borderId="0" xfId="1" applyFont="1" applyFill="1"/>
    <xf numFmtId="43" fontId="16" fillId="6" borderId="0" xfId="0" applyNumberFormat="1" applyFont="1" applyFill="1"/>
    <xf numFmtId="174" fontId="16" fillId="6" borderId="0" xfId="0" applyNumberFormat="1" applyFont="1" applyFill="1"/>
    <xf numFmtId="0" fontId="14" fillId="6" borderId="59" xfId="0" applyFont="1" applyFill="1" applyBorder="1"/>
    <xf numFmtId="165" fontId="14" fillId="6" borderId="38" xfId="1" applyFont="1" applyFill="1" applyBorder="1"/>
    <xf numFmtId="165" fontId="14" fillId="6" borderId="60" xfId="1" applyFont="1" applyFill="1" applyBorder="1"/>
    <xf numFmtId="9" fontId="16" fillId="6" borderId="0" xfId="6" applyFont="1" applyFill="1"/>
    <xf numFmtId="171" fontId="16" fillId="6" borderId="0" xfId="6" applyNumberFormat="1" applyFont="1" applyFill="1"/>
    <xf numFmtId="166" fontId="16" fillId="6" borderId="0" xfId="0" applyNumberFormat="1" applyFont="1" applyFill="1"/>
    <xf numFmtId="166" fontId="17" fillId="6" borderId="0" xfId="0" applyNumberFormat="1" applyFont="1" applyFill="1"/>
    <xf numFmtId="167" fontId="16" fillId="6" borderId="0" xfId="0" applyNumberFormat="1" applyFont="1" applyFill="1"/>
    <xf numFmtId="177" fontId="16" fillId="0" borderId="0" xfId="6" applyNumberFormat="1" applyFont="1"/>
    <xf numFmtId="0" fontId="3" fillId="0" borderId="2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</cellXfs>
  <cellStyles count="10">
    <cellStyle name="Millares" xfId="1" builtinId="3"/>
    <cellStyle name="Millares 2" xfId="2" xr:uid="{E7171619-958D-4035-B429-7AFAFA7CDC54}"/>
    <cellStyle name="Millares 2 2" xfId="3" xr:uid="{60E47BEB-E2B0-4942-98CF-B200B71B1801}"/>
    <cellStyle name="Millares 3" xfId="4" xr:uid="{BDC8A62C-07FE-43C0-9E91-854F0564FBEF}"/>
    <cellStyle name="Normal" xfId="0" builtinId="0"/>
    <cellStyle name="Normal 2" xfId="5" xr:uid="{0ACB89AA-84B1-40B3-A541-83CC64AEE4A6}"/>
    <cellStyle name="Porcentaje" xfId="6" builtinId="5"/>
    <cellStyle name="Porcentaje 2" xfId="7" xr:uid="{2A8E75CF-2F9C-4ADC-9B21-F19F0B7BB713}"/>
    <cellStyle name="Porcentual 2" xfId="8" xr:uid="{FBBC27D0-072D-4F78-B938-A824A66B9C14}"/>
    <cellStyle name="Porcentual 2 2" xfId="9" xr:uid="{C184E68A-F499-4AEA-BB14-08A9B31AB4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rPr>
              <a:t>VENTA DE ENERGÍA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rPr>
              <a:t>(2021 - 2025)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'R'!$B$9</c:f>
              <c:strCache>
                <c:ptCount val="1"/>
                <c:pt idx="0">
                  <c:v>Regulados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numRef>
              <c:f>'R'!$C$7:$F$7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'R'!$C$9:$F$9</c:f>
              <c:numCache>
                <c:formatCode>_ * #,##0_ ;_ * \-#,##0_ ;_ * "-"??_ ;_ @_ </c:formatCode>
                <c:ptCount val="4"/>
                <c:pt idx="0">
                  <c:v>656.08626573000004</c:v>
                </c:pt>
                <c:pt idx="1">
                  <c:v>785.48827017000008</c:v>
                </c:pt>
                <c:pt idx="2">
                  <c:v>817.10310513999991</c:v>
                </c:pt>
                <c:pt idx="3">
                  <c:v>469.68272978999988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2-423A-8768-A6A4DE30D1DB}"/>
            </c:ext>
          </c:extLst>
        </c:ser>
        <c:ser>
          <c:idx val="2"/>
          <c:order val="1"/>
          <c:tx>
            <c:strRef>
              <c:f>'R'!$B$10</c:f>
              <c:strCache>
                <c:ptCount val="1"/>
                <c:pt idx="0">
                  <c:v>Libres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cat>
            <c:numRef>
              <c:f>'R'!$C$7:$F$7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'R'!$C$10:$F$10</c:f>
              <c:numCache>
                <c:formatCode>_ * #,##0_ ;_ * \-#,##0_ ;_ * "-"??_ ;_ @_ </c:formatCode>
                <c:ptCount val="4"/>
                <c:pt idx="0">
                  <c:v>60.789024859999998</c:v>
                </c:pt>
                <c:pt idx="1">
                  <c:v>48.362153769999992</c:v>
                </c:pt>
                <c:pt idx="2">
                  <c:v>38.812936839999992</c:v>
                </c:pt>
                <c:pt idx="3">
                  <c:v>111.98029223609041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2-423A-8768-A6A4DE30D1DB}"/>
            </c:ext>
          </c:extLst>
        </c:ser>
        <c:ser>
          <c:idx val="0"/>
          <c:order val="2"/>
          <c:tx>
            <c:strRef>
              <c:f>'R'!$B$8</c:f>
              <c:strCache>
                <c:ptCount val="1"/>
                <c:pt idx="0">
                  <c:v>COES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numRef>
              <c:f>'R'!$C$7:$F$7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'R'!$C$8:$F$8</c:f>
              <c:numCache>
                <c:formatCode>_ * #,##0_ ;_ * \-#,##0_ ;_ * "-"??_ ;_ @_ </c:formatCode>
                <c:ptCount val="4"/>
                <c:pt idx="0">
                  <c:v>252.64911528275144</c:v>
                </c:pt>
                <c:pt idx="1">
                  <c:v>80.961446595472637</c:v>
                </c:pt>
                <c:pt idx="2">
                  <c:v>19.142720340066226</c:v>
                </c:pt>
                <c:pt idx="3">
                  <c:v>291.53219299412262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D2-423A-8768-A6A4DE30D1DB}"/>
            </c:ext>
          </c:extLst>
        </c:ser>
        <c:ser>
          <c:idx val="3"/>
          <c:order val="3"/>
          <c:tx>
            <c:strRef>
              <c:f>'R'!#REF!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cat>
            <c:numRef>
              <c:f>'R'!$C$7:$F$7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D2-423A-8768-A6A4DE30D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883192015"/>
        <c:axId val="1"/>
      </c:barChart>
      <c:lineChart>
        <c:grouping val="standard"/>
        <c:varyColors val="0"/>
        <c:ser>
          <c:idx val="4"/>
          <c:order val="4"/>
          <c:tx>
            <c:strRef>
              <c:f>'R'!$B$12</c:f>
              <c:strCache>
                <c:ptCount val="1"/>
                <c:pt idx="0">
                  <c:v>Total</c:v>
                </c:pt>
              </c:strCache>
            </c:strRef>
          </c:tx>
          <c:spPr>
            <a:ln w="63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'R'!$C$7:$F$7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'R'!$C$12:$F$12</c:f>
              <c:numCache>
                <c:formatCode>_ * #,##0.00_ ;_ * \-#,##0.00_ ;_ * "-"??_ ;_ @_ </c:formatCode>
                <c:ptCount val="4"/>
                <c:pt idx="0">
                  <c:v>969.52440587275157</c:v>
                </c:pt>
                <c:pt idx="1">
                  <c:v>914.81187053547262</c:v>
                </c:pt>
                <c:pt idx="2">
                  <c:v>875.05876232006619</c:v>
                </c:pt>
                <c:pt idx="3">
                  <c:v>873.19521502021303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2-423A-8768-A6A4DE30D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88319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Energía (GWh)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_ * #,##0_ ;_ * \-#,##0_ ;_ * &quot;-&quot;??_ ;_ @_ 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883192015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r"/>
        <c:numFmt formatCode="_ * #,##0.00_ ;_ * \-#,##0.00_ ;_ * &quot;-&quot;??_ ;_ @_ " sourceLinked="1"/>
        <c:majorTickMark val="out"/>
        <c:minorTickMark val="none"/>
        <c:tickLblPos val="nextTo"/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'R'!$B$9</c:f>
              <c:strCache>
                <c:ptCount val="1"/>
                <c:pt idx="0">
                  <c:v>Regulados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numRef>
              <c:f>'R'!$G$7:$P$7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'R'!$G$9:$P$9</c:f>
              <c:numCache>
                <c:formatCode>_ * #,##0_ ;_ * \-#,##0_ ;_ * "-"??_ ;_ @_ </c:formatCode>
                <c:ptCount val="10"/>
                <c:pt idx="0">
                  <c:v>48886.061109999995</c:v>
                </c:pt>
                <c:pt idx="1">
                  <c:v>46791.178820000001</c:v>
                </c:pt>
                <c:pt idx="2">
                  <c:v>51070.500180000003</c:v>
                </c:pt>
                <c:pt idx="3">
                  <c:v>47908.612740000004</c:v>
                </c:pt>
                <c:pt idx="4">
                  <c:v>46694.411869999996</c:v>
                </c:pt>
                <c:pt idx="5">
                  <c:v>45704.833149999999</c:v>
                </c:pt>
                <c:pt idx="6">
                  <c:v>47220.275300000008</c:v>
                </c:pt>
                <c:pt idx="7">
                  <c:v>46554.337020000006</c:v>
                </c:pt>
                <c:pt idx="8">
                  <c:v>46308.82123999999</c:v>
                </c:pt>
                <c:pt idx="9">
                  <c:v>47117.009980000003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A-44E9-BB22-BE874F54AA58}"/>
            </c:ext>
          </c:extLst>
        </c:ser>
        <c:ser>
          <c:idx val="2"/>
          <c:order val="1"/>
          <c:tx>
            <c:strRef>
              <c:f>'R'!$B$10</c:f>
              <c:strCache>
                <c:ptCount val="1"/>
                <c:pt idx="0">
                  <c:v>Libres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cat>
            <c:numRef>
              <c:f>'R'!$G$7:$P$7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'R'!$G$10:$P$10</c:f>
              <c:numCache>
                <c:formatCode>_ * #,##0_ ;_ * \-#,##0_ ;_ * "-"??_ ;_ @_ </c:formatCode>
                <c:ptCount val="10"/>
                <c:pt idx="0">
                  <c:v>6040.90625</c:v>
                </c:pt>
                <c:pt idx="1">
                  <c:v>8556.0684100000035</c:v>
                </c:pt>
                <c:pt idx="2">
                  <c:v>5939.1035499999998</c:v>
                </c:pt>
                <c:pt idx="3">
                  <c:v>5343.6322500000006</c:v>
                </c:pt>
                <c:pt idx="4">
                  <c:v>5776.9386199999999</c:v>
                </c:pt>
                <c:pt idx="5">
                  <c:v>5295.0810100000008</c:v>
                </c:pt>
                <c:pt idx="6">
                  <c:v>5270.72919</c:v>
                </c:pt>
                <c:pt idx="7">
                  <c:v>5301.9539399999994</c:v>
                </c:pt>
                <c:pt idx="8">
                  <c:v>5773.8880300000001</c:v>
                </c:pt>
                <c:pt idx="9">
                  <c:v>5715.499890000001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A-44E9-BB22-BE874F54AA58}"/>
            </c:ext>
          </c:extLst>
        </c:ser>
        <c:ser>
          <c:idx val="0"/>
          <c:order val="2"/>
          <c:tx>
            <c:strRef>
              <c:f>'R'!$B$8</c:f>
              <c:strCache>
                <c:ptCount val="1"/>
                <c:pt idx="0">
                  <c:v>COES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numRef>
              <c:f>'R'!$G$7:$P$7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'R'!$G$8:$P$8</c:f>
              <c:numCache>
                <c:formatCode>_ * #,##0_ ;_ * \-#,##0_ ;_ * "-"??_ ;_ @_ </c:formatCode>
                <c:ptCount val="10"/>
                <c:pt idx="0">
                  <c:v>6509.0677829856941</c:v>
                </c:pt>
                <c:pt idx="1">
                  <c:v>22768.830881430025</c:v>
                </c:pt>
                <c:pt idx="2">
                  <c:v>59247.886202993235</c:v>
                </c:pt>
                <c:pt idx="3">
                  <c:v>52140.475719738039</c:v>
                </c:pt>
                <c:pt idx="4">
                  <c:v>15581.658548040381</c:v>
                </c:pt>
                <c:pt idx="5">
                  <c:v>15987.19421321596</c:v>
                </c:pt>
                <c:pt idx="6">
                  <c:v>15856.041957408001</c:v>
                </c:pt>
                <c:pt idx="7">
                  <c:v>18663.543929614556</c:v>
                </c:pt>
                <c:pt idx="8">
                  <c:v>19265.0047595383</c:v>
                </c:pt>
                <c:pt idx="9">
                  <c:v>18931.509933726978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CA-44E9-BB22-BE874F54A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883194895"/>
        <c:axId val="1"/>
      </c:barChart>
      <c:lineChart>
        <c:grouping val="standard"/>
        <c:varyColors val="0"/>
        <c:ser>
          <c:idx val="4"/>
          <c:order val="3"/>
          <c:tx>
            <c:strRef>
              <c:f>'R'!$B$12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'R'!$G$7:$P$7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'R'!$G$12:$P$12</c:f>
              <c:numCache>
                <c:formatCode>_ * #,##0.00_ ;_ * \-#,##0.00_ ;_ * "-"??_ ;_ @_ </c:formatCode>
                <c:ptCount val="10"/>
                <c:pt idx="0">
                  <c:v>61436.035142985689</c:v>
                </c:pt>
                <c:pt idx="1">
                  <c:v>78116.078111430033</c:v>
                </c:pt>
                <c:pt idx="2">
                  <c:v>116257.48993299324</c:v>
                </c:pt>
                <c:pt idx="3">
                  <c:v>105392.72070973803</c:v>
                </c:pt>
                <c:pt idx="4">
                  <c:v>68053.009038040371</c:v>
                </c:pt>
                <c:pt idx="5">
                  <c:v>66987.10837321596</c:v>
                </c:pt>
                <c:pt idx="6">
                  <c:v>68347.046447408007</c:v>
                </c:pt>
                <c:pt idx="7">
                  <c:v>70519.834889614562</c:v>
                </c:pt>
                <c:pt idx="8">
                  <c:v>71347.7140295383</c:v>
                </c:pt>
                <c:pt idx="9">
                  <c:v>71764.019803726987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CA-44E9-BB22-BE874F54A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194895"/>
        <c:axId val="1"/>
      </c:lineChart>
      <c:dateAx>
        <c:axId val="188319489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Energía (Wh)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_ * #,##0_ ;_ * \-#,##0_ ;_ * &quot;-&quot;??_ ;_ @_ 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883194895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s-PE"/>
              <a:t>Balance de Energía (MWh) 
(A oct-25)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4207973160184"/>
          <c:y val="0.26034929093939302"/>
          <c:w val="0.53375894623627362"/>
          <c:h val="0.60174725307625521"/>
        </c:manualLayout>
      </c:layout>
      <c:doughnutChart>
        <c:varyColors val="1"/>
        <c:ser>
          <c:idx val="0"/>
          <c:order val="0"/>
          <c:tx>
            <c:strRef>
              <c:f>'R'!$O$52</c:f>
              <c:strCache>
                <c:ptCount val="1"/>
                <c:pt idx="0">
                  <c:v>Balance de Energía 
(2025)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8BE-4C6A-8BC9-C547056770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BE-4C6A-8BC9-C54705677032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8BE-4C6A-8BC9-C5470567703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BE-4C6A-8BC9-C54705677032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8BE-4C6A-8BC9-C54705677032}"/>
              </c:ext>
            </c:extLst>
          </c:dPt>
          <c:dLbls>
            <c:dLbl>
              <c:idx val="0"/>
              <c:layout>
                <c:manualLayout>
                  <c:x val="-8.9955340742609538E-2"/>
                  <c:y val="-0.1614051475504725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PE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BE-4C6A-8BC9-C54705677032}"/>
                </c:ext>
              </c:extLst>
            </c:dLbl>
            <c:dLbl>
              <c:idx val="1"/>
              <c:layout>
                <c:manualLayout>
                  <c:x val="0.14571187033324037"/>
                  <c:y val="-0.152702813289023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PE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BE-4C6A-8BC9-C54705677032}"/>
                </c:ext>
              </c:extLst>
            </c:dLbl>
            <c:dLbl>
              <c:idx val="2"/>
              <c:layout>
                <c:manualLayout>
                  <c:x val="0.23393395387128044"/>
                  <c:y val="6.3421654042294148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PE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BE-4C6A-8BC9-C54705677032}"/>
                </c:ext>
              </c:extLst>
            </c:dLbl>
            <c:dLbl>
              <c:idx val="3"/>
              <c:layout>
                <c:manualLayout>
                  <c:x val="-0.148520136500644"/>
                  <c:y val="7.17020448489566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PE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BE-4C6A-8BC9-C54705677032}"/>
                </c:ext>
              </c:extLst>
            </c:dLbl>
            <c:dLbl>
              <c:idx val="4"/>
              <c:layout>
                <c:manualLayout>
                  <c:x val="-7.3283849636839246E-2"/>
                  <c:y val="-0.1469245431773500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PE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BE-4C6A-8BC9-C5470567703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s-PE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'R'!$B$55:$B$59</c:f>
              <c:strCache>
                <c:ptCount val="5"/>
                <c:pt idx="0">
                  <c:v>Servicios Auxiliares</c:v>
                </c:pt>
                <c:pt idx="1">
                  <c:v>Pérdidas</c:v>
                </c:pt>
                <c:pt idx="2">
                  <c:v>Mercado Regulado</c:v>
                </c:pt>
                <c:pt idx="3">
                  <c:v>Mercado Libre</c:v>
                </c:pt>
                <c:pt idx="4">
                  <c:v>COES</c:v>
                </c:pt>
              </c:strCache>
            </c:strRef>
          </c:cat>
          <c:val>
            <c:numRef>
              <c:f>'R'!$O$55:$O$59</c:f>
              <c:numCache>
                <c:formatCode>_ * #,##0_ ;_ * \-#,##0_ ;_ * "-"??_ ;_ @_ </c:formatCode>
                <c:ptCount val="5"/>
                <c:pt idx="0">
                  <c:v>3221.1454298434587</c:v>
                </c:pt>
                <c:pt idx="1">
                  <c:v>12470.779911195918</c:v>
                </c:pt>
                <c:pt idx="2">
                  <c:v>520116.47494999995</c:v>
                </c:pt>
                <c:pt idx="3">
                  <c:v>64475.850440000002</c:v>
                </c:pt>
                <c:pt idx="4">
                  <c:v>262886.99928500107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BE-4C6A-8BC9-C54705677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828434811985135"/>
          <c:y val="0.9410955759807591"/>
          <c:w val="0.7217773273390331"/>
          <c:h val="3.992535153638110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481129513983161E-2"/>
          <c:y val="2.8413358119102675E-2"/>
          <c:w val="0.86851830482396597"/>
          <c:h val="0.8200875562339736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'R'!$B$9</c:f>
              <c:strCache>
                <c:ptCount val="1"/>
                <c:pt idx="0">
                  <c:v>Regulados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numFmt formatCode="0,\ &quot;&quot;\ " sourceLinked="0"/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'R'!$G$7:$P$7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'R'!$G$9:$P$9</c:f>
              <c:numCache>
                <c:formatCode>_ * #,##0_ ;_ * \-#,##0_ ;_ * "-"??_ ;_ @_ </c:formatCode>
                <c:ptCount val="10"/>
                <c:pt idx="0">
                  <c:v>48886.061109999995</c:v>
                </c:pt>
                <c:pt idx="1">
                  <c:v>46791.178820000001</c:v>
                </c:pt>
                <c:pt idx="2">
                  <c:v>51070.500180000003</c:v>
                </c:pt>
                <c:pt idx="3">
                  <c:v>47908.612740000004</c:v>
                </c:pt>
                <c:pt idx="4">
                  <c:v>46694.411869999996</c:v>
                </c:pt>
                <c:pt idx="5">
                  <c:v>45704.833149999999</c:v>
                </c:pt>
                <c:pt idx="6">
                  <c:v>47220.275300000008</c:v>
                </c:pt>
                <c:pt idx="7">
                  <c:v>46554.337020000006</c:v>
                </c:pt>
                <c:pt idx="8">
                  <c:v>46308.82123999999</c:v>
                </c:pt>
                <c:pt idx="9">
                  <c:v>47117.009980000003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8-4595-8596-D26BA9F118CC}"/>
            </c:ext>
          </c:extLst>
        </c:ser>
        <c:ser>
          <c:idx val="2"/>
          <c:order val="1"/>
          <c:tx>
            <c:strRef>
              <c:f>'R'!$B$10</c:f>
              <c:strCache>
                <c:ptCount val="1"/>
                <c:pt idx="0">
                  <c:v>Libres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numFmt formatCode="0,\ &quot;&quot;\ " sourceLinked="0"/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'R'!$G$7:$P$7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'R'!$G$10:$P$10</c:f>
              <c:numCache>
                <c:formatCode>_ * #,##0_ ;_ * \-#,##0_ ;_ * "-"??_ ;_ @_ </c:formatCode>
                <c:ptCount val="10"/>
                <c:pt idx="0">
                  <c:v>6040.90625</c:v>
                </c:pt>
                <c:pt idx="1">
                  <c:v>8556.0684100000035</c:v>
                </c:pt>
                <c:pt idx="2">
                  <c:v>5939.1035499999998</c:v>
                </c:pt>
                <c:pt idx="3">
                  <c:v>5343.6322500000006</c:v>
                </c:pt>
                <c:pt idx="4">
                  <c:v>5776.9386199999999</c:v>
                </c:pt>
                <c:pt idx="5">
                  <c:v>5295.0810100000008</c:v>
                </c:pt>
                <c:pt idx="6">
                  <c:v>5270.72919</c:v>
                </c:pt>
                <c:pt idx="7">
                  <c:v>5301.9539399999994</c:v>
                </c:pt>
                <c:pt idx="8">
                  <c:v>5773.8880300000001</c:v>
                </c:pt>
                <c:pt idx="9">
                  <c:v>5715.499890000001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38-4595-8596-D26BA9F118CC}"/>
            </c:ext>
          </c:extLst>
        </c:ser>
        <c:ser>
          <c:idx val="0"/>
          <c:order val="2"/>
          <c:tx>
            <c:strRef>
              <c:f>'R'!$B$8</c:f>
              <c:strCache>
                <c:ptCount val="1"/>
                <c:pt idx="0">
                  <c:v>COES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numFmt formatCode="0,\ &quot;&quot;\ " sourceLinked="0"/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'R'!$G$7:$P$7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'R'!$G$8:$P$8</c:f>
              <c:numCache>
                <c:formatCode>_ * #,##0_ ;_ * \-#,##0_ ;_ * "-"??_ ;_ @_ </c:formatCode>
                <c:ptCount val="10"/>
                <c:pt idx="0">
                  <c:v>6509.0677829856941</c:v>
                </c:pt>
                <c:pt idx="1">
                  <c:v>22768.830881430025</c:v>
                </c:pt>
                <c:pt idx="2">
                  <c:v>59247.886202993235</c:v>
                </c:pt>
                <c:pt idx="3">
                  <c:v>52140.475719738039</c:v>
                </c:pt>
                <c:pt idx="4">
                  <c:v>15581.658548040381</c:v>
                </c:pt>
                <c:pt idx="5">
                  <c:v>15987.19421321596</c:v>
                </c:pt>
                <c:pt idx="6">
                  <c:v>15856.041957408001</c:v>
                </c:pt>
                <c:pt idx="7">
                  <c:v>18663.543929614556</c:v>
                </c:pt>
                <c:pt idx="8">
                  <c:v>19265.0047595383</c:v>
                </c:pt>
                <c:pt idx="9">
                  <c:v>18931.509933726978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38-4595-8596-D26BA9F11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883196335"/>
        <c:axId val="1"/>
      </c:barChart>
      <c:lineChart>
        <c:grouping val="standard"/>
        <c:varyColors val="0"/>
        <c:ser>
          <c:idx val="4"/>
          <c:order val="3"/>
          <c:tx>
            <c:strRef>
              <c:f>'R'!$B$12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0,\ &quot;&quot;\ 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'R'!$G$7:$P$7</c:f>
              <c:numCache>
                <c:formatCode>mmm\-yy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'R'!$G$12:$P$12</c:f>
              <c:numCache>
                <c:formatCode>_ * #,##0.00_ ;_ * \-#,##0.00_ ;_ * "-"??_ ;_ @_ </c:formatCode>
                <c:ptCount val="10"/>
                <c:pt idx="0">
                  <c:v>61436.035142985689</c:v>
                </c:pt>
                <c:pt idx="1">
                  <c:v>78116.078111430033</c:v>
                </c:pt>
                <c:pt idx="2">
                  <c:v>116257.48993299324</c:v>
                </c:pt>
                <c:pt idx="3">
                  <c:v>105392.72070973803</c:v>
                </c:pt>
                <c:pt idx="4">
                  <c:v>68053.009038040371</c:v>
                </c:pt>
                <c:pt idx="5">
                  <c:v>66987.10837321596</c:v>
                </c:pt>
                <c:pt idx="6">
                  <c:v>68347.046447408007</c:v>
                </c:pt>
                <c:pt idx="7">
                  <c:v>70519.834889614562</c:v>
                </c:pt>
                <c:pt idx="8">
                  <c:v>71347.7140295383</c:v>
                </c:pt>
                <c:pt idx="9">
                  <c:v>71764.019803726987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38-4595-8596-D26BA9F11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196335"/>
        <c:axId val="1"/>
      </c:lineChart>
      <c:dateAx>
        <c:axId val="188319633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Energía (GWh)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,\ &quot;&quot;\ 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88319633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6.7890145807245797E-2"/>
          <c:y val="0.8733485473624818"/>
          <c:w val="0.88257090505196278"/>
          <c:h val="0.11708636228532854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Producción de Energía Activa 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2016-2025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7911717392062239E-2"/>
          <c:y val="0.20950046354168547"/>
          <c:w val="0.86384274754370693"/>
          <c:h val="0.55235596286920163"/>
        </c:manualLayout>
      </c:layout>
      <c:areaChart>
        <c:grouping val="stacked"/>
        <c:varyColors val="0"/>
        <c:ser>
          <c:idx val="0"/>
          <c:order val="0"/>
          <c:tx>
            <c:strRef>
              <c:f>Perfil!$B$16</c:f>
              <c:strCache>
                <c:ptCount val="1"/>
                <c:pt idx="0">
                  <c:v>Produccion Hidraulica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8575" cap="rnd">
              <a:solidFill>
                <a:srgbClr val="0070C0"/>
              </a:solidFill>
              <a:round/>
            </a:ln>
            <a:effectLst/>
          </c:spPr>
          <c:cat>
            <c:numRef>
              <c:f>Perfil!$C$3:$DR$3</c:f>
              <c:numCache>
                <c:formatCode>mmm\-yy</c:formatCode>
                <c:ptCount val="12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</c:numCache>
            </c:numRef>
          </c:cat>
          <c:val>
            <c:numRef>
              <c:f>Perfil!$C$16:$DR$16</c:f>
              <c:numCache>
                <c:formatCode>_ * #,##0.00_ ;_ * \-#,##0.00_ ;_ * "-"??_ ;_ @_ </c:formatCode>
                <c:ptCount val="120"/>
                <c:pt idx="0">
                  <c:v>60.158034853929948</c:v>
                </c:pt>
                <c:pt idx="1">
                  <c:v>65.076945454534638</c:v>
                </c:pt>
                <c:pt idx="2">
                  <c:v>60.982594894689271</c:v>
                </c:pt>
                <c:pt idx="3">
                  <c:v>58.211854958952465</c:v>
                </c:pt>
                <c:pt idx="4">
                  <c:v>59.823945243324715</c:v>
                </c:pt>
                <c:pt idx="5">
                  <c:v>58.18364532225069</c:v>
                </c:pt>
                <c:pt idx="6">
                  <c:v>60.137593423086074</c:v>
                </c:pt>
                <c:pt idx="7">
                  <c:v>59.87791102471828</c:v>
                </c:pt>
                <c:pt idx="8">
                  <c:v>63.369068584748838</c:v>
                </c:pt>
                <c:pt idx="9">
                  <c:v>65.619881949272241</c:v>
                </c:pt>
                <c:pt idx="10">
                  <c:v>62.699924977433703</c:v>
                </c:pt>
                <c:pt idx="11">
                  <c:v>62.77444194817744</c:v>
                </c:pt>
                <c:pt idx="12">
                  <c:v>59.896141770387629</c:v>
                </c:pt>
                <c:pt idx="13">
                  <c:v>53.250432795928155</c:v>
                </c:pt>
                <c:pt idx="14">
                  <c:v>55.788942299135236</c:v>
                </c:pt>
                <c:pt idx="15">
                  <c:v>83.575013533481538</c:v>
                </c:pt>
                <c:pt idx="16">
                  <c:v>65.697036831421229</c:v>
                </c:pt>
                <c:pt idx="17">
                  <c:v>63.563647469010739</c:v>
                </c:pt>
                <c:pt idx="18">
                  <c:v>70.992677524566787</c:v>
                </c:pt>
                <c:pt idx="19">
                  <c:v>71.066877949598563</c:v>
                </c:pt>
                <c:pt idx="20">
                  <c:v>73.941369397188353</c:v>
                </c:pt>
                <c:pt idx="21">
                  <c:v>76.900023717083798</c:v>
                </c:pt>
                <c:pt idx="22">
                  <c:v>73.906989263755179</c:v>
                </c:pt>
                <c:pt idx="23">
                  <c:v>77.140985923228968</c:v>
                </c:pt>
                <c:pt idx="24">
                  <c:v>87.600917828219693</c:v>
                </c:pt>
                <c:pt idx="25">
                  <c:v>90.304641645226084</c:v>
                </c:pt>
                <c:pt idx="26">
                  <c:v>106.81703211057226</c:v>
                </c:pt>
                <c:pt idx="27">
                  <c:v>80.91053203141729</c:v>
                </c:pt>
                <c:pt idx="28">
                  <c:v>65.771018408408793</c:v>
                </c:pt>
                <c:pt idx="29">
                  <c:v>65.738214610257373</c:v>
                </c:pt>
                <c:pt idx="30">
                  <c:v>72.864248142800818</c:v>
                </c:pt>
                <c:pt idx="31">
                  <c:v>72.461096122882893</c:v>
                </c:pt>
                <c:pt idx="32">
                  <c:v>68.790374928791863</c:v>
                </c:pt>
                <c:pt idx="33">
                  <c:v>77.447922332746117</c:v>
                </c:pt>
                <c:pt idx="34">
                  <c:v>73.367825537030186</c:v>
                </c:pt>
                <c:pt idx="35">
                  <c:v>76.94275415660735</c:v>
                </c:pt>
                <c:pt idx="36">
                  <c:v>73.651735781472453</c:v>
                </c:pt>
                <c:pt idx="37">
                  <c:v>96.287401561371539</c:v>
                </c:pt>
                <c:pt idx="38">
                  <c:v>106.47939157577797</c:v>
                </c:pt>
                <c:pt idx="39">
                  <c:v>88.47482931655027</c:v>
                </c:pt>
                <c:pt idx="40">
                  <c:v>69.718655834335493</c:v>
                </c:pt>
                <c:pt idx="41">
                  <c:v>68.400347138747108</c:v>
                </c:pt>
                <c:pt idx="42">
                  <c:v>69.766679708265912</c:v>
                </c:pt>
                <c:pt idx="43">
                  <c:v>71.486035879430162</c:v>
                </c:pt>
                <c:pt idx="44">
                  <c:v>69.146750771526939</c:v>
                </c:pt>
                <c:pt idx="45">
                  <c:v>77.291924391959398</c:v>
                </c:pt>
                <c:pt idx="46">
                  <c:v>79.454519813879585</c:v>
                </c:pt>
                <c:pt idx="47">
                  <c:v>73.482251183097659</c:v>
                </c:pt>
                <c:pt idx="48">
                  <c:v>91.112492698494535</c:v>
                </c:pt>
                <c:pt idx="49">
                  <c:v>100.7156854701562</c:v>
                </c:pt>
                <c:pt idx="50">
                  <c:v>124.72417616194812</c:v>
                </c:pt>
                <c:pt idx="51">
                  <c:v>103.08008603795437</c:v>
                </c:pt>
                <c:pt idx="52">
                  <c:v>71.765298222747802</c:v>
                </c:pt>
                <c:pt idx="53">
                  <c:v>68.723066762258568</c:v>
                </c:pt>
                <c:pt idx="54">
                  <c:v>70.735926648901554</c:v>
                </c:pt>
                <c:pt idx="55">
                  <c:v>70.62479869095317</c:v>
                </c:pt>
                <c:pt idx="56">
                  <c:v>72.057659993643952</c:v>
                </c:pt>
                <c:pt idx="57">
                  <c:v>76.679020813140966</c:v>
                </c:pt>
                <c:pt idx="58">
                  <c:v>73.219928871957563</c:v>
                </c:pt>
                <c:pt idx="59">
                  <c:v>81.08732885048515</c:v>
                </c:pt>
                <c:pt idx="60">
                  <c:v>101.9154068982598</c:v>
                </c:pt>
                <c:pt idx="61">
                  <c:v>76.036645322696074</c:v>
                </c:pt>
                <c:pt idx="62">
                  <c:v>75.878114787436559</c:v>
                </c:pt>
                <c:pt idx="63">
                  <c:v>105.88437616632379</c:v>
                </c:pt>
                <c:pt idx="64">
                  <c:v>70.257066622634369</c:v>
                </c:pt>
                <c:pt idx="65">
                  <c:v>68.543505730482906</c:v>
                </c:pt>
                <c:pt idx="66">
                  <c:v>70.702635202059554</c:v>
                </c:pt>
                <c:pt idx="67">
                  <c:v>81.043552789742591</c:v>
                </c:pt>
                <c:pt idx="68">
                  <c:v>78.144978759754153</c:v>
                </c:pt>
                <c:pt idx="69">
                  <c:v>80.255438278041737</c:v>
                </c:pt>
                <c:pt idx="70">
                  <c:v>79.024339608794321</c:v>
                </c:pt>
                <c:pt idx="71">
                  <c:v>80.595013359234969</c:v>
                </c:pt>
                <c:pt idx="72">
                  <c:v>77.013280690865955</c:v>
                </c:pt>
                <c:pt idx="73">
                  <c:v>64.441130648209523</c:v>
                </c:pt>
                <c:pt idx="74">
                  <c:v>89.46600782733384</c:v>
                </c:pt>
                <c:pt idx="75">
                  <c:v>72.174875921626779</c:v>
                </c:pt>
                <c:pt idx="76">
                  <c:v>70.844923143256182</c:v>
                </c:pt>
                <c:pt idx="77">
                  <c:v>68.463553713866474</c:v>
                </c:pt>
                <c:pt idx="78">
                  <c:v>70.747875758704211</c:v>
                </c:pt>
                <c:pt idx="79">
                  <c:v>81.775845707489992</c:v>
                </c:pt>
                <c:pt idx="80">
                  <c:v>77.794420766889274</c:v>
                </c:pt>
                <c:pt idx="81">
                  <c:v>81.773951585725698</c:v>
                </c:pt>
                <c:pt idx="82">
                  <c:v>75.07854770050568</c:v>
                </c:pt>
                <c:pt idx="83">
                  <c:v>75.528337207678959</c:v>
                </c:pt>
                <c:pt idx="84">
                  <c:v>63.850886603970984</c:v>
                </c:pt>
                <c:pt idx="85">
                  <c:v>89.163789867793284</c:v>
                </c:pt>
                <c:pt idx="86">
                  <c:v>66.073044341697255</c:v>
                </c:pt>
                <c:pt idx="87">
                  <c:v>55.225117287877254</c:v>
                </c:pt>
                <c:pt idx="88">
                  <c:v>62.107027631233308</c:v>
                </c:pt>
                <c:pt idx="89">
                  <c:v>60.077061101980412</c:v>
                </c:pt>
                <c:pt idx="90">
                  <c:v>61.305861447359959</c:v>
                </c:pt>
                <c:pt idx="91">
                  <c:v>62.983051720260306</c:v>
                </c:pt>
                <c:pt idx="92">
                  <c:v>66.030715200667871</c:v>
                </c:pt>
                <c:pt idx="93">
                  <c:v>66.663947811196408</c:v>
                </c:pt>
                <c:pt idx="94">
                  <c:v>67.220200981560453</c:v>
                </c:pt>
                <c:pt idx="95">
                  <c:v>63.89383817742268</c:v>
                </c:pt>
                <c:pt idx="96">
                  <c:v>51.622010006725944</c:v>
                </c:pt>
                <c:pt idx="97">
                  <c:v>47.445578982194007</c:v>
                </c:pt>
                <c:pt idx="98">
                  <c:v>123.29386505429416</c:v>
                </c:pt>
                <c:pt idx="99">
                  <c:v>98.546760989952787</c:v>
                </c:pt>
                <c:pt idx="100">
                  <c:v>65.977476565850665</c:v>
                </c:pt>
                <c:pt idx="101">
                  <c:v>65.181792136084383</c:v>
                </c:pt>
                <c:pt idx="102">
                  <c:v>70.335028998004248</c:v>
                </c:pt>
                <c:pt idx="103">
                  <c:v>73.555119906996822</c:v>
                </c:pt>
                <c:pt idx="104">
                  <c:v>66.813049290721068</c:v>
                </c:pt>
                <c:pt idx="105">
                  <c:v>69.786249097133123</c:v>
                </c:pt>
                <c:pt idx="106">
                  <c:v>66.881319330342606</c:v>
                </c:pt>
                <c:pt idx="107">
                  <c:v>67.972470279194582</c:v>
                </c:pt>
                <c:pt idx="108">
                  <c:v>62.352351963107786</c:v>
                </c:pt>
                <c:pt idx="109">
                  <c:v>79.0927417198223</c:v>
                </c:pt>
                <c:pt idx="110">
                  <c:v>117.64144802205134</c:v>
                </c:pt>
                <c:pt idx="111">
                  <c:v>106.7167106824819</c:v>
                </c:pt>
                <c:pt idx="112">
                  <c:v>68.894001989040461</c:v>
                </c:pt>
                <c:pt idx="113">
                  <c:v>67.840654911735243</c:v>
                </c:pt>
                <c:pt idx="114">
                  <c:v>69.228410966214682</c:v>
                </c:pt>
                <c:pt idx="115">
                  <c:v>71.420498093232382</c:v>
                </c:pt>
                <c:pt idx="116">
                  <c:v>71.904493460492134</c:v>
                </c:pt>
                <c:pt idx="117">
                  <c:v>72.704543555509531</c:v>
                </c:pt>
                <c:pt idx="118">
                  <c:v>70.135253733356606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1-4714-B37F-D89F3598E05A}"/>
            </c:ext>
          </c:extLst>
        </c:ser>
        <c:ser>
          <c:idx val="4"/>
          <c:order val="1"/>
          <c:tx>
            <c:strRef>
              <c:f>Perfil!$B$17</c:f>
              <c:strCache>
                <c:ptCount val="1"/>
                <c:pt idx="0">
                  <c:v>Produccion Termica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cat>
            <c:numRef>
              <c:f>Perfil!$C$3:$DR$3</c:f>
              <c:numCache>
                <c:formatCode>mmm\-yy</c:formatCode>
                <c:ptCount val="12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</c:numCache>
            </c:numRef>
          </c:cat>
          <c:val>
            <c:numRef>
              <c:f>Perfil!$C$17:$DR$17</c:f>
              <c:numCache>
                <c:formatCode>_ * #,##0.00_ ;_ * \-#,##0.00_ ;_ * "-"??_ ;_ @_ </c:formatCode>
                <c:ptCount val="120"/>
                <c:pt idx="0">
                  <c:v>37.742080337267645</c:v>
                </c:pt>
                <c:pt idx="1">
                  <c:v>43.941353408093462</c:v>
                </c:pt>
                <c:pt idx="2">
                  <c:v>37.384096309236128</c:v>
                </c:pt>
                <c:pt idx="3">
                  <c:v>44.691774238835741</c:v>
                </c:pt>
                <c:pt idx="4">
                  <c:v>52.163290212276195</c:v>
                </c:pt>
                <c:pt idx="5">
                  <c:v>50.404525558128903</c:v>
                </c:pt>
                <c:pt idx="6">
                  <c:v>52.342860323204221</c:v>
                </c:pt>
                <c:pt idx="7">
                  <c:v>56.980796575581294</c:v>
                </c:pt>
                <c:pt idx="8">
                  <c:v>49.719373041865659</c:v>
                </c:pt>
                <c:pt idx="9">
                  <c:v>53.322848593497852</c:v>
                </c:pt>
                <c:pt idx="10">
                  <c:v>55.50703256703158</c:v>
                </c:pt>
                <c:pt idx="11">
                  <c:v>46.63361125396176</c:v>
                </c:pt>
                <c:pt idx="12">
                  <c:v>37.112108772656867</c:v>
                </c:pt>
                <c:pt idx="13">
                  <c:v>30.755343376053446</c:v>
                </c:pt>
                <c:pt idx="14">
                  <c:v>37.530139414156857</c:v>
                </c:pt>
                <c:pt idx="15">
                  <c:v>28.803457434371772</c:v>
                </c:pt>
                <c:pt idx="16">
                  <c:v>54.056680544946872</c:v>
                </c:pt>
                <c:pt idx="17">
                  <c:v>55.14620010679085</c:v>
                </c:pt>
                <c:pt idx="18">
                  <c:v>59.599033432830701</c:v>
                </c:pt>
                <c:pt idx="19">
                  <c:v>58.98394395423955</c:v>
                </c:pt>
                <c:pt idx="20">
                  <c:v>43.979649989921434</c:v>
                </c:pt>
                <c:pt idx="21">
                  <c:v>51.278719170965012</c:v>
                </c:pt>
                <c:pt idx="22">
                  <c:v>47.080512126244827</c:v>
                </c:pt>
                <c:pt idx="23">
                  <c:v>48.779818907896839</c:v>
                </c:pt>
                <c:pt idx="24">
                  <c:v>27.057928340892918</c:v>
                </c:pt>
                <c:pt idx="25">
                  <c:v>10.726489964368206</c:v>
                </c:pt>
                <c:pt idx="26">
                  <c:v>6.4250491168230601</c:v>
                </c:pt>
                <c:pt idx="27">
                  <c:v>3.975895611545714</c:v>
                </c:pt>
                <c:pt idx="28">
                  <c:v>6.603611639052505</c:v>
                </c:pt>
                <c:pt idx="29">
                  <c:v>3.869308970357026</c:v>
                </c:pt>
                <c:pt idx="30">
                  <c:v>1.5523213503006037</c:v>
                </c:pt>
                <c:pt idx="31">
                  <c:v>1.4425240166981095</c:v>
                </c:pt>
                <c:pt idx="32">
                  <c:v>0.77931240227423693</c:v>
                </c:pt>
                <c:pt idx="33">
                  <c:v>1.3367785835301957</c:v>
                </c:pt>
                <c:pt idx="34">
                  <c:v>8.1824357606465377</c:v>
                </c:pt>
                <c:pt idx="35">
                  <c:v>12.600023976001356</c:v>
                </c:pt>
                <c:pt idx="36">
                  <c:v>9.4557619784346354</c:v>
                </c:pt>
                <c:pt idx="37">
                  <c:v>11.891068091703348</c:v>
                </c:pt>
                <c:pt idx="38">
                  <c:v>9.2785690731129424</c:v>
                </c:pt>
                <c:pt idx="39">
                  <c:v>2.6441560814223993E-2</c:v>
                </c:pt>
                <c:pt idx="40">
                  <c:v>1.983491615389326E-2</c:v>
                </c:pt>
                <c:pt idx="41">
                  <c:v>2.5693394475166324E-2</c:v>
                </c:pt>
                <c:pt idx="42">
                  <c:v>3.6668962489102203E-2</c:v>
                </c:pt>
                <c:pt idx="43">
                  <c:v>1.0670132937639682E-2</c:v>
                </c:pt>
                <c:pt idx="44">
                  <c:v>0.34261909902016013</c:v>
                </c:pt>
                <c:pt idx="45">
                  <c:v>3.1814732503211422E-2</c:v>
                </c:pt>
                <c:pt idx="46">
                  <c:v>4.2872342308647469E-2</c:v>
                </c:pt>
                <c:pt idx="47">
                  <c:v>0.11168281483884723</c:v>
                </c:pt>
                <c:pt idx="48">
                  <c:v>2.0758546821331662E-2</c:v>
                </c:pt>
                <c:pt idx="49">
                  <c:v>4.1173649439104697E-2</c:v>
                </c:pt>
                <c:pt idx="50">
                  <c:v>9.2330412728220648E-4</c:v>
                </c:pt>
                <c:pt idx="51">
                  <c:v>1.7836083286230035E-3</c:v>
                </c:pt>
                <c:pt idx="52">
                  <c:v>3.344701644784764E-3</c:v>
                </c:pt>
                <c:pt idx="53">
                  <c:v>1.6332953785672503E-3</c:v>
                </c:pt>
                <c:pt idx="54">
                  <c:v>3.484445454876577E-3</c:v>
                </c:pt>
                <c:pt idx="55">
                  <c:v>1.7100532990432435E-3</c:v>
                </c:pt>
                <c:pt idx="56">
                  <c:v>2.3295091323554368E-2</c:v>
                </c:pt>
                <c:pt idx="57">
                  <c:v>4.9977692419318154E-2</c:v>
                </c:pt>
                <c:pt idx="58">
                  <c:v>4.9455950230339281E-2</c:v>
                </c:pt>
                <c:pt idx="59">
                  <c:v>2.7602462418755972E-2</c:v>
                </c:pt>
                <c:pt idx="60">
                  <c:v>2.9237910722167888E-3</c:v>
                </c:pt>
                <c:pt idx="61">
                  <c:v>5.9726374506279796E-3</c:v>
                </c:pt>
                <c:pt idx="62">
                  <c:v>2.8933135731584535E-2</c:v>
                </c:pt>
                <c:pt idx="63">
                  <c:v>1.7987878397345818E-2</c:v>
                </c:pt>
                <c:pt idx="64">
                  <c:v>5.0798011963692748E-2</c:v>
                </c:pt>
                <c:pt idx="65">
                  <c:v>3.7898366523144459E-3</c:v>
                </c:pt>
                <c:pt idx="66">
                  <c:v>6.8073430291737416E-2</c:v>
                </c:pt>
                <c:pt idx="67">
                  <c:v>1.2698798161808763E-2</c:v>
                </c:pt>
                <c:pt idx="68">
                  <c:v>7.5915737204053271E-2</c:v>
                </c:pt>
                <c:pt idx="69">
                  <c:v>2.4572779914211907E-2</c:v>
                </c:pt>
                <c:pt idx="70">
                  <c:v>3.6585025931261061E-3</c:v>
                </c:pt>
                <c:pt idx="71">
                  <c:v>5.2711246511464513E-2</c:v>
                </c:pt>
                <c:pt idx="72">
                  <c:v>3.8346142215075159E-2</c:v>
                </c:pt>
                <c:pt idx="73">
                  <c:v>2.5486760002838862E-2</c:v>
                </c:pt>
                <c:pt idx="74">
                  <c:v>3.0443740207202384E-2</c:v>
                </c:pt>
                <c:pt idx="75">
                  <c:v>2.3418009593166516E-2</c:v>
                </c:pt>
                <c:pt idx="76">
                  <c:v>3.6857408127621893E-2</c:v>
                </c:pt>
                <c:pt idx="77">
                  <c:v>4.2242325303564664E-2</c:v>
                </c:pt>
                <c:pt idx="78">
                  <c:v>8.1937095954480982E-2</c:v>
                </c:pt>
                <c:pt idx="79">
                  <c:v>4.0106830605139761E-2</c:v>
                </c:pt>
                <c:pt idx="80">
                  <c:v>0.47017091355356699</c:v>
                </c:pt>
                <c:pt idx="81">
                  <c:v>0.14205237262705417</c:v>
                </c:pt>
                <c:pt idx="82">
                  <c:v>2.965305234595748</c:v>
                </c:pt>
                <c:pt idx="83">
                  <c:v>0.21602016933969251</c:v>
                </c:pt>
                <c:pt idx="84">
                  <c:v>6.7485145099921463E-3</c:v>
                </c:pt>
                <c:pt idx="85">
                  <c:v>3.7443977940529553E-2</c:v>
                </c:pt>
                <c:pt idx="86">
                  <c:v>8.5584189336895031E-2</c:v>
                </c:pt>
                <c:pt idx="87">
                  <c:v>2.7192281840368929E-2</c:v>
                </c:pt>
                <c:pt idx="88">
                  <c:v>9.9050603473572682E-2</c:v>
                </c:pt>
                <c:pt idx="89">
                  <c:v>8.3197450854734539E-2</c:v>
                </c:pt>
                <c:pt idx="90">
                  <c:v>0.44769554449968679</c:v>
                </c:pt>
                <c:pt idx="91">
                  <c:v>0.57549266100195928</c:v>
                </c:pt>
                <c:pt idx="92">
                  <c:v>6.4737067153504732E-2</c:v>
                </c:pt>
                <c:pt idx="93">
                  <c:v>1.3372853174217242E-2</c:v>
                </c:pt>
                <c:pt idx="94">
                  <c:v>0.48062936979133214</c:v>
                </c:pt>
                <c:pt idx="95">
                  <c:v>1.6759341064813602E-3</c:v>
                </c:pt>
                <c:pt idx="96">
                  <c:v>3.4319524898485707E-2</c:v>
                </c:pt>
                <c:pt idx="97">
                  <c:v>5.7851243938169372E-2</c:v>
                </c:pt>
                <c:pt idx="98">
                  <c:v>3.7413804322884957E-2</c:v>
                </c:pt>
                <c:pt idx="99">
                  <c:v>5.2271445997390413E-2</c:v>
                </c:pt>
                <c:pt idx="100">
                  <c:v>1.6310543550708902E-2</c:v>
                </c:pt>
                <c:pt idx="101">
                  <c:v>6.6495014472040856E-2</c:v>
                </c:pt>
                <c:pt idx="102">
                  <c:v>7.5001911477999075E-2</c:v>
                </c:pt>
                <c:pt idx="103">
                  <c:v>2.2332082351056787E-2</c:v>
                </c:pt>
                <c:pt idx="104">
                  <c:v>0.10922250048123519</c:v>
                </c:pt>
                <c:pt idx="105">
                  <c:v>5.9799111141804466E-2</c:v>
                </c:pt>
                <c:pt idx="106">
                  <c:v>1.9919215715845484E-2</c:v>
                </c:pt>
                <c:pt idx="107">
                  <c:v>8.3523421285003216E-2</c:v>
                </c:pt>
                <c:pt idx="108">
                  <c:v>2.1835212246855792E-2</c:v>
                </c:pt>
                <c:pt idx="109">
                  <c:v>8.2588042585419241E-2</c:v>
                </c:pt>
                <c:pt idx="110">
                  <c:v>8.6349657442311198E-2</c:v>
                </c:pt>
                <c:pt idx="111">
                  <c:v>3.1942260676781124E-2</c:v>
                </c:pt>
                <c:pt idx="112">
                  <c:v>0.10620592877538353</c:v>
                </c:pt>
                <c:pt idx="113">
                  <c:v>3.8542179991532345E-2</c:v>
                </c:pt>
                <c:pt idx="114">
                  <c:v>3.669183176300729E-2</c:v>
                </c:pt>
                <c:pt idx="115">
                  <c:v>2.9397895773981587E-2</c:v>
                </c:pt>
                <c:pt idx="116">
                  <c:v>0.39219918272461596</c:v>
                </c:pt>
                <c:pt idx="117">
                  <c:v>0</c:v>
                </c:pt>
                <c:pt idx="118">
                  <c:v>1.8466948307701493E-2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1-4714-B37F-D89F3598E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181455"/>
        <c:axId val="1"/>
      </c:areaChart>
      <c:dateAx>
        <c:axId val="188318145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PE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Energía 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PE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(kWh)</a:t>
                </a:r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883181455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9.3673809761121635E-2"/>
          <c:y val="0.87571377161035857"/>
          <c:w val="0.14937173992491443"/>
          <c:h val="4.022072195271753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3175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Ventas  de Energía Activa 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2016-2025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7911717392062239E-2"/>
          <c:y val="0.20950046354168547"/>
          <c:w val="0.86384274754370693"/>
          <c:h val="0.55235596286920163"/>
        </c:manualLayout>
      </c:layout>
      <c:areaChart>
        <c:grouping val="stacked"/>
        <c:varyColors val="0"/>
        <c:ser>
          <c:idx val="3"/>
          <c:order val="0"/>
          <c:tx>
            <c:strRef>
              <c:f>Perfil!$B$20</c:f>
              <c:strCache>
                <c:ptCount val="1"/>
                <c:pt idx="0">
                  <c:v>Contratos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Perfil!$C$3:$DR$3</c:f>
              <c:numCache>
                <c:formatCode>mmm\-yy</c:formatCode>
                <c:ptCount val="12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</c:numCache>
            </c:numRef>
          </c:cat>
          <c:val>
            <c:numRef>
              <c:f>Perfil!$C$20:$DR$20</c:f>
              <c:numCache>
                <c:formatCode>_ * #,##0.00_ ;_ * \-#,##0.00_ ;_ * "-"??_ ;_ @_ </c:formatCode>
                <c:ptCount val="120"/>
                <c:pt idx="0">
                  <c:v>71.818352139999988</c:v>
                </c:pt>
                <c:pt idx="1">
                  <c:v>69.295224719999993</c:v>
                </c:pt>
                <c:pt idx="2">
                  <c:v>70.163243680000008</c:v>
                </c:pt>
                <c:pt idx="3">
                  <c:v>67.561815800000005</c:v>
                </c:pt>
                <c:pt idx="4">
                  <c:v>68.340090070000002</c:v>
                </c:pt>
                <c:pt idx="5">
                  <c:v>65.055877919999986</c:v>
                </c:pt>
                <c:pt idx="6">
                  <c:v>66.227819719999999</c:v>
                </c:pt>
                <c:pt idx="7">
                  <c:v>67.851607579999978</c:v>
                </c:pt>
                <c:pt idx="8">
                  <c:v>65.982055039999992</c:v>
                </c:pt>
                <c:pt idx="9">
                  <c:v>66.44252723999999</c:v>
                </c:pt>
                <c:pt idx="10">
                  <c:v>64.653356450000004</c:v>
                </c:pt>
                <c:pt idx="11">
                  <c:v>67.880373879999993</c:v>
                </c:pt>
                <c:pt idx="12">
                  <c:v>67.735593130000012</c:v>
                </c:pt>
                <c:pt idx="13">
                  <c:v>64.516525910000013</c:v>
                </c:pt>
                <c:pt idx="14">
                  <c:v>70.607223059999995</c:v>
                </c:pt>
                <c:pt idx="15">
                  <c:v>65.403539020000011</c:v>
                </c:pt>
                <c:pt idx="16">
                  <c:v>66.350149350000009</c:v>
                </c:pt>
                <c:pt idx="17">
                  <c:v>62.814706139999991</c:v>
                </c:pt>
                <c:pt idx="18">
                  <c:v>63.450061339999998</c:v>
                </c:pt>
                <c:pt idx="19">
                  <c:v>64.529375120000012</c:v>
                </c:pt>
                <c:pt idx="20">
                  <c:v>63.034093419999998</c:v>
                </c:pt>
                <c:pt idx="21">
                  <c:v>63.773630869999991</c:v>
                </c:pt>
                <c:pt idx="22">
                  <c:v>61.538711389999996</c:v>
                </c:pt>
                <c:pt idx="23">
                  <c:v>63.29663317</c:v>
                </c:pt>
                <c:pt idx="24">
                  <c:v>56.358510150000001</c:v>
                </c:pt>
                <c:pt idx="25">
                  <c:v>53.587749499999994</c:v>
                </c:pt>
                <c:pt idx="26">
                  <c:v>57.366246520000018</c:v>
                </c:pt>
                <c:pt idx="27">
                  <c:v>56.580926790000007</c:v>
                </c:pt>
                <c:pt idx="28">
                  <c:v>56.420910950000007</c:v>
                </c:pt>
                <c:pt idx="29">
                  <c:v>53.905991059999984</c:v>
                </c:pt>
                <c:pt idx="30">
                  <c:v>55.185964610000021</c:v>
                </c:pt>
                <c:pt idx="31">
                  <c:v>55.209338459999998</c:v>
                </c:pt>
                <c:pt idx="32">
                  <c:v>53.711605400000003</c:v>
                </c:pt>
                <c:pt idx="33">
                  <c:v>54.892717570000002</c:v>
                </c:pt>
                <c:pt idx="34">
                  <c:v>54.544670040000007</c:v>
                </c:pt>
                <c:pt idx="35">
                  <c:v>57.502035589999998</c:v>
                </c:pt>
                <c:pt idx="36">
                  <c:v>65.203964859999999</c:v>
                </c:pt>
                <c:pt idx="37">
                  <c:v>60.79069144999999</c:v>
                </c:pt>
                <c:pt idx="38">
                  <c:v>65.121625880000011</c:v>
                </c:pt>
                <c:pt idx="39">
                  <c:v>60.225157799999991</c:v>
                </c:pt>
                <c:pt idx="40">
                  <c:v>60.388459409999982</c:v>
                </c:pt>
                <c:pt idx="41">
                  <c:v>56.627505579999998</c:v>
                </c:pt>
                <c:pt idx="42">
                  <c:v>57.686371219999998</c:v>
                </c:pt>
                <c:pt idx="43">
                  <c:v>57.886979040000007</c:v>
                </c:pt>
                <c:pt idx="44">
                  <c:v>56.928675890000001</c:v>
                </c:pt>
                <c:pt idx="45">
                  <c:v>58.974330939999994</c:v>
                </c:pt>
                <c:pt idx="46">
                  <c:v>58.279085270000017</c:v>
                </c:pt>
                <c:pt idx="47">
                  <c:v>60.995072310000005</c:v>
                </c:pt>
                <c:pt idx="48">
                  <c:v>62.740842780000001</c:v>
                </c:pt>
                <c:pt idx="49">
                  <c:v>61.101166899999988</c:v>
                </c:pt>
                <c:pt idx="50">
                  <c:v>58.042669630000006</c:v>
                </c:pt>
                <c:pt idx="51">
                  <c:v>47.671779540000003</c:v>
                </c:pt>
                <c:pt idx="52">
                  <c:v>50.204460719999986</c:v>
                </c:pt>
                <c:pt idx="53">
                  <c:v>51.074337320000005</c:v>
                </c:pt>
                <c:pt idx="54">
                  <c:v>54.034672680000021</c:v>
                </c:pt>
                <c:pt idx="55">
                  <c:v>54.589765239999991</c:v>
                </c:pt>
                <c:pt idx="56">
                  <c:v>54.253498820000011</c:v>
                </c:pt>
                <c:pt idx="57">
                  <c:v>57.718177970000013</c:v>
                </c:pt>
                <c:pt idx="58">
                  <c:v>57.390491900000008</c:v>
                </c:pt>
                <c:pt idx="59">
                  <c:v>60.046924780000012</c:v>
                </c:pt>
                <c:pt idx="60">
                  <c:v>63.480852020000007</c:v>
                </c:pt>
                <c:pt idx="61">
                  <c:v>56.17177096999999</c:v>
                </c:pt>
                <c:pt idx="62">
                  <c:v>62.597985410000007</c:v>
                </c:pt>
                <c:pt idx="63">
                  <c:v>58.244922920000022</c:v>
                </c:pt>
                <c:pt idx="64">
                  <c:v>58.24454386</c:v>
                </c:pt>
                <c:pt idx="65">
                  <c:v>55.762457790000013</c:v>
                </c:pt>
                <c:pt idx="66">
                  <c:v>57.394632690000002</c:v>
                </c:pt>
                <c:pt idx="67">
                  <c:v>58.454983420000012</c:v>
                </c:pt>
                <c:pt idx="68">
                  <c:v>59.195570240000009</c:v>
                </c:pt>
                <c:pt idx="69">
                  <c:v>61.747138300000003</c:v>
                </c:pt>
                <c:pt idx="70">
                  <c:v>61.643545180000004</c:v>
                </c:pt>
                <c:pt idx="71">
                  <c:v>63.936887790000007</c:v>
                </c:pt>
                <c:pt idx="72">
                  <c:v>72.820257639999994</c:v>
                </c:pt>
                <c:pt idx="73">
                  <c:v>68.233735260000003</c:v>
                </c:pt>
                <c:pt idx="74">
                  <c:v>75.084151780000013</c:v>
                </c:pt>
                <c:pt idx="75">
                  <c:v>69.143006189999994</c:v>
                </c:pt>
                <c:pt idx="76">
                  <c:v>68.527837330000011</c:v>
                </c:pt>
                <c:pt idx="77">
                  <c:v>65.142231019999997</c:v>
                </c:pt>
                <c:pt idx="78">
                  <c:v>65.405761769999998</c:v>
                </c:pt>
                <c:pt idx="79">
                  <c:v>67.218990690000012</c:v>
                </c:pt>
                <c:pt idx="80">
                  <c:v>67.461474960000004</c:v>
                </c:pt>
                <c:pt idx="81">
                  <c:v>69.562038489999992</c:v>
                </c:pt>
                <c:pt idx="82">
                  <c:v>70.658362660000009</c:v>
                </c:pt>
                <c:pt idx="83">
                  <c:v>74.592576149999999</c:v>
                </c:pt>
                <c:pt idx="84">
                  <c:v>73.24477856</c:v>
                </c:pt>
                <c:pt idx="85">
                  <c:v>71.781025689999993</c:v>
                </c:pt>
                <c:pt idx="86">
                  <c:v>78.606277050000003</c:v>
                </c:pt>
                <c:pt idx="87">
                  <c:v>74.348136429999997</c:v>
                </c:pt>
                <c:pt idx="88">
                  <c:v>70.807982209999992</c:v>
                </c:pt>
                <c:pt idx="89">
                  <c:v>66.769025119999995</c:v>
                </c:pt>
                <c:pt idx="90">
                  <c:v>66.953892140000008</c:v>
                </c:pt>
                <c:pt idx="91">
                  <c:v>67.868027899999987</c:v>
                </c:pt>
                <c:pt idx="92">
                  <c:v>67.571006640000007</c:v>
                </c:pt>
                <c:pt idx="93">
                  <c:v>71.596572510000001</c:v>
                </c:pt>
                <c:pt idx="94">
                  <c:v>71.306930730000005</c:v>
                </c:pt>
                <c:pt idx="95">
                  <c:v>75.062387000000001</c:v>
                </c:pt>
                <c:pt idx="96">
                  <c:v>52.460687317058998</c:v>
                </c:pt>
                <c:pt idx="97">
                  <c:v>50.773455069031414</c:v>
                </c:pt>
                <c:pt idx="98">
                  <c:v>50.127536270000007</c:v>
                </c:pt>
                <c:pt idx="99">
                  <c:v>48.648248070000001</c:v>
                </c:pt>
                <c:pt idx="100">
                  <c:v>48.52664051</c:v>
                </c:pt>
                <c:pt idx="101">
                  <c:v>44.969498489999999</c:v>
                </c:pt>
                <c:pt idx="102">
                  <c:v>47.858150129999999</c:v>
                </c:pt>
                <c:pt idx="103">
                  <c:v>48.601576539999996</c:v>
                </c:pt>
                <c:pt idx="104">
                  <c:v>47.50569397000001</c:v>
                </c:pt>
                <c:pt idx="105">
                  <c:v>49.259041530000005</c:v>
                </c:pt>
                <c:pt idx="106">
                  <c:v>45.762014809999997</c:v>
                </c:pt>
                <c:pt idx="107">
                  <c:v>47.170479320000005</c:v>
                </c:pt>
                <c:pt idx="108">
                  <c:v>54.926967359999992</c:v>
                </c:pt>
                <c:pt idx="109">
                  <c:v>55.347247230000001</c:v>
                </c:pt>
                <c:pt idx="110">
                  <c:v>57.009603730000002</c:v>
                </c:pt>
                <c:pt idx="111">
                  <c:v>53.252244990000008</c:v>
                </c:pt>
                <c:pt idx="112">
                  <c:v>52.471350489999999</c:v>
                </c:pt>
                <c:pt idx="113">
                  <c:v>50.999914160000003</c:v>
                </c:pt>
                <c:pt idx="114">
                  <c:v>52.491004490000016</c:v>
                </c:pt>
                <c:pt idx="115">
                  <c:v>51.856290960000003</c:v>
                </c:pt>
                <c:pt idx="116">
                  <c:v>52.082709269999995</c:v>
                </c:pt>
                <c:pt idx="117">
                  <c:v>52.83250987000001</c:v>
                </c:pt>
                <c:pt idx="118">
                  <c:v>51.322482840000006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F-493C-B31B-83BFF47C595D}"/>
            </c:ext>
          </c:extLst>
        </c:ser>
        <c:ser>
          <c:idx val="2"/>
          <c:order val="1"/>
          <c:tx>
            <c:strRef>
              <c:f>Perfil!$B$19</c:f>
              <c:strCache>
                <c:ptCount val="1"/>
                <c:pt idx="0">
                  <c:v>Venta en COES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rgbClr val="92D050"/>
              </a:solidFill>
            </a:ln>
            <a:effectLst/>
          </c:spPr>
          <c:cat>
            <c:numRef>
              <c:f>Perfil!$C$3:$DR$3</c:f>
              <c:numCache>
                <c:formatCode>mmm\-yy</c:formatCode>
                <c:ptCount val="12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</c:numCache>
            </c:numRef>
          </c:cat>
          <c:val>
            <c:numRef>
              <c:f>Perfil!$C$19:$DR$19</c:f>
              <c:numCache>
                <c:formatCode>_ * #,##0.00_ ;_ * \-#,##0.00_ ;_ * "-"??_ ;_ @_ </c:formatCode>
                <c:ptCount val="120"/>
                <c:pt idx="0">
                  <c:v>26.081763051197598</c:v>
                </c:pt>
                <c:pt idx="1">
                  <c:v>39.7230741426281</c:v>
                </c:pt>
                <c:pt idx="2">
                  <c:v>28.203447523925398</c:v>
                </c:pt>
                <c:pt idx="3">
                  <c:v>35.341813397788201</c:v>
                </c:pt>
                <c:pt idx="4">
                  <c:v>43.647145385600901</c:v>
                </c:pt>
                <c:pt idx="5">
                  <c:v>43.5322929603796</c:v>
                </c:pt>
                <c:pt idx="6">
                  <c:v>46.252634026290302</c:v>
                </c:pt>
                <c:pt idx="7">
                  <c:v>49.007100020299603</c:v>
                </c:pt>
                <c:pt idx="8">
                  <c:v>47.106386586614498</c:v>
                </c:pt>
                <c:pt idx="9">
                  <c:v>52.500203302770103</c:v>
                </c:pt>
                <c:pt idx="10">
                  <c:v>53.5536010944653</c:v>
                </c:pt>
                <c:pt idx="11">
                  <c:v>41.5276793221392</c:v>
                </c:pt>
                <c:pt idx="12">
                  <c:v>29.272657413044502</c:v>
                </c:pt>
                <c:pt idx="13">
                  <c:v>19.489250261981599</c:v>
                </c:pt>
                <c:pt idx="14">
                  <c:v>22.711858653292101</c:v>
                </c:pt>
                <c:pt idx="15">
                  <c:v>46.9749319478533</c:v>
                </c:pt>
                <c:pt idx="16">
                  <c:v>53.403568026368099</c:v>
                </c:pt>
                <c:pt idx="17">
                  <c:v>55.895141435801598</c:v>
                </c:pt>
                <c:pt idx="18">
                  <c:v>67.141649617397505</c:v>
                </c:pt>
                <c:pt idx="19">
                  <c:v>65.521446783838101</c:v>
                </c:pt>
                <c:pt idx="20">
                  <c:v>54.886925967109796</c:v>
                </c:pt>
                <c:pt idx="21">
                  <c:v>64.405112018048797</c:v>
                </c:pt>
                <c:pt idx="22">
                  <c:v>59.448790000000002</c:v>
                </c:pt>
                <c:pt idx="23">
                  <c:v>62.6241716611258</c:v>
                </c:pt>
                <c:pt idx="24">
                  <c:v>58.300336019112613</c:v>
                </c:pt>
                <c:pt idx="25">
                  <c:v>47.443382109594296</c:v>
                </c:pt>
                <c:pt idx="26">
                  <c:v>55.875834707395299</c:v>
                </c:pt>
                <c:pt idx="27">
                  <c:v>28.305500852963</c:v>
                </c:pt>
                <c:pt idx="28">
                  <c:v>15.953719097461301</c:v>
                </c:pt>
                <c:pt idx="29">
                  <c:v>15.7015325206144</c:v>
                </c:pt>
                <c:pt idx="30">
                  <c:v>23.271496933041998</c:v>
                </c:pt>
                <c:pt idx="31">
                  <c:v>20.566977957039597</c:v>
                </c:pt>
                <c:pt idx="32">
                  <c:v>15.858081931066101</c:v>
                </c:pt>
                <c:pt idx="33">
                  <c:v>25.526263413552797</c:v>
                </c:pt>
                <c:pt idx="34">
                  <c:v>27.005591257676702</c:v>
                </c:pt>
                <c:pt idx="35">
                  <c:v>32.040742542608697</c:v>
                </c:pt>
                <c:pt idx="36">
                  <c:v>17.903532899907106</c:v>
                </c:pt>
                <c:pt idx="37">
                  <c:v>47.387778203074902</c:v>
                </c:pt>
                <c:pt idx="38">
                  <c:v>50.636334768890904</c:v>
                </c:pt>
                <c:pt idx="39">
                  <c:v>28.276113077364506</c:v>
                </c:pt>
                <c:pt idx="40">
                  <c:v>9.3500313404893962</c:v>
                </c:pt>
                <c:pt idx="41">
                  <c:v>11.798534953222291</c:v>
                </c:pt>
                <c:pt idx="42">
                  <c:v>12.116977450755003</c:v>
                </c:pt>
                <c:pt idx="43">
                  <c:v>13.609726972367804</c:v>
                </c:pt>
                <c:pt idx="44">
                  <c:v>12.560693980547105</c:v>
                </c:pt>
                <c:pt idx="45">
                  <c:v>18.349408184462597</c:v>
                </c:pt>
                <c:pt idx="46">
                  <c:v>21.218306886188198</c:v>
                </c:pt>
                <c:pt idx="47">
                  <c:v>12.5988616879365</c:v>
                </c:pt>
                <c:pt idx="48">
                  <c:v>28.392408465315871</c:v>
                </c:pt>
                <c:pt idx="49">
                  <c:v>39.655692219595302</c:v>
                </c:pt>
                <c:pt idx="50">
                  <c:v>66.6824298360754</c:v>
                </c:pt>
                <c:pt idx="51">
                  <c:v>55.410090106282993</c:v>
                </c:pt>
                <c:pt idx="52">
                  <c:v>21.564182204392594</c:v>
                </c:pt>
                <c:pt idx="53">
                  <c:v>17.650362737637131</c:v>
                </c:pt>
                <c:pt idx="54">
                  <c:v>16.704738414356413</c:v>
                </c:pt>
                <c:pt idx="55">
                  <c:v>16.036743504252211</c:v>
                </c:pt>
                <c:pt idx="56">
                  <c:v>17.827456264967491</c:v>
                </c:pt>
                <c:pt idx="57">
                  <c:v>19.010820535560278</c:v>
                </c:pt>
                <c:pt idx="58">
                  <c:v>15.878892922187909</c:v>
                </c:pt>
                <c:pt idx="59">
                  <c:v>21.068006532903897</c:v>
                </c:pt>
                <c:pt idx="60">
                  <c:v>38.437478669332009</c:v>
                </c:pt>
                <c:pt idx="61">
                  <c:v>19.87084699014671</c:v>
                </c:pt>
                <c:pt idx="62">
                  <c:v>13.309062513168129</c:v>
                </c:pt>
                <c:pt idx="63">
                  <c:v>47.657441124721117</c:v>
                </c:pt>
                <c:pt idx="64">
                  <c:v>12.063320774598084</c:v>
                </c:pt>
                <c:pt idx="65">
                  <c:v>12.784837777135209</c:v>
                </c:pt>
                <c:pt idx="66">
                  <c:v>13.530924734820116</c:v>
                </c:pt>
                <c:pt idx="67">
                  <c:v>22.754997383936796</c:v>
                </c:pt>
                <c:pt idx="68">
                  <c:v>19.172309240518583</c:v>
                </c:pt>
                <c:pt idx="69">
                  <c:v>18.683701443155705</c:v>
                </c:pt>
                <c:pt idx="70">
                  <c:v>17.527045525963693</c:v>
                </c:pt>
                <c:pt idx="71">
                  <c:v>16.857149105255303</c:v>
                </c:pt>
                <c:pt idx="72">
                  <c:v>4.3786734005234464</c:v>
                </c:pt>
                <c:pt idx="73">
                  <c:v>0</c:v>
                </c:pt>
                <c:pt idx="74">
                  <c:v>14.565245879934155</c:v>
                </c:pt>
                <c:pt idx="75">
                  <c:v>3.1920751738830875</c:v>
                </c:pt>
                <c:pt idx="76">
                  <c:v>2.4968630998906884</c:v>
                </c:pt>
                <c:pt idx="77">
                  <c:v>3.5030439836150036</c:v>
                </c:pt>
                <c:pt idx="78">
                  <c:v>5.5550039374469637</c:v>
                </c:pt>
                <c:pt idx="79">
                  <c:v>14.740830396576973</c:v>
                </c:pt>
                <c:pt idx="80">
                  <c:v>10.939620949252115</c:v>
                </c:pt>
                <c:pt idx="81">
                  <c:v>12.479907719713315</c:v>
                </c:pt>
                <c:pt idx="82">
                  <c:v>7.8433054421598349</c:v>
                </c:pt>
                <c:pt idx="83">
                  <c:v>1.2668766124770481</c:v>
                </c:pt>
                <c:pt idx="84">
                  <c:v>0</c:v>
                </c:pt>
                <c:pt idx="85">
                  <c:v>17.515552742288914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1.6271675977773121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73.313311859125392</c:v>
                </c:pt>
                <c:pt idx="99">
                  <c:v>50.055353179432984</c:v>
                </c:pt>
                <c:pt idx="100">
                  <c:v>17.574992567921399</c:v>
                </c:pt>
                <c:pt idx="101">
                  <c:v>20.382876217350809</c:v>
                </c:pt>
                <c:pt idx="102">
                  <c:v>22.662670352692317</c:v>
                </c:pt>
                <c:pt idx="103">
                  <c:v>25.085684737972901</c:v>
                </c:pt>
                <c:pt idx="104">
                  <c:v>19.524811896111014</c:v>
                </c:pt>
                <c:pt idx="105">
                  <c:v>20.694798141609514</c:v>
                </c:pt>
                <c:pt idx="106">
                  <c:v>21.242955660399303</c:v>
                </c:pt>
                <c:pt idx="107">
                  <c:v>20.994738381507034</c:v>
                </c:pt>
                <c:pt idx="108">
                  <c:v>6.509067782985694</c:v>
                </c:pt>
                <c:pt idx="109">
                  <c:v>22.768830881430027</c:v>
                </c:pt>
                <c:pt idx="110">
                  <c:v>59.247886202993236</c:v>
                </c:pt>
                <c:pt idx="111">
                  <c:v>52.140475719738042</c:v>
                </c:pt>
                <c:pt idx="112">
                  <c:v>15.58165854804038</c:v>
                </c:pt>
                <c:pt idx="113">
                  <c:v>15.987194213215961</c:v>
                </c:pt>
                <c:pt idx="114">
                  <c:v>15.856041957408001</c:v>
                </c:pt>
                <c:pt idx="115">
                  <c:v>18.663543929614555</c:v>
                </c:pt>
                <c:pt idx="116">
                  <c:v>19.2650047595383</c:v>
                </c:pt>
                <c:pt idx="117">
                  <c:v>18.931509933726979</c:v>
                </c:pt>
                <c:pt idx="118">
                  <c:v>17.935785356309875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F-493C-B31B-83BFF47C5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168015"/>
        <c:axId val="1"/>
      </c:areaChart>
      <c:dateAx>
        <c:axId val="188316801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PE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Energía 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PE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(kWh)</a:t>
                </a:r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88316801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1392757234459616"/>
          <c:y val="0.87022931091566014"/>
          <c:w val="0.6854643011395728"/>
          <c:h val="0.1206619739260197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3175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Producción y Ventas de Energía Activa 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2016-2025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7911717392062239E-2"/>
          <c:y val="0.20950046354168547"/>
          <c:w val="0.86384274754370693"/>
          <c:h val="0.55235596286920163"/>
        </c:manualLayout>
      </c:layout>
      <c:areaChart>
        <c:grouping val="stacked"/>
        <c:varyColors val="0"/>
        <c:ser>
          <c:idx val="3"/>
          <c:order val="2"/>
          <c:tx>
            <c:strRef>
              <c:f>Perfil!$B$20</c:f>
              <c:strCache>
                <c:ptCount val="1"/>
                <c:pt idx="0">
                  <c:v>Contratos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</c:spPr>
          <c:cat>
            <c:numRef>
              <c:f>Perfil!$C$3:$DR$3</c:f>
              <c:numCache>
                <c:formatCode>mmm\-yy</c:formatCode>
                <c:ptCount val="12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</c:numCache>
            </c:numRef>
          </c:cat>
          <c:val>
            <c:numRef>
              <c:f>Perfil!$C$20:$DR$20</c:f>
              <c:numCache>
                <c:formatCode>_ * #,##0.00_ ;_ * \-#,##0.00_ ;_ * "-"??_ ;_ @_ </c:formatCode>
                <c:ptCount val="120"/>
                <c:pt idx="0">
                  <c:v>71.818352139999988</c:v>
                </c:pt>
                <c:pt idx="1">
                  <c:v>69.295224719999993</c:v>
                </c:pt>
                <c:pt idx="2">
                  <c:v>70.163243680000008</c:v>
                </c:pt>
                <c:pt idx="3">
                  <c:v>67.561815800000005</c:v>
                </c:pt>
                <c:pt idx="4">
                  <c:v>68.340090070000002</c:v>
                </c:pt>
                <c:pt idx="5">
                  <c:v>65.055877919999986</c:v>
                </c:pt>
                <c:pt idx="6">
                  <c:v>66.227819719999999</c:v>
                </c:pt>
                <c:pt idx="7">
                  <c:v>67.851607579999978</c:v>
                </c:pt>
                <c:pt idx="8">
                  <c:v>65.982055039999992</c:v>
                </c:pt>
                <c:pt idx="9">
                  <c:v>66.44252723999999</c:v>
                </c:pt>
                <c:pt idx="10">
                  <c:v>64.653356450000004</c:v>
                </c:pt>
                <c:pt idx="11">
                  <c:v>67.880373879999993</c:v>
                </c:pt>
                <c:pt idx="12">
                  <c:v>67.735593130000012</c:v>
                </c:pt>
                <c:pt idx="13">
                  <c:v>64.516525910000013</c:v>
                </c:pt>
                <c:pt idx="14">
                  <c:v>70.607223059999995</c:v>
                </c:pt>
                <c:pt idx="15">
                  <c:v>65.403539020000011</c:v>
                </c:pt>
                <c:pt idx="16">
                  <c:v>66.350149350000009</c:v>
                </c:pt>
                <c:pt idx="17">
                  <c:v>62.814706139999991</c:v>
                </c:pt>
                <c:pt idx="18">
                  <c:v>63.450061339999998</c:v>
                </c:pt>
                <c:pt idx="19">
                  <c:v>64.529375120000012</c:v>
                </c:pt>
                <c:pt idx="20">
                  <c:v>63.034093419999998</c:v>
                </c:pt>
                <c:pt idx="21">
                  <c:v>63.773630869999991</c:v>
                </c:pt>
                <c:pt idx="22">
                  <c:v>61.538711389999996</c:v>
                </c:pt>
                <c:pt idx="23">
                  <c:v>63.29663317</c:v>
                </c:pt>
                <c:pt idx="24">
                  <c:v>56.358510150000001</c:v>
                </c:pt>
                <c:pt idx="25">
                  <c:v>53.587749499999994</c:v>
                </c:pt>
                <c:pt idx="26">
                  <c:v>57.366246520000018</c:v>
                </c:pt>
                <c:pt idx="27">
                  <c:v>56.580926790000007</c:v>
                </c:pt>
                <c:pt idx="28">
                  <c:v>56.420910950000007</c:v>
                </c:pt>
                <c:pt idx="29">
                  <c:v>53.905991059999984</c:v>
                </c:pt>
                <c:pt idx="30">
                  <c:v>55.185964610000021</c:v>
                </c:pt>
                <c:pt idx="31">
                  <c:v>55.209338459999998</c:v>
                </c:pt>
                <c:pt idx="32">
                  <c:v>53.711605400000003</c:v>
                </c:pt>
                <c:pt idx="33">
                  <c:v>54.892717570000002</c:v>
                </c:pt>
                <c:pt idx="34">
                  <c:v>54.544670040000007</c:v>
                </c:pt>
                <c:pt idx="35">
                  <c:v>57.502035589999998</c:v>
                </c:pt>
                <c:pt idx="36">
                  <c:v>65.203964859999999</c:v>
                </c:pt>
                <c:pt idx="37">
                  <c:v>60.79069144999999</c:v>
                </c:pt>
                <c:pt idx="38">
                  <c:v>65.121625880000011</c:v>
                </c:pt>
                <c:pt idx="39">
                  <c:v>60.225157799999991</c:v>
                </c:pt>
                <c:pt idx="40">
                  <c:v>60.388459409999982</c:v>
                </c:pt>
                <c:pt idx="41">
                  <c:v>56.627505579999998</c:v>
                </c:pt>
                <c:pt idx="42">
                  <c:v>57.686371219999998</c:v>
                </c:pt>
                <c:pt idx="43">
                  <c:v>57.886979040000007</c:v>
                </c:pt>
                <c:pt idx="44">
                  <c:v>56.928675890000001</c:v>
                </c:pt>
                <c:pt idx="45">
                  <c:v>58.974330939999994</c:v>
                </c:pt>
                <c:pt idx="46">
                  <c:v>58.279085270000017</c:v>
                </c:pt>
                <c:pt idx="47">
                  <c:v>60.995072310000005</c:v>
                </c:pt>
                <c:pt idx="48">
                  <c:v>62.740842780000001</c:v>
                </c:pt>
                <c:pt idx="49">
                  <c:v>61.101166899999988</c:v>
                </c:pt>
                <c:pt idx="50">
                  <c:v>58.042669630000006</c:v>
                </c:pt>
                <c:pt idx="51">
                  <c:v>47.671779540000003</c:v>
                </c:pt>
                <c:pt idx="52">
                  <c:v>50.204460719999986</c:v>
                </c:pt>
                <c:pt idx="53">
                  <c:v>51.074337320000005</c:v>
                </c:pt>
                <c:pt idx="54">
                  <c:v>54.034672680000021</c:v>
                </c:pt>
                <c:pt idx="55">
                  <c:v>54.589765239999991</c:v>
                </c:pt>
                <c:pt idx="56">
                  <c:v>54.253498820000011</c:v>
                </c:pt>
                <c:pt idx="57">
                  <c:v>57.718177970000013</c:v>
                </c:pt>
                <c:pt idx="58">
                  <c:v>57.390491900000008</c:v>
                </c:pt>
                <c:pt idx="59">
                  <c:v>60.046924780000012</c:v>
                </c:pt>
                <c:pt idx="60">
                  <c:v>63.480852020000007</c:v>
                </c:pt>
                <c:pt idx="61">
                  <c:v>56.17177096999999</c:v>
                </c:pt>
                <c:pt idx="62">
                  <c:v>62.597985410000007</c:v>
                </c:pt>
                <c:pt idx="63">
                  <c:v>58.244922920000022</c:v>
                </c:pt>
                <c:pt idx="64">
                  <c:v>58.24454386</c:v>
                </c:pt>
                <c:pt idx="65">
                  <c:v>55.762457790000013</c:v>
                </c:pt>
                <c:pt idx="66">
                  <c:v>57.394632690000002</c:v>
                </c:pt>
                <c:pt idx="67">
                  <c:v>58.454983420000012</c:v>
                </c:pt>
                <c:pt idx="68">
                  <c:v>59.195570240000009</c:v>
                </c:pt>
                <c:pt idx="69">
                  <c:v>61.747138300000003</c:v>
                </c:pt>
                <c:pt idx="70">
                  <c:v>61.643545180000004</c:v>
                </c:pt>
                <c:pt idx="71">
                  <c:v>63.936887790000007</c:v>
                </c:pt>
                <c:pt idx="72">
                  <c:v>72.820257639999994</c:v>
                </c:pt>
                <c:pt idx="73">
                  <c:v>68.233735260000003</c:v>
                </c:pt>
                <c:pt idx="74">
                  <c:v>75.084151780000013</c:v>
                </c:pt>
                <c:pt idx="75">
                  <c:v>69.143006189999994</c:v>
                </c:pt>
                <c:pt idx="76">
                  <c:v>68.527837330000011</c:v>
                </c:pt>
                <c:pt idx="77">
                  <c:v>65.142231019999997</c:v>
                </c:pt>
                <c:pt idx="78">
                  <c:v>65.405761769999998</c:v>
                </c:pt>
                <c:pt idx="79">
                  <c:v>67.218990690000012</c:v>
                </c:pt>
                <c:pt idx="80">
                  <c:v>67.461474960000004</c:v>
                </c:pt>
                <c:pt idx="81">
                  <c:v>69.562038489999992</c:v>
                </c:pt>
                <c:pt idx="82">
                  <c:v>70.658362660000009</c:v>
                </c:pt>
                <c:pt idx="83">
                  <c:v>74.592576149999999</c:v>
                </c:pt>
                <c:pt idx="84">
                  <c:v>73.24477856</c:v>
                </c:pt>
                <c:pt idx="85">
                  <c:v>71.781025689999993</c:v>
                </c:pt>
                <c:pt idx="86">
                  <c:v>78.606277050000003</c:v>
                </c:pt>
                <c:pt idx="87">
                  <c:v>74.348136429999997</c:v>
                </c:pt>
                <c:pt idx="88">
                  <c:v>70.807982209999992</c:v>
                </c:pt>
                <c:pt idx="89">
                  <c:v>66.769025119999995</c:v>
                </c:pt>
                <c:pt idx="90">
                  <c:v>66.953892140000008</c:v>
                </c:pt>
                <c:pt idx="91">
                  <c:v>67.868027899999987</c:v>
                </c:pt>
                <c:pt idx="92">
                  <c:v>67.571006640000007</c:v>
                </c:pt>
                <c:pt idx="93">
                  <c:v>71.596572510000001</c:v>
                </c:pt>
                <c:pt idx="94">
                  <c:v>71.306930730000005</c:v>
                </c:pt>
                <c:pt idx="95">
                  <c:v>75.062387000000001</c:v>
                </c:pt>
                <c:pt idx="96">
                  <c:v>52.460687317058998</c:v>
                </c:pt>
                <c:pt idx="97">
                  <c:v>50.773455069031414</c:v>
                </c:pt>
                <c:pt idx="98">
                  <c:v>50.127536270000007</c:v>
                </c:pt>
                <c:pt idx="99">
                  <c:v>48.648248070000001</c:v>
                </c:pt>
                <c:pt idx="100">
                  <c:v>48.52664051</c:v>
                </c:pt>
                <c:pt idx="101">
                  <c:v>44.969498489999999</c:v>
                </c:pt>
                <c:pt idx="102">
                  <c:v>47.858150129999999</c:v>
                </c:pt>
                <c:pt idx="103">
                  <c:v>48.601576539999996</c:v>
                </c:pt>
                <c:pt idx="104">
                  <c:v>47.50569397000001</c:v>
                </c:pt>
                <c:pt idx="105">
                  <c:v>49.259041530000005</c:v>
                </c:pt>
                <c:pt idx="106">
                  <c:v>45.762014809999997</c:v>
                </c:pt>
                <c:pt idx="107">
                  <c:v>47.170479320000005</c:v>
                </c:pt>
                <c:pt idx="108">
                  <c:v>54.926967359999992</c:v>
                </c:pt>
                <c:pt idx="109">
                  <c:v>55.347247230000001</c:v>
                </c:pt>
                <c:pt idx="110">
                  <c:v>57.009603730000002</c:v>
                </c:pt>
                <c:pt idx="111">
                  <c:v>53.252244990000008</c:v>
                </c:pt>
                <c:pt idx="112">
                  <c:v>52.471350489999999</c:v>
                </c:pt>
                <c:pt idx="113">
                  <c:v>50.999914160000003</c:v>
                </c:pt>
                <c:pt idx="114">
                  <c:v>52.491004490000016</c:v>
                </c:pt>
                <c:pt idx="115">
                  <c:v>51.856290960000003</c:v>
                </c:pt>
                <c:pt idx="116">
                  <c:v>52.082709269999995</c:v>
                </c:pt>
                <c:pt idx="117">
                  <c:v>52.83250987000001</c:v>
                </c:pt>
                <c:pt idx="118">
                  <c:v>51.322482840000006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B-4857-BBF9-FD20ACF88DAD}"/>
            </c:ext>
          </c:extLst>
        </c:ser>
        <c:ser>
          <c:idx val="2"/>
          <c:order val="3"/>
          <c:tx>
            <c:strRef>
              <c:f>Perfil!$B$19</c:f>
              <c:strCache>
                <c:ptCount val="1"/>
                <c:pt idx="0">
                  <c:v>Venta en COES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rgbClr val="92D050"/>
              </a:solidFill>
            </a:ln>
            <a:effectLst/>
          </c:spPr>
          <c:cat>
            <c:numRef>
              <c:f>Perfil!$C$3:$DR$3</c:f>
              <c:numCache>
                <c:formatCode>mmm\-yy</c:formatCode>
                <c:ptCount val="12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</c:numCache>
            </c:numRef>
          </c:cat>
          <c:val>
            <c:numRef>
              <c:f>Perfil!$C$19:$DR$19</c:f>
              <c:numCache>
                <c:formatCode>_ * #,##0.00_ ;_ * \-#,##0.00_ ;_ * "-"??_ ;_ @_ </c:formatCode>
                <c:ptCount val="120"/>
                <c:pt idx="0">
                  <c:v>26.081763051197598</c:v>
                </c:pt>
                <c:pt idx="1">
                  <c:v>39.7230741426281</c:v>
                </c:pt>
                <c:pt idx="2">
                  <c:v>28.203447523925398</c:v>
                </c:pt>
                <c:pt idx="3">
                  <c:v>35.341813397788201</c:v>
                </c:pt>
                <c:pt idx="4">
                  <c:v>43.647145385600901</c:v>
                </c:pt>
                <c:pt idx="5">
                  <c:v>43.5322929603796</c:v>
                </c:pt>
                <c:pt idx="6">
                  <c:v>46.252634026290302</c:v>
                </c:pt>
                <c:pt idx="7">
                  <c:v>49.007100020299603</c:v>
                </c:pt>
                <c:pt idx="8">
                  <c:v>47.106386586614498</c:v>
                </c:pt>
                <c:pt idx="9">
                  <c:v>52.500203302770103</c:v>
                </c:pt>
                <c:pt idx="10">
                  <c:v>53.5536010944653</c:v>
                </c:pt>
                <c:pt idx="11">
                  <c:v>41.5276793221392</c:v>
                </c:pt>
                <c:pt idx="12">
                  <c:v>29.272657413044502</c:v>
                </c:pt>
                <c:pt idx="13">
                  <c:v>19.489250261981599</c:v>
                </c:pt>
                <c:pt idx="14">
                  <c:v>22.711858653292101</c:v>
                </c:pt>
                <c:pt idx="15">
                  <c:v>46.9749319478533</c:v>
                </c:pt>
                <c:pt idx="16">
                  <c:v>53.403568026368099</c:v>
                </c:pt>
                <c:pt idx="17">
                  <c:v>55.895141435801598</c:v>
                </c:pt>
                <c:pt idx="18">
                  <c:v>67.141649617397505</c:v>
                </c:pt>
                <c:pt idx="19">
                  <c:v>65.521446783838101</c:v>
                </c:pt>
                <c:pt idx="20">
                  <c:v>54.886925967109796</c:v>
                </c:pt>
                <c:pt idx="21">
                  <c:v>64.405112018048797</c:v>
                </c:pt>
                <c:pt idx="22">
                  <c:v>59.448790000000002</c:v>
                </c:pt>
                <c:pt idx="23">
                  <c:v>62.6241716611258</c:v>
                </c:pt>
                <c:pt idx="24">
                  <c:v>58.300336019112613</c:v>
                </c:pt>
                <c:pt idx="25">
                  <c:v>47.443382109594296</c:v>
                </c:pt>
                <c:pt idx="26">
                  <c:v>55.875834707395299</c:v>
                </c:pt>
                <c:pt idx="27">
                  <c:v>28.305500852963</c:v>
                </c:pt>
                <c:pt idx="28">
                  <c:v>15.953719097461301</c:v>
                </c:pt>
                <c:pt idx="29">
                  <c:v>15.7015325206144</c:v>
                </c:pt>
                <c:pt idx="30">
                  <c:v>23.271496933041998</c:v>
                </c:pt>
                <c:pt idx="31">
                  <c:v>20.566977957039597</c:v>
                </c:pt>
                <c:pt idx="32">
                  <c:v>15.858081931066101</c:v>
                </c:pt>
                <c:pt idx="33">
                  <c:v>25.526263413552797</c:v>
                </c:pt>
                <c:pt idx="34">
                  <c:v>27.005591257676702</c:v>
                </c:pt>
                <c:pt idx="35">
                  <c:v>32.040742542608697</c:v>
                </c:pt>
                <c:pt idx="36">
                  <c:v>17.903532899907106</c:v>
                </c:pt>
                <c:pt idx="37">
                  <c:v>47.387778203074902</c:v>
                </c:pt>
                <c:pt idx="38">
                  <c:v>50.636334768890904</c:v>
                </c:pt>
                <c:pt idx="39">
                  <c:v>28.276113077364506</c:v>
                </c:pt>
                <c:pt idx="40">
                  <c:v>9.3500313404893962</c:v>
                </c:pt>
                <c:pt idx="41">
                  <c:v>11.798534953222291</c:v>
                </c:pt>
                <c:pt idx="42">
                  <c:v>12.116977450755003</c:v>
                </c:pt>
                <c:pt idx="43">
                  <c:v>13.609726972367804</c:v>
                </c:pt>
                <c:pt idx="44">
                  <c:v>12.560693980547105</c:v>
                </c:pt>
                <c:pt idx="45">
                  <c:v>18.349408184462597</c:v>
                </c:pt>
                <c:pt idx="46">
                  <c:v>21.218306886188198</c:v>
                </c:pt>
                <c:pt idx="47">
                  <c:v>12.5988616879365</c:v>
                </c:pt>
                <c:pt idx="48">
                  <c:v>28.392408465315871</c:v>
                </c:pt>
                <c:pt idx="49">
                  <c:v>39.655692219595302</c:v>
                </c:pt>
                <c:pt idx="50">
                  <c:v>66.6824298360754</c:v>
                </c:pt>
                <c:pt idx="51">
                  <c:v>55.410090106282993</c:v>
                </c:pt>
                <c:pt idx="52">
                  <c:v>21.564182204392594</c:v>
                </c:pt>
                <c:pt idx="53">
                  <c:v>17.650362737637131</c:v>
                </c:pt>
                <c:pt idx="54">
                  <c:v>16.704738414356413</c:v>
                </c:pt>
                <c:pt idx="55">
                  <c:v>16.036743504252211</c:v>
                </c:pt>
                <c:pt idx="56">
                  <c:v>17.827456264967491</c:v>
                </c:pt>
                <c:pt idx="57">
                  <c:v>19.010820535560278</c:v>
                </c:pt>
                <c:pt idx="58">
                  <c:v>15.878892922187909</c:v>
                </c:pt>
                <c:pt idx="59">
                  <c:v>21.068006532903897</c:v>
                </c:pt>
                <c:pt idx="60">
                  <c:v>38.437478669332009</c:v>
                </c:pt>
                <c:pt idx="61">
                  <c:v>19.87084699014671</c:v>
                </c:pt>
                <c:pt idx="62">
                  <c:v>13.309062513168129</c:v>
                </c:pt>
                <c:pt idx="63">
                  <c:v>47.657441124721117</c:v>
                </c:pt>
                <c:pt idx="64">
                  <c:v>12.063320774598084</c:v>
                </c:pt>
                <c:pt idx="65">
                  <c:v>12.784837777135209</c:v>
                </c:pt>
                <c:pt idx="66">
                  <c:v>13.530924734820116</c:v>
                </c:pt>
                <c:pt idx="67">
                  <c:v>22.754997383936796</c:v>
                </c:pt>
                <c:pt idx="68">
                  <c:v>19.172309240518583</c:v>
                </c:pt>
                <c:pt idx="69">
                  <c:v>18.683701443155705</c:v>
                </c:pt>
                <c:pt idx="70">
                  <c:v>17.527045525963693</c:v>
                </c:pt>
                <c:pt idx="71">
                  <c:v>16.857149105255303</c:v>
                </c:pt>
                <c:pt idx="72">
                  <c:v>4.3786734005234464</c:v>
                </c:pt>
                <c:pt idx="73">
                  <c:v>0</c:v>
                </c:pt>
                <c:pt idx="74">
                  <c:v>14.565245879934155</c:v>
                </c:pt>
                <c:pt idx="75">
                  <c:v>3.1920751738830875</c:v>
                </c:pt>
                <c:pt idx="76">
                  <c:v>2.4968630998906884</c:v>
                </c:pt>
                <c:pt idx="77">
                  <c:v>3.5030439836150036</c:v>
                </c:pt>
                <c:pt idx="78">
                  <c:v>5.5550039374469637</c:v>
                </c:pt>
                <c:pt idx="79">
                  <c:v>14.740830396576973</c:v>
                </c:pt>
                <c:pt idx="80">
                  <c:v>10.939620949252115</c:v>
                </c:pt>
                <c:pt idx="81">
                  <c:v>12.479907719713315</c:v>
                </c:pt>
                <c:pt idx="82">
                  <c:v>7.8433054421598349</c:v>
                </c:pt>
                <c:pt idx="83">
                  <c:v>1.2668766124770481</c:v>
                </c:pt>
                <c:pt idx="84">
                  <c:v>0</c:v>
                </c:pt>
                <c:pt idx="85">
                  <c:v>17.515552742288914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1.6271675977773121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73.313311859125392</c:v>
                </c:pt>
                <c:pt idx="99">
                  <c:v>50.055353179432984</c:v>
                </c:pt>
                <c:pt idx="100">
                  <c:v>17.574992567921399</c:v>
                </c:pt>
                <c:pt idx="101">
                  <c:v>20.382876217350809</c:v>
                </c:pt>
                <c:pt idx="102">
                  <c:v>22.662670352692317</c:v>
                </c:pt>
                <c:pt idx="103">
                  <c:v>25.085684737972901</c:v>
                </c:pt>
                <c:pt idx="104">
                  <c:v>19.524811896111014</c:v>
                </c:pt>
                <c:pt idx="105">
                  <c:v>20.694798141609514</c:v>
                </c:pt>
                <c:pt idx="106">
                  <c:v>21.242955660399303</c:v>
                </c:pt>
                <c:pt idx="107">
                  <c:v>20.994738381507034</c:v>
                </c:pt>
                <c:pt idx="108">
                  <c:v>6.509067782985694</c:v>
                </c:pt>
                <c:pt idx="109">
                  <c:v>22.768830881430027</c:v>
                </c:pt>
                <c:pt idx="110">
                  <c:v>59.247886202993236</c:v>
                </c:pt>
                <c:pt idx="111">
                  <c:v>52.140475719738042</c:v>
                </c:pt>
                <c:pt idx="112">
                  <c:v>15.58165854804038</c:v>
                </c:pt>
                <c:pt idx="113">
                  <c:v>15.987194213215961</c:v>
                </c:pt>
                <c:pt idx="114">
                  <c:v>15.856041957408001</c:v>
                </c:pt>
                <c:pt idx="115">
                  <c:v>18.663543929614555</c:v>
                </c:pt>
                <c:pt idx="116">
                  <c:v>19.2650047595383</c:v>
                </c:pt>
                <c:pt idx="117">
                  <c:v>18.931509933726979</c:v>
                </c:pt>
                <c:pt idx="118">
                  <c:v>17.935785356309875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B-4857-BBF9-FD20ACF88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187695"/>
        <c:axId val="1"/>
      </c:areaChart>
      <c:lineChart>
        <c:grouping val="stacked"/>
        <c:varyColors val="0"/>
        <c:ser>
          <c:idx val="0"/>
          <c:order val="0"/>
          <c:tx>
            <c:strRef>
              <c:f>Perfil!$B$16</c:f>
              <c:strCache>
                <c:ptCount val="1"/>
                <c:pt idx="0">
                  <c:v>Produccion Hidraulica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Perfil!$C$3:$DR$3</c:f>
              <c:numCache>
                <c:formatCode>mmm\-yy</c:formatCode>
                <c:ptCount val="12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</c:numCache>
            </c:numRef>
          </c:cat>
          <c:val>
            <c:numRef>
              <c:f>Perfil!$C$16:$DR$16</c:f>
              <c:numCache>
                <c:formatCode>_ * #,##0.00_ ;_ * \-#,##0.00_ ;_ * "-"??_ ;_ @_ </c:formatCode>
                <c:ptCount val="120"/>
                <c:pt idx="0">
                  <c:v>60.158034853929948</c:v>
                </c:pt>
                <c:pt idx="1">
                  <c:v>65.076945454534638</c:v>
                </c:pt>
                <c:pt idx="2">
                  <c:v>60.982594894689271</c:v>
                </c:pt>
                <c:pt idx="3">
                  <c:v>58.211854958952465</c:v>
                </c:pt>
                <c:pt idx="4">
                  <c:v>59.823945243324715</c:v>
                </c:pt>
                <c:pt idx="5">
                  <c:v>58.18364532225069</c:v>
                </c:pt>
                <c:pt idx="6">
                  <c:v>60.137593423086074</c:v>
                </c:pt>
                <c:pt idx="7">
                  <c:v>59.87791102471828</c:v>
                </c:pt>
                <c:pt idx="8">
                  <c:v>63.369068584748838</c:v>
                </c:pt>
                <c:pt idx="9">
                  <c:v>65.619881949272241</c:v>
                </c:pt>
                <c:pt idx="10">
                  <c:v>62.699924977433703</c:v>
                </c:pt>
                <c:pt idx="11">
                  <c:v>62.77444194817744</c:v>
                </c:pt>
                <c:pt idx="12">
                  <c:v>59.896141770387629</c:v>
                </c:pt>
                <c:pt idx="13">
                  <c:v>53.250432795928155</c:v>
                </c:pt>
                <c:pt idx="14">
                  <c:v>55.788942299135236</c:v>
                </c:pt>
                <c:pt idx="15">
                  <c:v>83.575013533481538</c:v>
                </c:pt>
                <c:pt idx="16">
                  <c:v>65.697036831421229</c:v>
                </c:pt>
                <c:pt idx="17">
                  <c:v>63.563647469010739</c:v>
                </c:pt>
                <c:pt idx="18">
                  <c:v>70.992677524566787</c:v>
                </c:pt>
                <c:pt idx="19">
                  <c:v>71.066877949598563</c:v>
                </c:pt>
                <c:pt idx="20">
                  <c:v>73.941369397188353</c:v>
                </c:pt>
                <c:pt idx="21">
                  <c:v>76.900023717083798</c:v>
                </c:pt>
                <c:pt idx="22">
                  <c:v>73.906989263755179</c:v>
                </c:pt>
                <c:pt idx="23">
                  <c:v>77.140985923228968</c:v>
                </c:pt>
                <c:pt idx="24">
                  <c:v>87.600917828219693</c:v>
                </c:pt>
                <c:pt idx="25">
                  <c:v>90.304641645226084</c:v>
                </c:pt>
                <c:pt idx="26">
                  <c:v>106.81703211057226</c:v>
                </c:pt>
                <c:pt idx="27">
                  <c:v>80.91053203141729</c:v>
                </c:pt>
                <c:pt idx="28">
                  <c:v>65.771018408408793</c:v>
                </c:pt>
                <c:pt idx="29">
                  <c:v>65.738214610257373</c:v>
                </c:pt>
                <c:pt idx="30">
                  <c:v>72.864248142800818</c:v>
                </c:pt>
                <c:pt idx="31">
                  <c:v>72.461096122882893</c:v>
                </c:pt>
                <c:pt idx="32">
                  <c:v>68.790374928791863</c:v>
                </c:pt>
                <c:pt idx="33">
                  <c:v>77.447922332746117</c:v>
                </c:pt>
                <c:pt idx="34">
                  <c:v>73.367825537030186</c:v>
                </c:pt>
                <c:pt idx="35">
                  <c:v>76.94275415660735</c:v>
                </c:pt>
                <c:pt idx="36">
                  <c:v>73.651735781472453</c:v>
                </c:pt>
                <c:pt idx="37">
                  <c:v>96.287401561371539</c:v>
                </c:pt>
                <c:pt idx="38">
                  <c:v>106.47939157577797</c:v>
                </c:pt>
                <c:pt idx="39">
                  <c:v>88.47482931655027</c:v>
                </c:pt>
                <c:pt idx="40">
                  <c:v>69.718655834335493</c:v>
                </c:pt>
                <c:pt idx="41">
                  <c:v>68.400347138747108</c:v>
                </c:pt>
                <c:pt idx="42">
                  <c:v>69.766679708265912</c:v>
                </c:pt>
                <c:pt idx="43">
                  <c:v>71.486035879430162</c:v>
                </c:pt>
                <c:pt idx="44">
                  <c:v>69.146750771526939</c:v>
                </c:pt>
                <c:pt idx="45">
                  <c:v>77.291924391959398</c:v>
                </c:pt>
                <c:pt idx="46">
                  <c:v>79.454519813879585</c:v>
                </c:pt>
                <c:pt idx="47">
                  <c:v>73.482251183097659</c:v>
                </c:pt>
                <c:pt idx="48">
                  <c:v>91.112492698494535</c:v>
                </c:pt>
                <c:pt idx="49">
                  <c:v>100.7156854701562</c:v>
                </c:pt>
                <c:pt idx="50">
                  <c:v>124.72417616194812</c:v>
                </c:pt>
                <c:pt idx="51">
                  <c:v>103.08008603795437</c:v>
                </c:pt>
                <c:pt idx="52">
                  <c:v>71.765298222747802</c:v>
                </c:pt>
                <c:pt idx="53">
                  <c:v>68.723066762258568</c:v>
                </c:pt>
                <c:pt idx="54">
                  <c:v>70.735926648901554</c:v>
                </c:pt>
                <c:pt idx="55">
                  <c:v>70.62479869095317</c:v>
                </c:pt>
                <c:pt idx="56">
                  <c:v>72.057659993643952</c:v>
                </c:pt>
                <c:pt idx="57">
                  <c:v>76.679020813140966</c:v>
                </c:pt>
                <c:pt idx="58">
                  <c:v>73.219928871957563</c:v>
                </c:pt>
                <c:pt idx="59">
                  <c:v>81.08732885048515</c:v>
                </c:pt>
                <c:pt idx="60">
                  <c:v>101.9154068982598</c:v>
                </c:pt>
                <c:pt idx="61">
                  <c:v>76.036645322696074</c:v>
                </c:pt>
                <c:pt idx="62">
                  <c:v>75.878114787436559</c:v>
                </c:pt>
                <c:pt idx="63">
                  <c:v>105.88437616632379</c:v>
                </c:pt>
                <c:pt idx="64">
                  <c:v>70.257066622634369</c:v>
                </c:pt>
                <c:pt idx="65">
                  <c:v>68.543505730482906</c:v>
                </c:pt>
                <c:pt idx="66">
                  <c:v>70.702635202059554</c:v>
                </c:pt>
                <c:pt idx="67">
                  <c:v>81.043552789742591</c:v>
                </c:pt>
                <c:pt idx="68">
                  <c:v>78.144978759754153</c:v>
                </c:pt>
                <c:pt idx="69">
                  <c:v>80.255438278041737</c:v>
                </c:pt>
                <c:pt idx="70">
                  <c:v>79.024339608794321</c:v>
                </c:pt>
                <c:pt idx="71">
                  <c:v>80.595013359234969</c:v>
                </c:pt>
                <c:pt idx="72">
                  <c:v>77.013280690865955</c:v>
                </c:pt>
                <c:pt idx="73">
                  <c:v>64.441130648209523</c:v>
                </c:pt>
                <c:pt idx="74">
                  <c:v>89.46600782733384</c:v>
                </c:pt>
                <c:pt idx="75">
                  <c:v>72.174875921626779</c:v>
                </c:pt>
                <c:pt idx="76">
                  <c:v>70.844923143256182</c:v>
                </c:pt>
                <c:pt idx="77">
                  <c:v>68.463553713866474</c:v>
                </c:pt>
                <c:pt idx="78">
                  <c:v>70.747875758704211</c:v>
                </c:pt>
                <c:pt idx="79">
                  <c:v>81.775845707489992</c:v>
                </c:pt>
                <c:pt idx="80">
                  <c:v>77.794420766889274</c:v>
                </c:pt>
                <c:pt idx="81">
                  <c:v>81.773951585725698</c:v>
                </c:pt>
                <c:pt idx="82">
                  <c:v>75.07854770050568</c:v>
                </c:pt>
                <c:pt idx="83">
                  <c:v>75.528337207678959</c:v>
                </c:pt>
                <c:pt idx="84">
                  <c:v>63.850886603970984</c:v>
                </c:pt>
                <c:pt idx="85">
                  <c:v>89.163789867793284</c:v>
                </c:pt>
                <c:pt idx="86">
                  <c:v>66.073044341697255</c:v>
                </c:pt>
                <c:pt idx="87">
                  <c:v>55.225117287877254</c:v>
                </c:pt>
                <c:pt idx="88">
                  <c:v>62.107027631233308</c:v>
                </c:pt>
                <c:pt idx="89">
                  <c:v>60.077061101980412</c:v>
                </c:pt>
                <c:pt idx="90">
                  <c:v>61.305861447359959</c:v>
                </c:pt>
                <c:pt idx="91">
                  <c:v>62.983051720260306</c:v>
                </c:pt>
                <c:pt idx="92">
                  <c:v>66.030715200667871</c:v>
                </c:pt>
                <c:pt idx="93">
                  <c:v>66.663947811196408</c:v>
                </c:pt>
                <c:pt idx="94">
                  <c:v>67.220200981560453</c:v>
                </c:pt>
                <c:pt idx="95">
                  <c:v>63.89383817742268</c:v>
                </c:pt>
                <c:pt idx="96">
                  <c:v>51.622010006725944</c:v>
                </c:pt>
                <c:pt idx="97">
                  <c:v>47.445578982194007</c:v>
                </c:pt>
                <c:pt idx="98">
                  <c:v>123.29386505429416</c:v>
                </c:pt>
                <c:pt idx="99">
                  <c:v>98.546760989952787</c:v>
                </c:pt>
                <c:pt idx="100">
                  <c:v>65.977476565850665</c:v>
                </c:pt>
                <c:pt idx="101">
                  <c:v>65.181792136084383</c:v>
                </c:pt>
                <c:pt idx="102">
                  <c:v>70.335028998004248</c:v>
                </c:pt>
                <c:pt idx="103">
                  <c:v>73.555119906996822</c:v>
                </c:pt>
                <c:pt idx="104">
                  <c:v>66.813049290721068</c:v>
                </c:pt>
                <c:pt idx="105">
                  <c:v>69.786249097133123</c:v>
                </c:pt>
                <c:pt idx="106">
                  <c:v>66.881319330342606</c:v>
                </c:pt>
                <c:pt idx="107">
                  <c:v>67.972470279194582</c:v>
                </c:pt>
                <c:pt idx="108">
                  <c:v>62.352351963107786</c:v>
                </c:pt>
                <c:pt idx="109">
                  <c:v>79.0927417198223</c:v>
                </c:pt>
                <c:pt idx="110">
                  <c:v>117.64144802205134</c:v>
                </c:pt>
                <c:pt idx="111">
                  <c:v>106.7167106824819</c:v>
                </c:pt>
                <c:pt idx="112">
                  <c:v>68.894001989040461</c:v>
                </c:pt>
                <c:pt idx="113">
                  <c:v>67.840654911735243</c:v>
                </c:pt>
                <c:pt idx="114">
                  <c:v>69.228410966214682</c:v>
                </c:pt>
                <c:pt idx="115">
                  <c:v>71.420498093232382</c:v>
                </c:pt>
                <c:pt idx="116">
                  <c:v>71.904493460492134</c:v>
                </c:pt>
                <c:pt idx="117">
                  <c:v>72.704543555509531</c:v>
                </c:pt>
                <c:pt idx="118">
                  <c:v>70.135253733356606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2B-4857-BBF9-FD20ACF88DAD}"/>
            </c:ext>
          </c:extLst>
        </c:ser>
        <c:ser>
          <c:idx val="4"/>
          <c:order val="1"/>
          <c:tx>
            <c:strRef>
              <c:f>Perfil!$B$17</c:f>
              <c:strCache>
                <c:ptCount val="1"/>
                <c:pt idx="0">
                  <c:v>Produccion Termica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Perfil!$C$3:$DR$3</c:f>
              <c:numCache>
                <c:formatCode>mmm\-yy</c:formatCode>
                <c:ptCount val="12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</c:numCache>
            </c:numRef>
          </c:cat>
          <c:val>
            <c:numRef>
              <c:f>Perfil!$C$17:$DR$17</c:f>
              <c:numCache>
                <c:formatCode>_ * #,##0.00_ ;_ * \-#,##0.00_ ;_ * "-"??_ ;_ @_ </c:formatCode>
                <c:ptCount val="120"/>
                <c:pt idx="0">
                  <c:v>37.742080337267645</c:v>
                </c:pt>
                <c:pt idx="1">
                  <c:v>43.941353408093462</c:v>
                </c:pt>
                <c:pt idx="2">
                  <c:v>37.384096309236128</c:v>
                </c:pt>
                <c:pt idx="3">
                  <c:v>44.691774238835741</c:v>
                </c:pt>
                <c:pt idx="4">
                  <c:v>52.163290212276195</c:v>
                </c:pt>
                <c:pt idx="5">
                  <c:v>50.404525558128903</c:v>
                </c:pt>
                <c:pt idx="6">
                  <c:v>52.342860323204221</c:v>
                </c:pt>
                <c:pt idx="7">
                  <c:v>56.980796575581294</c:v>
                </c:pt>
                <c:pt idx="8">
                  <c:v>49.719373041865659</c:v>
                </c:pt>
                <c:pt idx="9">
                  <c:v>53.322848593497852</c:v>
                </c:pt>
                <c:pt idx="10">
                  <c:v>55.50703256703158</c:v>
                </c:pt>
                <c:pt idx="11">
                  <c:v>46.63361125396176</c:v>
                </c:pt>
                <c:pt idx="12">
                  <c:v>37.112108772656867</c:v>
                </c:pt>
                <c:pt idx="13">
                  <c:v>30.755343376053446</c:v>
                </c:pt>
                <c:pt idx="14">
                  <c:v>37.530139414156857</c:v>
                </c:pt>
                <c:pt idx="15">
                  <c:v>28.803457434371772</c:v>
                </c:pt>
                <c:pt idx="16">
                  <c:v>54.056680544946872</c:v>
                </c:pt>
                <c:pt idx="17">
                  <c:v>55.14620010679085</c:v>
                </c:pt>
                <c:pt idx="18">
                  <c:v>59.599033432830701</c:v>
                </c:pt>
                <c:pt idx="19">
                  <c:v>58.98394395423955</c:v>
                </c:pt>
                <c:pt idx="20">
                  <c:v>43.979649989921434</c:v>
                </c:pt>
                <c:pt idx="21">
                  <c:v>51.278719170965012</c:v>
                </c:pt>
                <c:pt idx="22">
                  <c:v>47.080512126244827</c:v>
                </c:pt>
                <c:pt idx="23">
                  <c:v>48.779818907896839</c:v>
                </c:pt>
                <c:pt idx="24">
                  <c:v>27.057928340892918</c:v>
                </c:pt>
                <c:pt idx="25">
                  <c:v>10.726489964368206</c:v>
                </c:pt>
                <c:pt idx="26">
                  <c:v>6.4250491168230601</c:v>
                </c:pt>
                <c:pt idx="27">
                  <c:v>3.975895611545714</c:v>
                </c:pt>
                <c:pt idx="28">
                  <c:v>6.603611639052505</c:v>
                </c:pt>
                <c:pt idx="29">
                  <c:v>3.869308970357026</c:v>
                </c:pt>
                <c:pt idx="30">
                  <c:v>1.5523213503006037</c:v>
                </c:pt>
                <c:pt idx="31">
                  <c:v>1.4425240166981095</c:v>
                </c:pt>
                <c:pt idx="32">
                  <c:v>0.77931240227423693</c:v>
                </c:pt>
                <c:pt idx="33">
                  <c:v>1.3367785835301957</c:v>
                </c:pt>
                <c:pt idx="34">
                  <c:v>8.1824357606465377</c:v>
                </c:pt>
                <c:pt idx="35">
                  <c:v>12.600023976001356</c:v>
                </c:pt>
                <c:pt idx="36">
                  <c:v>9.4557619784346354</c:v>
                </c:pt>
                <c:pt idx="37">
                  <c:v>11.891068091703348</c:v>
                </c:pt>
                <c:pt idx="38">
                  <c:v>9.2785690731129424</c:v>
                </c:pt>
                <c:pt idx="39">
                  <c:v>2.6441560814223993E-2</c:v>
                </c:pt>
                <c:pt idx="40">
                  <c:v>1.983491615389326E-2</c:v>
                </c:pt>
                <c:pt idx="41">
                  <c:v>2.5693394475166324E-2</c:v>
                </c:pt>
                <c:pt idx="42">
                  <c:v>3.6668962489102203E-2</c:v>
                </c:pt>
                <c:pt idx="43">
                  <c:v>1.0670132937639682E-2</c:v>
                </c:pt>
                <c:pt idx="44">
                  <c:v>0.34261909902016013</c:v>
                </c:pt>
                <c:pt idx="45">
                  <c:v>3.1814732503211422E-2</c:v>
                </c:pt>
                <c:pt idx="46">
                  <c:v>4.2872342308647469E-2</c:v>
                </c:pt>
                <c:pt idx="47">
                  <c:v>0.11168281483884723</c:v>
                </c:pt>
                <c:pt idx="48">
                  <c:v>2.0758546821331662E-2</c:v>
                </c:pt>
                <c:pt idx="49">
                  <c:v>4.1173649439104697E-2</c:v>
                </c:pt>
                <c:pt idx="50">
                  <c:v>9.2330412728220648E-4</c:v>
                </c:pt>
                <c:pt idx="51">
                  <c:v>1.7836083286230035E-3</c:v>
                </c:pt>
                <c:pt idx="52">
                  <c:v>3.344701644784764E-3</c:v>
                </c:pt>
                <c:pt idx="53">
                  <c:v>1.6332953785672503E-3</c:v>
                </c:pt>
                <c:pt idx="54">
                  <c:v>3.484445454876577E-3</c:v>
                </c:pt>
                <c:pt idx="55">
                  <c:v>1.7100532990432435E-3</c:v>
                </c:pt>
                <c:pt idx="56">
                  <c:v>2.3295091323554368E-2</c:v>
                </c:pt>
                <c:pt idx="57">
                  <c:v>4.9977692419318154E-2</c:v>
                </c:pt>
                <c:pt idx="58">
                  <c:v>4.9455950230339281E-2</c:v>
                </c:pt>
                <c:pt idx="59">
                  <c:v>2.7602462418755972E-2</c:v>
                </c:pt>
                <c:pt idx="60">
                  <c:v>2.9237910722167888E-3</c:v>
                </c:pt>
                <c:pt idx="61">
                  <c:v>5.9726374506279796E-3</c:v>
                </c:pt>
                <c:pt idx="62">
                  <c:v>2.8933135731584535E-2</c:v>
                </c:pt>
                <c:pt idx="63">
                  <c:v>1.7987878397345818E-2</c:v>
                </c:pt>
                <c:pt idx="64">
                  <c:v>5.0798011963692748E-2</c:v>
                </c:pt>
                <c:pt idx="65">
                  <c:v>3.7898366523144459E-3</c:v>
                </c:pt>
                <c:pt idx="66">
                  <c:v>6.8073430291737416E-2</c:v>
                </c:pt>
                <c:pt idx="67">
                  <c:v>1.2698798161808763E-2</c:v>
                </c:pt>
                <c:pt idx="68">
                  <c:v>7.5915737204053271E-2</c:v>
                </c:pt>
                <c:pt idx="69">
                  <c:v>2.4572779914211907E-2</c:v>
                </c:pt>
                <c:pt idx="70">
                  <c:v>3.6585025931261061E-3</c:v>
                </c:pt>
                <c:pt idx="71">
                  <c:v>5.2711246511464513E-2</c:v>
                </c:pt>
                <c:pt idx="72">
                  <c:v>3.8346142215075159E-2</c:v>
                </c:pt>
                <c:pt idx="73">
                  <c:v>2.5486760002838862E-2</c:v>
                </c:pt>
                <c:pt idx="74">
                  <c:v>3.0443740207202384E-2</c:v>
                </c:pt>
                <c:pt idx="75">
                  <c:v>2.3418009593166516E-2</c:v>
                </c:pt>
                <c:pt idx="76">
                  <c:v>3.6857408127621893E-2</c:v>
                </c:pt>
                <c:pt idx="77">
                  <c:v>4.2242325303564664E-2</c:v>
                </c:pt>
                <c:pt idx="78">
                  <c:v>8.1937095954480982E-2</c:v>
                </c:pt>
                <c:pt idx="79">
                  <c:v>4.0106830605139761E-2</c:v>
                </c:pt>
                <c:pt idx="80">
                  <c:v>0.47017091355356699</c:v>
                </c:pt>
                <c:pt idx="81">
                  <c:v>0.14205237262705417</c:v>
                </c:pt>
                <c:pt idx="82">
                  <c:v>2.965305234595748</c:v>
                </c:pt>
                <c:pt idx="83">
                  <c:v>0.21602016933969251</c:v>
                </c:pt>
                <c:pt idx="84">
                  <c:v>6.7485145099921463E-3</c:v>
                </c:pt>
                <c:pt idx="85">
                  <c:v>3.7443977940529553E-2</c:v>
                </c:pt>
                <c:pt idx="86">
                  <c:v>8.5584189336895031E-2</c:v>
                </c:pt>
                <c:pt idx="87">
                  <c:v>2.7192281840368929E-2</c:v>
                </c:pt>
                <c:pt idx="88">
                  <c:v>9.9050603473572682E-2</c:v>
                </c:pt>
                <c:pt idx="89">
                  <c:v>8.3197450854734539E-2</c:v>
                </c:pt>
                <c:pt idx="90">
                  <c:v>0.44769554449968679</c:v>
                </c:pt>
                <c:pt idx="91">
                  <c:v>0.57549266100195928</c:v>
                </c:pt>
                <c:pt idx="92">
                  <c:v>6.4737067153504732E-2</c:v>
                </c:pt>
                <c:pt idx="93">
                  <c:v>1.3372853174217242E-2</c:v>
                </c:pt>
                <c:pt idx="94">
                  <c:v>0.48062936979133214</c:v>
                </c:pt>
                <c:pt idx="95">
                  <c:v>1.6759341064813602E-3</c:v>
                </c:pt>
                <c:pt idx="96">
                  <c:v>3.4319524898485707E-2</c:v>
                </c:pt>
                <c:pt idx="97">
                  <c:v>5.7851243938169372E-2</c:v>
                </c:pt>
                <c:pt idx="98">
                  <c:v>3.7413804322884957E-2</c:v>
                </c:pt>
                <c:pt idx="99">
                  <c:v>5.2271445997390413E-2</c:v>
                </c:pt>
                <c:pt idx="100">
                  <c:v>1.6310543550708902E-2</c:v>
                </c:pt>
                <c:pt idx="101">
                  <c:v>6.6495014472040856E-2</c:v>
                </c:pt>
                <c:pt idx="102">
                  <c:v>7.5001911477999075E-2</c:v>
                </c:pt>
                <c:pt idx="103">
                  <c:v>2.2332082351056787E-2</c:v>
                </c:pt>
                <c:pt idx="104">
                  <c:v>0.10922250048123519</c:v>
                </c:pt>
                <c:pt idx="105">
                  <c:v>5.9799111141804466E-2</c:v>
                </c:pt>
                <c:pt idx="106">
                  <c:v>1.9919215715845484E-2</c:v>
                </c:pt>
                <c:pt idx="107">
                  <c:v>8.3523421285003216E-2</c:v>
                </c:pt>
                <c:pt idx="108">
                  <c:v>2.1835212246855792E-2</c:v>
                </c:pt>
                <c:pt idx="109">
                  <c:v>8.2588042585419241E-2</c:v>
                </c:pt>
                <c:pt idx="110">
                  <c:v>8.6349657442311198E-2</c:v>
                </c:pt>
                <c:pt idx="111">
                  <c:v>3.1942260676781124E-2</c:v>
                </c:pt>
                <c:pt idx="112">
                  <c:v>0.10620592877538353</c:v>
                </c:pt>
                <c:pt idx="113">
                  <c:v>3.8542179991532345E-2</c:v>
                </c:pt>
                <c:pt idx="114">
                  <c:v>3.669183176300729E-2</c:v>
                </c:pt>
                <c:pt idx="115">
                  <c:v>2.9397895773981587E-2</c:v>
                </c:pt>
                <c:pt idx="116">
                  <c:v>0.39219918272461596</c:v>
                </c:pt>
                <c:pt idx="117">
                  <c:v>0</c:v>
                </c:pt>
                <c:pt idx="118">
                  <c:v>1.8466948307701493E-2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2B-4857-BBF9-FD20ACF88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187695"/>
        <c:axId val="1"/>
      </c:lineChart>
      <c:dateAx>
        <c:axId val="188318769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PE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Energía 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PE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(kWh)</a:t>
                </a:r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88318769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wMode val="edge"/>
          <c:hMode val="edge"/>
          <c:x val="0.11392757234459616"/>
          <c:y val="0.87022931091566014"/>
          <c:w val="0.79939187348416896"/>
          <c:h val="0.9908912848416798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lt1"/>
    </a:solidFill>
    <a:ln w="3175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609600</xdr:colOff>
      <xdr:row>22</xdr:row>
      <xdr:rowOff>114300</xdr:rowOff>
    </xdr:from>
    <xdr:to>
      <xdr:col>26</xdr:col>
      <xdr:colOff>533400</xdr:colOff>
      <xdr:row>47</xdr:row>
      <xdr:rowOff>142875</xdr:rowOff>
    </xdr:to>
    <xdr:pic>
      <xdr:nvPicPr>
        <xdr:cNvPr id="122349" name="1 Imagen">
          <a:extLst>
            <a:ext uri="{FF2B5EF4-FFF2-40B4-BE49-F238E27FC236}">
              <a16:creationId xmlns:a16="http://schemas.microsoft.com/office/drawing/2014/main" id="{E59F988F-6182-703C-4B1D-A038D7EAA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9450" y="4200525"/>
          <a:ext cx="6657975" cy="449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161925</xdr:rowOff>
    </xdr:from>
    <xdr:to>
      <xdr:col>9</xdr:col>
      <xdr:colOff>133350</xdr:colOff>
      <xdr:row>46</xdr:row>
      <xdr:rowOff>28575</xdr:rowOff>
    </xdr:to>
    <xdr:graphicFrame macro="">
      <xdr:nvGraphicFramePr>
        <xdr:cNvPr id="1539242" name="Chart 2">
          <a:extLst>
            <a:ext uri="{FF2B5EF4-FFF2-40B4-BE49-F238E27FC236}">
              <a16:creationId xmlns:a16="http://schemas.microsoft.com/office/drawing/2014/main" id="{ADF081F8-6562-62E4-72FA-0D0BA1B7A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85725</xdr:colOff>
      <xdr:row>15</xdr:row>
      <xdr:rowOff>28575</xdr:rowOff>
    </xdr:from>
    <xdr:to>
      <xdr:col>21</xdr:col>
      <xdr:colOff>447675</xdr:colOff>
      <xdr:row>45</xdr:row>
      <xdr:rowOff>133350</xdr:rowOff>
    </xdr:to>
    <xdr:graphicFrame macro="">
      <xdr:nvGraphicFramePr>
        <xdr:cNvPr id="1539243" name="Chart 3">
          <a:extLst>
            <a:ext uri="{FF2B5EF4-FFF2-40B4-BE49-F238E27FC236}">
              <a16:creationId xmlns:a16="http://schemas.microsoft.com/office/drawing/2014/main" id="{03D96781-ECC1-2918-454B-EA20E5469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85725</xdr:colOff>
      <xdr:row>61</xdr:row>
      <xdr:rowOff>123825</xdr:rowOff>
    </xdr:from>
    <xdr:to>
      <xdr:col>11</xdr:col>
      <xdr:colOff>400050</xdr:colOff>
      <xdr:row>92</xdr:row>
      <xdr:rowOff>114300</xdr:rowOff>
    </xdr:to>
    <xdr:graphicFrame macro="">
      <xdr:nvGraphicFramePr>
        <xdr:cNvPr id="1539244" name="Chart 1">
          <a:extLst>
            <a:ext uri="{FF2B5EF4-FFF2-40B4-BE49-F238E27FC236}">
              <a16:creationId xmlns:a16="http://schemas.microsoft.com/office/drawing/2014/main" id="{A6E2C6EC-2619-7977-354B-C74CEB106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15</xdr:row>
      <xdr:rowOff>0</xdr:rowOff>
    </xdr:from>
    <xdr:to>
      <xdr:col>34</xdr:col>
      <xdr:colOff>361950</xdr:colOff>
      <xdr:row>45</xdr:row>
      <xdr:rowOff>104775</xdr:rowOff>
    </xdr:to>
    <xdr:graphicFrame macro="">
      <xdr:nvGraphicFramePr>
        <xdr:cNvPr id="1539245" name="Chart 3">
          <a:extLst>
            <a:ext uri="{FF2B5EF4-FFF2-40B4-BE49-F238E27FC236}">
              <a16:creationId xmlns:a16="http://schemas.microsoft.com/office/drawing/2014/main" id="{4F224CEB-684D-23A4-BAD3-37AB05959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110</xdr:col>
      <xdr:colOff>333375</xdr:colOff>
      <xdr:row>58</xdr:row>
      <xdr:rowOff>104775</xdr:rowOff>
    </xdr:from>
    <xdr:to>
      <xdr:col>135</xdr:col>
      <xdr:colOff>142875</xdr:colOff>
      <xdr:row>90</xdr:row>
      <xdr:rowOff>133350</xdr:rowOff>
    </xdr:to>
    <xdr:graphicFrame macro="">
      <xdr:nvGraphicFramePr>
        <xdr:cNvPr id="250426" name="Chart 4">
          <a:extLst>
            <a:ext uri="{FF2B5EF4-FFF2-40B4-BE49-F238E27FC236}">
              <a16:creationId xmlns:a16="http://schemas.microsoft.com/office/drawing/2014/main" id="{CCDE6F96-BD89-AF41-786F-488233F35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110</xdr:col>
      <xdr:colOff>457200</xdr:colOff>
      <xdr:row>23</xdr:row>
      <xdr:rowOff>19050</xdr:rowOff>
    </xdr:from>
    <xdr:to>
      <xdr:col>135</xdr:col>
      <xdr:colOff>266700</xdr:colOff>
      <xdr:row>55</xdr:row>
      <xdr:rowOff>47625</xdr:rowOff>
    </xdr:to>
    <xdr:graphicFrame macro="">
      <xdr:nvGraphicFramePr>
        <xdr:cNvPr id="250427" name="Chart 4">
          <a:extLst>
            <a:ext uri="{FF2B5EF4-FFF2-40B4-BE49-F238E27FC236}">
              <a16:creationId xmlns:a16="http://schemas.microsoft.com/office/drawing/2014/main" id="{D4F5C135-D464-F72B-58F1-40BC103A2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110</xdr:col>
      <xdr:colOff>333375</xdr:colOff>
      <xdr:row>92</xdr:row>
      <xdr:rowOff>66675</xdr:rowOff>
    </xdr:from>
    <xdr:to>
      <xdr:col>135</xdr:col>
      <xdr:colOff>142875</xdr:colOff>
      <xdr:row>124</xdr:row>
      <xdr:rowOff>95250</xdr:rowOff>
    </xdr:to>
    <xdr:graphicFrame macro="">
      <xdr:nvGraphicFramePr>
        <xdr:cNvPr id="250428" name="Chart 4">
          <a:extLst>
            <a:ext uri="{FF2B5EF4-FFF2-40B4-BE49-F238E27FC236}">
              <a16:creationId xmlns:a16="http://schemas.microsoft.com/office/drawing/2014/main" id="{76B43182-87DE-B576-68BB-36A9D319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gasacompe-my.sharepoint.com/EGASA/Comercial/Facturacion/VTE/Resumen%20V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gasacompe-my.sharepoint.com/EGASA/Comercial/Facturacion/Facturacio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gasacompe-my.sharepoint.com/EGASA/Comercial/Facturacion/Facturacion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gasacompe-my.sharepoint.com/EGASA/Proveido/2023/11/Pagos/Compra%20y%20Venta%20noviembre%20-%20202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gasacompe-my.sharepoint.com/Milton/EGASA/Comercial/Facturacion/Facturacion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gasacompe-my.sharepoint.com/EGASA/Comercial/Produccion/2024/Producci&#243;n%20Mensual%20de%20Energ&#237;a%20-%20202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gasacompe-my.sharepoint.com/EGASA/Comercial/Facturacion/Facturacion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gasacompe-my.sharepoint.com/Milton/EGASA/Comercial/Produccion/2024/Producci&#243;n%20Mensual%20de%20Energ&#237;a%20-%20202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gasacompe-my.sharepoint.com/Milton/EGASA/Comercial/Produccion/2024/1/Producci&#243;n%20Mensual%20de%20Energ&#237;a%20-%20202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GerenciaComercial/Gerencia%20Comercial%20estructura%20propuesta/01%20GC-DC%20Comercializaci&#243;n/1%20Facturaci&#243;n/Clientes/Facturacio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r0"/>
      <sheetName val="17R1"/>
      <sheetName val="18a"/>
      <sheetName val="18b"/>
      <sheetName val="19a"/>
      <sheetName val="19b"/>
      <sheetName val="20a"/>
      <sheetName val="20b"/>
      <sheetName val="21a"/>
      <sheetName val="21b"/>
      <sheetName val="22a"/>
      <sheetName val="22b"/>
      <sheetName val="23a"/>
      <sheetName val="23b"/>
      <sheetName val="R1"/>
      <sheetName val="24a"/>
      <sheetName val="24b"/>
      <sheetName val="25a"/>
      <sheetName val="25b"/>
      <sheetName val="R"/>
      <sheetName val="Pis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89">
          <cell r="D89">
            <v>38437.478669332006</v>
          </cell>
          <cell r="E89">
            <v>19870.846990146711</v>
          </cell>
          <cell r="F89">
            <v>13309.06251316813</v>
          </cell>
          <cell r="G89">
            <v>47657.441124721117</v>
          </cell>
          <cell r="H89">
            <v>12063.320774598084</v>
          </cell>
          <cell r="I89">
            <v>12784.83777713521</v>
          </cell>
          <cell r="J89">
            <v>13530.924734820117</v>
          </cell>
          <cell r="K89">
            <v>22754.997383936796</v>
          </cell>
          <cell r="L89">
            <v>19172.309240518582</v>
          </cell>
          <cell r="M89">
            <v>18683.701443155704</v>
          </cell>
          <cell r="N89">
            <v>17527.045525963695</v>
          </cell>
          <cell r="O89">
            <v>16857.149105255303</v>
          </cell>
        </row>
        <row r="114">
          <cell r="D114">
            <v>4378.6606804430776</v>
          </cell>
          <cell r="E114">
            <v>-3707.1505911343775</v>
          </cell>
          <cell r="F114">
            <v>14565.250433207213</v>
          </cell>
          <cell r="G114">
            <v>3192.075147870084</v>
          </cell>
          <cell r="H114">
            <v>2500.1929402049864</v>
          </cell>
          <cell r="I114">
            <v>3503.0439836155929</v>
          </cell>
          <cell r="J114">
            <v>5557.2716942364787</v>
          </cell>
          <cell r="K114">
            <v>14740.831164475618</v>
          </cell>
          <cell r="L114">
            <v>10936.695548286472</v>
          </cell>
          <cell r="M114">
            <v>12509.793877763586</v>
          </cell>
          <cell r="N114">
            <v>7841.7553451031272</v>
          </cell>
          <cell r="O114">
            <v>1266.8765716645867</v>
          </cell>
        </row>
      </sheetData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"/>
      <sheetName val="&amp;1"/>
      <sheetName val="&amp;2"/>
      <sheetName val="&amp;3"/>
      <sheetName val="&amp;4"/>
      <sheetName val="&amp;5"/>
      <sheetName val="&amp;6"/>
      <sheetName val="&amp;7"/>
      <sheetName val="&amp;8"/>
      <sheetName val="&amp;9"/>
      <sheetName val="&amp;10"/>
      <sheetName val="&amp;11"/>
      <sheetName val="&amp;12"/>
      <sheetName val="R"/>
      <sheetName val="Balance"/>
      <sheetName val="Licitados"/>
      <sheetName val="Bilateral"/>
      <sheetName val="Libres"/>
      <sheetName val="P"/>
      <sheetName val="ID"/>
      <sheetName val="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4">
          <cell r="D74">
            <v>11798.489700000002</v>
          </cell>
          <cell r="E74">
            <v>10713.77094</v>
          </cell>
          <cell r="F74">
            <v>12331.583580000002</v>
          </cell>
          <cell r="G74">
            <v>11334.68197</v>
          </cell>
          <cell r="H74">
            <v>11445.130949999999</v>
          </cell>
          <cell r="I74">
            <v>11117.628150000002</v>
          </cell>
          <cell r="J74">
            <v>11248.599410000001</v>
          </cell>
          <cell r="K74">
            <v>11221.016820000001</v>
          </cell>
          <cell r="L74">
            <v>10983.79141</v>
          </cell>
          <cell r="M74">
            <v>11310.517680000001</v>
          </cell>
          <cell r="N74">
            <v>11190.639429999999</v>
          </cell>
          <cell r="O74">
            <v>11644.30803</v>
          </cell>
        </row>
        <row r="75">
          <cell r="D75">
            <v>30391.952280000009</v>
          </cell>
          <cell r="E75">
            <v>27495.518199999995</v>
          </cell>
          <cell r="F75">
            <v>31737.708899999998</v>
          </cell>
          <cell r="G75">
            <v>29010.898570000005</v>
          </cell>
          <cell r="H75">
            <v>29297.966270000001</v>
          </cell>
          <cell r="I75">
            <v>28728.296690000006</v>
          </cell>
          <cell r="J75">
            <v>29295.4823</v>
          </cell>
          <cell r="K75">
            <v>29202.380339999996</v>
          </cell>
          <cell r="L75">
            <v>28644.162719999997</v>
          </cell>
          <cell r="M75">
            <v>29281.726939999997</v>
          </cell>
          <cell r="N75">
            <v>28693.09463</v>
          </cell>
          <cell r="O75">
            <v>29829.49653</v>
          </cell>
        </row>
        <row r="76">
          <cell r="D76">
            <v>624.17912999999999</v>
          </cell>
          <cell r="E76">
            <v>574.11058000000003</v>
          </cell>
          <cell r="F76">
            <v>655.65674999999999</v>
          </cell>
          <cell r="G76">
            <v>592.73228000000006</v>
          </cell>
          <cell r="H76">
            <v>562.27498000000003</v>
          </cell>
          <cell r="I76">
            <v>531.03036999999995</v>
          </cell>
          <cell r="J76">
            <v>559.26357000000007</v>
          </cell>
          <cell r="K76">
            <v>551.93904000000009</v>
          </cell>
          <cell r="L76">
            <v>557.57553000000007</v>
          </cell>
          <cell r="M76">
            <v>581.30595999999991</v>
          </cell>
          <cell r="N76">
            <v>563.3777</v>
          </cell>
          <cell r="O76">
            <v>611.50962000000015</v>
          </cell>
        </row>
        <row r="77">
          <cell r="D77">
            <v>1236.44805</v>
          </cell>
          <cell r="E77">
            <v>1117.42821</v>
          </cell>
          <cell r="F77">
            <v>1248.6028499999998</v>
          </cell>
          <cell r="G77">
            <v>1162.40148</v>
          </cell>
          <cell r="H77">
            <v>1173.07134</v>
          </cell>
          <cell r="I77">
            <v>1121.37049</v>
          </cell>
          <cell r="J77">
            <v>1155.6085199999998</v>
          </cell>
          <cell r="K77">
            <v>1150.0756500000002</v>
          </cell>
          <cell r="L77">
            <v>1139.3790800000002</v>
          </cell>
          <cell r="M77">
            <v>1185.73677</v>
          </cell>
          <cell r="N77">
            <v>1172.4338</v>
          </cell>
          <cell r="O77">
            <v>1256.10211</v>
          </cell>
        </row>
        <row r="78">
          <cell r="D78">
            <v>892.78964999999994</v>
          </cell>
          <cell r="E78">
            <v>786.77377000000001</v>
          </cell>
          <cell r="F78">
            <v>891.10140999999987</v>
          </cell>
          <cell r="G78">
            <v>864.13310000000013</v>
          </cell>
          <cell r="H78">
            <v>918.35962999999992</v>
          </cell>
          <cell r="I78">
            <v>929.15510000000006</v>
          </cell>
          <cell r="J78">
            <v>975.91939000000013</v>
          </cell>
          <cell r="K78">
            <v>1013.1736000000001</v>
          </cell>
          <cell r="L78">
            <v>1021.3749800000001</v>
          </cell>
          <cell r="M78">
            <v>1039.35455</v>
          </cell>
          <cell r="N78">
            <v>986.56173000000001</v>
          </cell>
          <cell r="O78">
            <v>978.16109000000006</v>
          </cell>
        </row>
        <row r="79">
          <cell r="D79">
            <v>759.92550000000006</v>
          </cell>
          <cell r="E79">
            <v>697.56756000000007</v>
          </cell>
          <cell r="F79">
            <v>823.36295999999993</v>
          </cell>
          <cell r="G79">
            <v>791.75203999999997</v>
          </cell>
          <cell r="H79">
            <v>840.35552000000007</v>
          </cell>
          <cell r="I79">
            <v>858.32623000000001</v>
          </cell>
          <cell r="J79">
            <v>896.19375999999988</v>
          </cell>
          <cell r="K79">
            <v>870.34384999999997</v>
          </cell>
          <cell r="L79">
            <v>879.92854</v>
          </cell>
          <cell r="M79">
            <v>898.54853999999989</v>
          </cell>
          <cell r="N79">
            <v>845.77976000000012</v>
          </cell>
          <cell r="O79">
            <v>882.84753000000001</v>
          </cell>
        </row>
        <row r="80">
          <cell r="D80">
            <v>1419.0863700000002</v>
          </cell>
          <cell r="E80">
            <v>1271.6073299999998</v>
          </cell>
          <cell r="F80">
            <v>1423.2257500000001</v>
          </cell>
          <cell r="G80">
            <v>1360.92073</v>
          </cell>
          <cell r="H80">
            <v>1411.26659</v>
          </cell>
          <cell r="I80">
            <v>1370.4137499999999</v>
          </cell>
          <cell r="J80">
            <v>1404.9998900000001</v>
          </cell>
          <cell r="K80">
            <v>1393.1473800000001</v>
          </cell>
          <cell r="L80">
            <v>1372.2401200000002</v>
          </cell>
          <cell r="M80">
            <v>1396.4090199999998</v>
          </cell>
          <cell r="N80">
            <v>1377.3433300000002</v>
          </cell>
          <cell r="O80">
            <v>1453.45298</v>
          </cell>
        </row>
        <row r="81">
          <cell r="D81">
            <v>2209.4275899999998</v>
          </cell>
          <cell r="E81">
            <v>2185.7337799999996</v>
          </cell>
          <cell r="F81">
            <v>1889.3387600000003</v>
          </cell>
          <cell r="G81">
            <v>1927.5793500000002</v>
          </cell>
          <cell r="H81">
            <v>1838.9595800000002</v>
          </cell>
          <cell r="I81">
            <v>1415.84719</v>
          </cell>
          <cell r="J81">
            <v>1643.2194399999998</v>
          </cell>
          <cell r="K81">
            <v>1896.9163400000002</v>
          </cell>
          <cell r="L81">
            <v>1886.49622</v>
          </cell>
          <cell r="M81">
            <v>1593.4900000000002</v>
          </cell>
          <cell r="N81">
            <v>1788.0503299999998</v>
          </cell>
          <cell r="O81">
            <v>1941.3447900000001</v>
          </cell>
        </row>
        <row r="82">
          <cell r="D82">
            <v>56.026089999999996</v>
          </cell>
          <cell r="E82">
            <v>51.247970000000009</v>
          </cell>
          <cell r="F82">
            <v>60.358239999999995</v>
          </cell>
          <cell r="G82">
            <v>57.757780000000004</v>
          </cell>
          <cell r="H82">
            <v>57.748670000000004</v>
          </cell>
          <cell r="I82">
            <v>58.451560000000001</v>
          </cell>
          <cell r="J82">
            <v>60.247009999999996</v>
          </cell>
          <cell r="K82">
            <v>59.553470000000004</v>
          </cell>
          <cell r="L82">
            <v>56.180820000000004</v>
          </cell>
          <cell r="M82">
            <v>57.764650000000003</v>
          </cell>
          <cell r="N82">
            <v>55.126930000000002</v>
          </cell>
          <cell r="O82">
            <v>56.463549999999998</v>
          </cell>
        </row>
        <row r="83">
          <cell r="D83">
            <v>9176.2663799999991</v>
          </cell>
          <cell r="E83">
            <v>6586.5278699999999</v>
          </cell>
          <cell r="F83">
            <v>6120.1563799999985</v>
          </cell>
          <cell r="G83">
            <v>6054.3344299999999</v>
          </cell>
          <cell r="H83">
            <v>5357.0921900000003</v>
          </cell>
          <cell r="I83">
            <v>4442.6854999999996</v>
          </cell>
          <cell r="J83">
            <v>4978.6818400000002</v>
          </cell>
          <cell r="K83">
            <v>5934.2664000000004</v>
          </cell>
          <cell r="L83">
            <v>7586.5682099999995</v>
          </cell>
          <cell r="M83">
            <v>9424.6581400000014</v>
          </cell>
          <cell r="N83">
            <v>10075.046400000001</v>
          </cell>
          <cell r="O83">
            <v>10418.29255</v>
          </cell>
        </row>
        <row r="85">
          <cell r="D85">
            <v>1100.73731</v>
          </cell>
          <cell r="E85">
            <v>1106.06708</v>
          </cell>
          <cell r="F85">
            <v>1222.9028800000001</v>
          </cell>
          <cell r="G85">
            <v>1158.19487</v>
          </cell>
          <cell r="H85">
            <v>1147.9442099999999</v>
          </cell>
          <cell r="I85">
            <v>893.24268999999993</v>
          </cell>
          <cell r="J85">
            <v>876.60816</v>
          </cell>
          <cell r="K85">
            <v>994.69029999999998</v>
          </cell>
          <cell r="L85">
            <v>924.3421699999999</v>
          </cell>
          <cell r="M85">
            <v>870.91852000000006</v>
          </cell>
          <cell r="N85">
            <v>880.0265599999999</v>
          </cell>
          <cell r="O85">
            <v>805.24576000000002</v>
          </cell>
        </row>
        <row r="86">
          <cell r="D86">
            <v>1115.2247500000001</v>
          </cell>
          <cell r="E86">
            <v>1127.85159</v>
          </cell>
          <cell r="F86">
            <v>1390.4486099999999</v>
          </cell>
          <cell r="G86">
            <v>1292.7852399999999</v>
          </cell>
          <cell r="H86">
            <v>1408.82798</v>
          </cell>
          <cell r="I86">
            <v>1469.6871100000001</v>
          </cell>
          <cell r="J86">
            <v>1423.1244299999998</v>
          </cell>
          <cell r="K86">
            <v>1331.6703200000002</v>
          </cell>
          <cell r="L86">
            <v>1397.9092700000001</v>
          </cell>
          <cell r="M86">
            <v>1319.0775599999999</v>
          </cell>
          <cell r="N86">
            <v>1197.6429800000001</v>
          </cell>
          <cell r="O86">
            <v>1157.9522400000003</v>
          </cell>
        </row>
        <row r="87">
          <cell r="D87">
            <v>207.99198999999999</v>
          </cell>
          <cell r="E87">
            <v>220.43746000000002</v>
          </cell>
          <cell r="F87">
            <v>313.38253000000003</v>
          </cell>
          <cell r="G87">
            <v>307.42023</v>
          </cell>
          <cell r="H87">
            <v>341.43939999999998</v>
          </cell>
          <cell r="I87">
            <v>348.90965999999997</v>
          </cell>
          <cell r="J87">
            <v>362.39371</v>
          </cell>
          <cell r="K87">
            <v>346.32562000000001</v>
          </cell>
          <cell r="L87">
            <v>327.87546999999995</v>
          </cell>
          <cell r="M87">
            <v>305.57182</v>
          </cell>
          <cell r="N87">
            <v>306.45332000000002</v>
          </cell>
          <cell r="O87">
            <v>308.43416000000002</v>
          </cell>
        </row>
        <row r="88">
          <cell r="D88">
            <v>880.73916999999994</v>
          </cell>
          <cell r="E88">
            <v>880.66829999999993</v>
          </cell>
          <cell r="F88">
            <v>957.61934999999983</v>
          </cell>
          <cell r="G88">
            <v>918.99825999999996</v>
          </cell>
          <cell r="H88">
            <v>964.46020999999996</v>
          </cell>
          <cell r="I88">
            <v>969.33173999999997</v>
          </cell>
          <cell r="J88">
            <v>951.12009</v>
          </cell>
          <cell r="K88">
            <v>931.3152</v>
          </cell>
          <cell r="L88">
            <v>956.40114999999992</v>
          </cell>
          <cell r="M88">
            <v>1003.18624</v>
          </cell>
          <cell r="N88">
            <v>989.30381000000011</v>
          </cell>
          <cell r="O88">
            <v>974.67380000000003</v>
          </cell>
        </row>
        <row r="89">
          <cell r="D89">
            <v>138.93511999999998</v>
          </cell>
          <cell r="E89">
            <v>131.48661999999999</v>
          </cell>
          <cell r="F89">
            <v>142.05346</v>
          </cell>
          <cell r="G89">
            <v>130.80500000000001</v>
          </cell>
          <cell r="H89">
            <v>166.88114999999999</v>
          </cell>
          <cell r="I89">
            <v>160.67279000000002</v>
          </cell>
          <cell r="J89">
            <v>160.44413</v>
          </cell>
          <cell r="K89">
            <v>161.87913999999998</v>
          </cell>
          <cell r="L89">
            <v>166.50742</v>
          </cell>
          <cell r="M89">
            <v>159.15458999999998</v>
          </cell>
          <cell r="N89">
            <v>176.48505</v>
          </cell>
          <cell r="O89">
            <v>143.52892</v>
          </cell>
        </row>
        <row r="90">
          <cell r="D90">
            <v>421.62270999999998</v>
          </cell>
          <cell r="E90">
            <v>262.32990000000001</v>
          </cell>
          <cell r="F90">
            <v>326.39299</v>
          </cell>
          <cell r="G90">
            <v>235.18348999999998</v>
          </cell>
          <cell r="H90">
            <v>208.68147000000002</v>
          </cell>
          <cell r="I90">
            <v>223.10753</v>
          </cell>
          <cell r="J90">
            <v>261.58352000000002</v>
          </cell>
          <cell r="K90">
            <v>277.7724</v>
          </cell>
          <cell r="L90">
            <v>210.65786000000003</v>
          </cell>
          <cell r="M90">
            <v>164.27636999999999</v>
          </cell>
          <cell r="N90">
            <v>255.00623999999999</v>
          </cell>
          <cell r="O90">
            <v>357.94067999999999</v>
          </cell>
        </row>
        <row r="91">
          <cell r="D91">
            <v>945.84474</v>
          </cell>
          <cell r="E91">
            <v>862.38749000000007</v>
          </cell>
          <cell r="F91">
            <v>958.80193000000008</v>
          </cell>
          <cell r="G91">
            <v>945.99560999999983</v>
          </cell>
          <cell r="H91">
            <v>982.24257000000011</v>
          </cell>
          <cell r="I91">
            <v>954.33492999999999</v>
          </cell>
          <cell r="J91">
            <v>976.72669999999994</v>
          </cell>
          <cell r="K91">
            <v>965.74416999999994</v>
          </cell>
          <cell r="L91">
            <v>915.63212999999985</v>
          </cell>
          <cell r="M91">
            <v>953.06113999999991</v>
          </cell>
          <cell r="N91">
            <v>899.45828000000006</v>
          </cell>
          <cell r="O91">
            <v>942.75303999999994</v>
          </cell>
        </row>
        <row r="92">
          <cell r="D92">
            <v>105.16549000000001</v>
          </cell>
          <cell r="E92">
            <v>100.25632</v>
          </cell>
          <cell r="F92">
            <v>105.28808000000001</v>
          </cell>
          <cell r="G92">
            <v>98.348489999999998</v>
          </cell>
          <cell r="H92">
            <v>121.84115</v>
          </cell>
          <cell r="I92">
            <v>114.31867</v>
          </cell>
          <cell r="J92">
            <v>106.73179</v>
          </cell>
          <cell r="K92">
            <v>63.777869999999993</v>
          </cell>
          <cell r="L92">
            <v>80.54070999999999</v>
          </cell>
          <cell r="M92">
            <v>98.694450000000003</v>
          </cell>
          <cell r="N92">
            <v>39.275030000000008</v>
          </cell>
          <cell r="O92">
            <v>11.764280000000001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55.647640000000003</v>
          </cell>
          <cell r="J93">
            <v>50.576730000000005</v>
          </cell>
          <cell r="K93">
            <v>62.933899999999994</v>
          </cell>
          <cell r="L93">
            <v>65.127859999999998</v>
          </cell>
          <cell r="M93">
            <v>79.008440000000007</v>
          </cell>
          <cell r="N93">
            <v>98.14312000000001</v>
          </cell>
          <cell r="O93">
            <v>106.32275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7.1082999999999998</v>
          </cell>
          <cell r="K94">
            <v>26.061610000000002</v>
          </cell>
          <cell r="L94">
            <v>22.87857</v>
          </cell>
          <cell r="M94">
            <v>24.676919999999999</v>
          </cell>
          <cell r="N94">
            <v>24.6051</v>
          </cell>
          <cell r="O94">
            <v>25.425419999999999</v>
          </cell>
        </row>
        <row r="95"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>
            <v>29.691650000000003</v>
          </cell>
          <cell r="O95">
            <v>30.86796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"/>
      <sheetName val="&amp;1"/>
      <sheetName val="&amp;2"/>
      <sheetName val="&amp;3"/>
      <sheetName val="&amp;4"/>
      <sheetName val="&amp;5"/>
      <sheetName val="&amp;6"/>
      <sheetName val="&amp;7"/>
      <sheetName val="&amp;8"/>
      <sheetName val="&amp;9"/>
      <sheetName val="&amp;10"/>
      <sheetName val="&amp;11"/>
      <sheetName val="&amp;12"/>
      <sheetName val="R"/>
      <sheetName val="Balance"/>
      <sheetName val="BalanceV"/>
      <sheetName val="Licitados"/>
      <sheetName val="Bilateral"/>
      <sheetName val="Libres"/>
      <sheetName val="P"/>
      <sheetName val="ID"/>
      <sheetName val="Sheet1"/>
      <sheetName val="PT"/>
      <sheetName val="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4">
          <cell r="D74">
            <v>13241.770420000001</v>
          </cell>
          <cell r="E74">
            <v>12282.05046</v>
          </cell>
          <cell r="F74">
            <v>13803.49401</v>
          </cell>
          <cell r="G74">
            <v>12621.595660000001</v>
          </cell>
          <cell r="H74">
            <v>12840.428729999998</v>
          </cell>
          <cell r="I74">
            <v>12332.854200000003</v>
          </cell>
          <cell r="J74">
            <v>12484.40612</v>
          </cell>
          <cell r="K74">
            <v>12619.216</v>
          </cell>
          <cell r="L74">
            <v>12315.05789</v>
          </cell>
          <cell r="M74">
            <v>12575.338</v>
          </cell>
          <cell r="N74">
            <v>12588.75203</v>
          </cell>
          <cell r="O74">
            <v>13378.773739999999</v>
          </cell>
        </row>
        <row r="75">
          <cell r="D75">
            <v>38497.813829999999</v>
          </cell>
          <cell r="E75">
            <v>35642.547610000001</v>
          </cell>
          <cell r="F75">
            <v>40153.250659999998</v>
          </cell>
          <cell r="G75">
            <v>36606.065390000003</v>
          </cell>
          <cell r="H75">
            <v>37166.347190000008</v>
          </cell>
          <cell r="I75">
            <v>35990.085799999993</v>
          </cell>
          <cell r="J75">
            <v>36592.777199999997</v>
          </cell>
          <cell r="K75">
            <v>37177.736779999999</v>
          </cell>
          <cell r="L75">
            <v>36200.792600000008</v>
          </cell>
          <cell r="M75">
            <v>36876.177759999999</v>
          </cell>
          <cell r="N75">
            <v>36425.180260000008</v>
          </cell>
          <cell r="O75">
            <v>38625.638780000001</v>
          </cell>
        </row>
        <row r="76">
          <cell r="D76">
            <v>1361.9329600000001</v>
          </cell>
          <cell r="E76">
            <v>1257.03844</v>
          </cell>
          <cell r="F76">
            <v>1386.3933100000002</v>
          </cell>
          <cell r="G76">
            <v>1294.1971099999998</v>
          </cell>
          <cell r="H76">
            <v>1298.0632599999997</v>
          </cell>
          <cell r="I76">
            <v>1242.0160000000001</v>
          </cell>
          <cell r="J76">
            <v>1258.6811399999999</v>
          </cell>
          <cell r="K76">
            <v>1261.5877499999999</v>
          </cell>
          <cell r="L76">
            <v>1232.64688</v>
          </cell>
          <cell r="M76">
            <v>1307.93813</v>
          </cell>
          <cell r="N76">
            <v>1319.8010699999998</v>
          </cell>
          <cell r="O76">
            <v>1407.9710600000001</v>
          </cell>
        </row>
        <row r="77">
          <cell r="D77">
            <v>935.87391000000014</v>
          </cell>
          <cell r="E77">
            <v>846.46357</v>
          </cell>
          <cell r="F77">
            <v>961.59951999999998</v>
          </cell>
          <cell r="G77">
            <v>950.44726999999989</v>
          </cell>
          <cell r="H77">
            <v>999.87716000000012</v>
          </cell>
          <cell r="I77">
            <v>982.74446000000012</v>
          </cell>
          <cell r="J77">
            <v>1053.73359</v>
          </cell>
          <cell r="K77">
            <v>1495.7675699999998</v>
          </cell>
          <cell r="L77">
            <v>1467.8354500000003</v>
          </cell>
          <cell r="M77">
            <v>1563.8700300000003</v>
          </cell>
          <cell r="N77">
            <v>1503.8707100000001</v>
          </cell>
          <cell r="O77">
            <v>1438.1752200000001</v>
          </cell>
        </row>
        <row r="78">
          <cell r="D78">
            <v>888.00484999999981</v>
          </cell>
          <cell r="E78">
            <v>839.89986999999996</v>
          </cell>
          <cell r="F78">
            <v>903.61070999999993</v>
          </cell>
          <cell r="G78">
            <v>911.90021000000002</v>
          </cell>
          <cell r="H78">
            <v>931.03751</v>
          </cell>
          <cell r="I78">
            <v>951.7933300000002</v>
          </cell>
          <cell r="J78">
            <v>989.08831000000009</v>
          </cell>
          <cell r="K78">
            <v>949.6336</v>
          </cell>
          <cell r="L78">
            <v>969.74331000000006</v>
          </cell>
          <cell r="M78">
            <v>968.24823000000026</v>
          </cell>
          <cell r="N78">
            <v>922.64372000000014</v>
          </cell>
          <cell r="O78">
            <v>961.39201000000003</v>
          </cell>
        </row>
        <row r="79">
          <cell r="D79">
            <v>1525.01081</v>
          </cell>
          <cell r="E79">
            <v>1393.1935000000003</v>
          </cell>
          <cell r="F79">
            <v>1557.65428</v>
          </cell>
          <cell r="G79">
            <v>1481.4776199999999</v>
          </cell>
          <cell r="H79">
            <v>1525.1279400000001</v>
          </cell>
          <cell r="I79">
            <v>1490.5834600000003</v>
          </cell>
          <cell r="J79">
            <v>1519.6596300000001</v>
          </cell>
          <cell r="K79">
            <v>1525.5105800000001</v>
          </cell>
          <cell r="L79">
            <v>1492.17399</v>
          </cell>
          <cell r="M79">
            <v>1542.66074</v>
          </cell>
          <cell r="N79">
            <v>1514.7393699999998</v>
          </cell>
          <cell r="O79">
            <v>1567.8657199999998</v>
          </cell>
        </row>
        <row r="80">
          <cell r="D80">
            <v>2129.03692</v>
          </cell>
          <cell r="E80">
            <v>2028.11112</v>
          </cell>
          <cell r="F80">
            <v>2108.0343800000001</v>
          </cell>
          <cell r="G80">
            <v>1962.0957600000002</v>
          </cell>
          <cell r="H80">
            <v>1678.0634900000002</v>
          </cell>
          <cell r="I80">
            <v>1819.3040499999997</v>
          </cell>
          <cell r="J80">
            <v>2053.2412400000003</v>
          </cell>
          <cell r="K80">
            <v>1894.3732200000002</v>
          </cell>
          <cell r="L80">
            <v>2028.1586299999999</v>
          </cell>
          <cell r="M80">
            <v>1742.6135599999998</v>
          </cell>
          <cell r="N80">
            <v>2359.4590200000002</v>
          </cell>
          <cell r="O80">
            <v>2263.1009200000003</v>
          </cell>
        </row>
        <row r="81">
          <cell r="D81">
            <v>56.703560000000003</v>
          </cell>
          <cell r="E81">
            <v>52.016560000000005</v>
          </cell>
          <cell r="F81">
            <v>62.193820000000002</v>
          </cell>
          <cell r="G81">
            <v>57.203160000000004</v>
          </cell>
          <cell r="H81">
            <v>58.594979999999993</v>
          </cell>
          <cell r="I81">
            <v>56.456479999999999</v>
          </cell>
          <cell r="J81">
            <v>56.617560000000005</v>
          </cell>
          <cell r="K81">
            <v>61.990219999999994</v>
          </cell>
          <cell r="L81">
            <v>57.121840000000013</v>
          </cell>
          <cell r="M81">
            <v>59.244839999999996</v>
          </cell>
          <cell r="N81">
            <v>60.155380000000008</v>
          </cell>
          <cell r="O81">
            <v>60.39461</v>
          </cell>
        </row>
        <row r="82">
          <cell r="D82">
            <v>9973.6213000000007</v>
          </cell>
          <cell r="E82">
            <v>9971.725550000001</v>
          </cell>
          <cell r="F82">
            <v>9831.8700099999987</v>
          </cell>
          <cell r="G82">
            <v>9099.02621</v>
          </cell>
          <cell r="H82">
            <v>7749.4365300000009</v>
          </cell>
          <cell r="I82">
            <v>6144.8121300000003</v>
          </cell>
          <cell r="J82">
            <v>5528.53935</v>
          </cell>
          <cell r="K82">
            <v>6247.3662399999994</v>
          </cell>
          <cell r="L82">
            <v>7716.9503100000002</v>
          </cell>
          <cell r="M82">
            <v>9045.8317499999994</v>
          </cell>
          <cell r="N82">
            <v>10328.627899999999</v>
          </cell>
          <cell r="O82">
            <v>10896.847580000001</v>
          </cell>
        </row>
        <row r="86">
          <cell r="D86">
            <v>899.86658000000011</v>
          </cell>
          <cell r="E86">
            <v>832.42496999999992</v>
          </cell>
          <cell r="F86">
            <v>762.23281000000009</v>
          </cell>
          <cell r="G86">
            <v>781.25132999999994</v>
          </cell>
          <cell r="H86">
            <v>727.45101999999997</v>
          </cell>
          <cell r="I86">
            <v>777.43704000000002</v>
          </cell>
          <cell r="J86">
            <v>813.25525000000005</v>
          </cell>
          <cell r="K86">
            <v>834.22503000000006</v>
          </cell>
          <cell r="L86">
            <v>745.3210600000001</v>
          </cell>
          <cell r="M86">
            <v>753.79178000000002</v>
          </cell>
          <cell r="N86">
            <v>727.35005000000001</v>
          </cell>
          <cell r="O86">
            <v>870.89962000000003</v>
          </cell>
        </row>
        <row r="87">
          <cell r="D87">
            <v>1250.1948200000002</v>
          </cell>
          <cell r="E87">
            <v>1296.8951900000002</v>
          </cell>
          <cell r="F87">
            <v>1538.02656</v>
          </cell>
          <cell r="G87">
            <v>1415.5393599999998</v>
          </cell>
          <cell r="H87">
            <v>1485.8012699999999</v>
          </cell>
          <cell r="I87">
            <v>1414.58845</v>
          </cell>
          <cell r="J87">
            <v>1065.0295599999999</v>
          </cell>
          <cell r="K87">
            <v>1126.5349699999999</v>
          </cell>
          <cell r="L87">
            <v>1136.2583100000002</v>
          </cell>
          <cell r="M87">
            <v>1171.77207</v>
          </cell>
          <cell r="N87">
            <v>1257.7506600000002</v>
          </cell>
          <cell r="O87">
            <v>1136.33806</v>
          </cell>
        </row>
        <row r="88">
          <cell r="D88">
            <v>326.54276999999996</v>
          </cell>
          <cell r="E88">
            <v>305.84465</v>
          </cell>
          <cell r="F88">
            <v>333.80289999999997</v>
          </cell>
          <cell r="G88">
            <v>352.56890000000004</v>
          </cell>
          <cell r="H88">
            <v>405.13867999999997</v>
          </cell>
          <cell r="I88">
            <v>415.89987000000002</v>
          </cell>
          <cell r="J88">
            <v>387.98727000000002</v>
          </cell>
          <cell r="K88">
            <v>370.30984000000001</v>
          </cell>
          <cell r="L88">
            <v>362.33556999999996</v>
          </cell>
          <cell r="M88">
            <v>331.83856999999995</v>
          </cell>
          <cell r="N88">
            <v>328.59697</v>
          </cell>
          <cell r="O88">
            <v>338.16287</v>
          </cell>
        </row>
        <row r="89">
          <cell r="D89">
            <v>155.83989</v>
          </cell>
          <cell r="E89">
            <v>146.51076999999998</v>
          </cell>
          <cell r="F89">
            <v>158.61616000000001</v>
          </cell>
          <cell r="G89">
            <v>161.33157</v>
          </cell>
          <cell r="H89">
            <v>172.98801</v>
          </cell>
          <cell r="I89">
            <v>179.14108999999999</v>
          </cell>
          <cell r="J89">
            <v>161.71794</v>
          </cell>
          <cell r="K89">
            <v>188.44078999999999</v>
          </cell>
          <cell r="L89">
            <v>186.31517000000002</v>
          </cell>
          <cell r="M89">
            <v>191.99095</v>
          </cell>
          <cell r="N89">
            <v>183.03450999999998</v>
          </cell>
          <cell r="O89">
            <v>157.97319999999999</v>
          </cell>
        </row>
        <row r="90">
          <cell r="D90">
            <v>455.35035999999997</v>
          </cell>
          <cell r="E90">
            <v>310.35821000000004</v>
          </cell>
          <cell r="F90">
            <v>327.22132999999997</v>
          </cell>
          <cell r="G90">
            <v>276.15980999999999</v>
          </cell>
          <cell r="H90">
            <v>270.01695999999998</v>
          </cell>
          <cell r="I90">
            <v>174.65110000000001</v>
          </cell>
          <cell r="J90">
            <v>246.17968999999999</v>
          </cell>
          <cell r="K90">
            <v>319.06682999999998</v>
          </cell>
          <cell r="L90">
            <v>299.87313</v>
          </cell>
          <cell r="M90">
            <v>209.92122000000001</v>
          </cell>
          <cell r="N90">
            <v>178.09720000000002</v>
          </cell>
          <cell r="O90">
            <v>360.18045000000001</v>
          </cell>
        </row>
        <row r="91">
          <cell r="D91">
            <v>949.22348999999997</v>
          </cell>
          <cell r="E91">
            <v>875.22761000000003</v>
          </cell>
          <cell r="F91">
            <v>993.53640000000019</v>
          </cell>
          <cell r="G91">
            <v>968.32399999999996</v>
          </cell>
          <cell r="H91">
            <v>1011.874</v>
          </cell>
          <cell r="I91">
            <v>967.86540000000002</v>
          </cell>
          <cell r="J91">
            <v>991.23258999999996</v>
          </cell>
          <cell r="K91">
            <v>938.54039000000012</v>
          </cell>
          <cell r="L91">
            <v>939.2178100000001</v>
          </cell>
          <cell r="M91">
            <v>907.04446999999993</v>
          </cell>
          <cell r="N91">
            <v>590.35289</v>
          </cell>
          <cell r="O91">
            <v>716.46336999999994</v>
          </cell>
        </row>
        <row r="92">
          <cell r="D92">
            <v>8.0373900000000003</v>
          </cell>
          <cell r="E92">
            <v>5.658030000000001</v>
          </cell>
          <cell r="F92">
            <v>6.6264800000000008</v>
          </cell>
          <cell r="G92">
            <v>8.7020499999999998</v>
          </cell>
          <cell r="H92">
            <v>6.6763199999999996</v>
          </cell>
          <cell r="I92">
            <v>6.2440899999999999</v>
          </cell>
          <cell r="J92">
            <v>14.25972</v>
          </cell>
          <cell r="K92">
            <v>17.118980000000001</v>
          </cell>
          <cell r="L92">
            <v>104.7196</v>
          </cell>
          <cell r="M92">
            <v>102.53888999999999</v>
          </cell>
          <cell r="N92">
            <v>156.20782</v>
          </cell>
          <cell r="O92">
            <v>211.30477000000002</v>
          </cell>
        </row>
        <row r="93">
          <cell r="D93">
            <v>109.0149</v>
          </cell>
          <cell r="E93">
            <v>100.50804000000001</v>
          </cell>
          <cell r="F93">
            <v>111.0795</v>
          </cell>
          <cell r="G93">
            <v>100.94198999999999</v>
          </cell>
          <cell r="H93">
            <v>101.42869999999999</v>
          </cell>
          <cell r="I93">
            <v>96.777100000000004</v>
          </cell>
          <cell r="J93">
            <v>100.4683</v>
          </cell>
          <cell r="K93">
            <v>103.72418</v>
          </cell>
          <cell r="L93">
            <v>101.05806999999999</v>
          </cell>
          <cell r="M93">
            <v>108.79876000000002</v>
          </cell>
          <cell r="N93">
            <v>110.56180999999999</v>
          </cell>
          <cell r="O93">
            <v>121.24518</v>
          </cell>
        </row>
        <row r="94">
          <cell r="D94">
            <v>24.740179999999999</v>
          </cell>
          <cell r="E94">
            <v>15.159700000000001</v>
          </cell>
          <cell r="F94">
            <v>21.625070000000001</v>
          </cell>
          <cell r="G94">
            <v>25.693470000000001</v>
          </cell>
          <cell r="H94">
            <v>25.674739999999996</v>
          </cell>
          <cell r="I94">
            <v>27.86429</v>
          </cell>
          <cell r="J94">
            <v>28.283560000000001</v>
          </cell>
          <cell r="K94">
            <v>27.20186</v>
          </cell>
          <cell r="L94">
            <v>27.04336</v>
          </cell>
          <cell r="M94">
            <v>26.338570000000001</v>
          </cell>
          <cell r="N94">
            <v>25.418759999999999</v>
          </cell>
          <cell r="O94">
            <v>26.67586</v>
          </cell>
        </row>
        <row r="95">
          <cell r="D95">
            <v>31.678699999999999</v>
          </cell>
          <cell r="E95">
            <v>32.101410000000001</v>
          </cell>
          <cell r="F95">
            <v>63.28387</v>
          </cell>
          <cell r="G95">
            <v>68.485319999999987</v>
          </cell>
          <cell r="H95">
            <v>73.810839999999999</v>
          </cell>
          <cell r="I95">
            <v>71.112679999999997</v>
          </cell>
          <cell r="J95">
            <v>60.603749999999998</v>
          </cell>
          <cell r="K95">
            <v>60.645859999999999</v>
          </cell>
          <cell r="L95">
            <v>78.851979999999998</v>
          </cell>
          <cell r="M95">
            <v>76.080169999999995</v>
          </cell>
          <cell r="N95">
            <v>77.762529999999998</v>
          </cell>
          <cell r="O95">
            <v>53.17313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s"/>
      <sheetName val="Compra"/>
      <sheetName val="C"/>
      <sheetName val="data"/>
      <sheetName val="FOSE"/>
      <sheetName val="Notas Contables"/>
      <sheetName val="Balance"/>
      <sheetName val="Resumen"/>
      <sheetName val="D1"/>
      <sheetName val="Hoja1"/>
    </sheetNames>
    <sheetDataSet>
      <sheetData sheetId="0"/>
      <sheetData sheetId="1"/>
      <sheetData sheetId="2"/>
      <sheetData sheetId="3">
        <row r="471">
          <cell r="P471">
            <v>12769243.130000001</v>
          </cell>
        </row>
        <row r="472">
          <cell r="P472">
            <v>37423299.489999995</v>
          </cell>
        </row>
        <row r="473">
          <cell r="P473">
            <v>1282382.29</v>
          </cell>
        </row>
        <row r="474">
          <cell r="P474">
            <v>1394714.4700000002</v>
          </cell>
        </row>
        <row r="475">
          <cell r="P475">
            <v>974179.67999999993</v>
          </cell>
        </row>
        <row r="476">
          <cell r="P476">
            <v>1556302.56</v>
          </cell>
        </row>
        <row r="477">
          <cell r="P477">
            <v>2244933.98</v>
          </cell>
        </row>
        <row r="478">
          <cell r="P478">
            <v>59871.97</v>
          </cell>
        </row>
        <row r="479">
          <cell r="P479">
            <v>10531022.300000001</v>
          </cell>
        </row>
        <row r="481">
          <cell r="P481">
            <v>836087.19000000006</v>
          </cell>
        </row>
        <row r="482">
          <cell r="P482">
            <v>1225429.1499999999</v>
          </cell>
        </row>
        <row r="483">
          <cell r="P483">
            <v>222095.34999999998</v>
          </cell>
        </row>
        <row r="484">
          <cell r="P484">
            <v>191876.27</v>
          </cell>
        </row>
        <row r="485">
          <cell r="P485">
            <v>395529.91000000003</v>
          </cell>
        </row>
        <row r="486">
          <cell r="P486">
            <v>129449.85</v>
          </cell>
        </row>
        <row r="487">
          <cell r="P487">
            <v>0</v>
          </cell>
        </row>
        <row r="488">
          <cell r="P488">
            <v>70513.14</v>
          </cell>
        </row>
        <row r="489">
          <cell r="P489">
            <v>0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"/>
      <sheetName val="1"/>
      <sheetName val="1R"/>
      <sheetName val="2"/>
      <sheetName val="2R"/>
      <sheetName val="3"/>
      <sheetName val="3R"/>
      <sheetName val="4"/>
      <sheetName val="4R"/>
      <sheetName val="5"/>
      <sheetName val="5R"/>
      <sheetName val="6"/>
      <sheetName val="6R"/>
      <sheetName val="7"/>
      <sheetName val="7R"/>
      <sheetName val="8"/>
      <sheetName val="8R"/>
      <sheetName val="9"/>
      <sheetName val="9R"/>
      <sheetName val="10"/>
      <sheetName val="10R"/>
      <sheetName val="11"/>
      <sheetName val="11R"/>
      <sheetName val="12"/>
      <sheetName val="12R"/>
      <sheetName val="R"/>
      <sheetName val="Balance"/>
      <sheetName val="Licitados"/>
      <sheetName val="Bilateral"/>
      <sheetName val="Libres"/>
      <sheetName val="SST"/>
      <sheetName val="P"/>
      <sheetName val="ID"/>
      <sheetName val="PT"/>
      <sheetName val="Ingresos"/>
      <sheetName val="IDirectori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75">
          <cell r="D75">
            <v>13427.34605</v>
          </cell>
          <cell r="E75">
            <v>13039.36074</v>
          </cell>
          <cell r="F75">
            <v>14759.360280000001</v>
          </cell>
          <cell r="G75">
            <v>13952.175620000002</v>
          </cell>
          <cell r="H75">
            <v>13445.504289999999</v>
          </cell>
          <cell r="I75">
            <v>12856.727449999998</v>
          </cell>
          <cell r="J75">
            <v>12949.702940000001</v>
          </cell>
          <cell r="K75">
            <v>13028.044260000002</v>
          </cell>
          <cell r="L75">
            <v>12526.696699999999</v>
          </cell>
          <cell r="M75">
            <v>13033.023720000001</v>
          </cell>
          <cell r="N75">
            <v>12769.243130000001</v>
          </cell>
          <cell r="O75">
            <v>13331.536660000002</v>
          </cell>
        </row>
        <row r="76">
          <cell r="D76">
            <v>39296.824160000011</v>
          </cell>
          <cell r="E76">
            <v>38154.599739999998</v>
          </cell>
          <cell r="F76">
            <v>42948.224179999997</v>
          </cell>
          <cell r="G76">
            <v>40501.263659999997</v>
          </cell>
          <cell r="H76">
            <v>38673.84270999999</v>
          </cell>
          <cell r="I76">
            <v>36966.374959999994</v>
          </cell>
          <cell r="J76">
            <v>37346.790649999995</v>
          </cell>
          <cell r="K76">
            <v>37909.891969999997</v>
          </cell>
          <cell r="L76">
            <v>36608.341479999995</v>
          </cell>
          <cell r="M76">
            <v>37966.702900000004</v>
          </cell>
          <cell r="N76">
            <v>37423.299489999998</v>
          </cell>
          <cell r="O76">
            <v>39186.988729999997</v>
          </cell>
        </row>
        <row r="77">
          <cell r="D77">
            <v>1344.8065899999999</v>
          </cell>
          <cell r="E77">
            <v>1265.3734099999999</v>
          </cell>
          <cell r="F77">
            <v>1420.8438900000001</v>
          </cell>
          <cell r="G77">
            <v>1318.3841199999999</v>
          </cell>
          <cell r="H77">
            <v>1283.7631099999999</v>
          </cell>
          <cell r="I77">
            <v>1210.84232</v>
          </cell>
          <cell r="J77">
            <v>1245.7672399999999</v>
          </cell>
          <cell r="K77">
            <v>1276.59214</v>
          </cell>
          <cell r="L77">
            <v>1253.2445299999999</v>
          </cell>
          <cell r="M77">
            <v>1315.5748299999998</v>
          </cell>
          <cell r="N77">
            <v>1282.38229</v>
          </cell>
          <cell r="O77">
            <v>1365.85331</v>
          </cell>
        </row>
        <row r="78">
          <cell r="D78">
            <v>1146.24668</v>
          </cell>
          <cell r="E78">
            <v>1022.1494999999999</v>
          </cell>
          <cell r="F78">
            <v>1212.9829399999999</v>
          </cell>
          <cell r="G78">
            <v>1186.7863600000001</v>
          </cell>
          <cell r="H78">
            <v>1307.1130000000001</v>
          </cell>
          <cell r="I78">
            <v>1324.2823299999998</v>
          </cell>
          <cell r="J78">
            <v>1379.5385000000001</v>
          </cell>
          <cell r="K78">
            <v>1484.4670300000002</v>
          </cell>
          <cell r="L78">
            <v>1433.3341</v>
          </cell>
          <cell r="M78">
            <v>1511.9386100000002</v>
          </cell>
          <cell r="N78">
            <v>1394.7144700000001</v>
          </cell>
          <cell r="O78">
            <v>1321.34968</v>
          </cell>
        </row>
        <row r="79">
          <cell r="D79">
            <v>926.32087000000001</v>
          </cell>
          <cell r="E79">
            <v>944.37787000000003</v>
          </cell>
          <cell r="F79">
            <v>905.22297000000003</v>
          </cell>
          <cell r="G79">
            <v>892.08468000000005</v>
          </cell>
          <cell r="H79">
            <v>942.19753000000003</v>
          </cell>
          <cell r="I79">
            <v>967.08954000000006</v>
          </cell>
          <cell r="J79">
            <v>1020.90273</v>
          </cell>
          <cell r="K79">
            <v>987.67155999999989</v>
          </cell>
          <cell r="L79">
            <v>1011.38737</v>
          </cell>
          <cell r="M79">
            <v>1003.32954</v>
          </cell>
          <cell r="N79">
            <v>974.17967999999996</v>
          </cell>
          <cell r="O79">
            <v>981.18863999999996</v>
          </cell>
        </row>
        <row r="80">
          <cell r="D80">
            <v>1525.4092700000001</v>
          </cell>
          <cell r="E80">
            <v>1392.96001</v>
          </cell>
          <cell r="F80">
            <v>1573.56088</v>
          </cell>
          <cell r="G80">
            <v>1506.5699299999999</v>
          </cell>
          <cell r="H80">
            <v>1562.3032499999999</v>
          </cell>
          <cell r="I80">
            <v>1496.4276900000002</v>
          </cell>
          <cell r="J80">
            <v>1549.0649800000001</v>
          </cell>
          <cell r="K80">
            <v>1565.34996</v>
          </cell>
          <cell r="L80">
            <v>1542.5404799999999</v>
          </cell>
          <cell r="M80">
            <v>1609.5419000000002</v>
          </cell>
          <cell r="N80">
            <v>1556.3025600000001</v>
          </cell>
          <cell r="O80">
            <v>1626.2078000000001</v>
          </cell>
        </row>
        <row r="81">
          <cell r="D81">
            <v>2264.2511800000002</v>
          </cell>
          <cell r="E81">
            <v>2239.4047800000003</v>
          </cell>
          <cell r="F81">
            <v>2087.5134200000002</v>
          </cell>
          <cell r="G81">
            <v>2074.7222900000002</v>
          </cell>
          <cell r="H81">
            <v>1976.1279400000001</v>
          </cell>
          <cell r="I81">
            <v>2082.7864500000001</v>
          </cell>
          <cell r="J81">
            <v>2066.3829999999998</v>
          </cell>
          <cell r="K81">
            <v>2033.1524799999997</v>
          </cell>
          <cell r="L81">
            <v>2210.1755800000001</v>
          </cell>
          <cell r="M81">
            <v>2060.9217699999999</v>
          </cell>
          <cell r="N81">
            <v>2244.9339799999998</v>
          </cell>
          <cell r="O81">
            <v>2299.3111399999998</v>
          </cell>
        </row>
        <row r="82">
          <cell r="D82">
            <v>58.937689999999996</v>
          </cell>
          <cell r="E82">
            <v>53.618740000000003</v>
          </cell>
          <cell r="F82">
            <v>60.526299999999999</v>
          </cell>
          <cell r="G82">
            <v>60.733779999999996</v>
          </cell>
          <cell r="H82">
            <v>64.190339999999992</v>
          </cell>
          <cell r="I82">
            <v>61.253020000000006</v>
          </cell>
          <cell r="J82">
            <v>61.851119999999995</v>
          </cell>
          <cell r="K82">
            <v>59.965820000000001</v>
          </cell>
          <cell r="L82">
            <v>61.704800000000006</v>
          </cell>
          <cell r="M82">
            <v>58.55189</v>
          </cell>
          <cell r="N82">
            <v>59.871970000000005</v>
          </cell>
          <cell r="O82">
            <v>58.78689</v>
          </cell>
        </row>
        <row r="83">
          <cell r="D83">
            <v>10275.701590000001</v>
          </cell>
          <cell r="E83">
            <v>10712.33563</v>
          </cell>
          <cell r="F83">
            <v>9824.7963100000015</v>
          </cell>
          <cell r="G83">
            <v>9306.9053800000002</v>
          </cell>
          <cell r="H83">
            <v>8304.1831099999999</v>
          </cell>
          <cell r="I83">
            <v>6626.3261100000009</v>
          </cell>
          <cell r="J83">
            <v>6000.91392</v>
          </cell>
          <cell r="K83">
            <v>6249.9267899999995</v>
          </cell>
          <cell r="L83">
            <v>7765.0432799999999</v>
          </cell>
          <cell r="M83">
            <v>10011.808079999999</v>
          </cell>
          <cell r="N83">
            <v>10531.022300000001</v>
          </cell>
          <cell r="O83">
            <v>11662.07713</v>
          </cell>
        </row>
        <row r="87">
          <cell r="D87">
            <v>677.47176000000002</v>
          </cell>
          <cell r="E87">
            <v>767.50485000000003</v>
          </cell>
          <cell r="F87">
            <v>829.14429000000007</v>
          </cell>
          <cell r="G87">
            <v>836.82286999999997</v>
          </cell>
          <cell r="H87">
            <v>834.08973000000003</v>
          </cell>
          <cell r="I87">
            <v>833.65360999999996</v>
          </cell>
          <cell r="J87">
            <v>876.35623999999996</v>
          </cell>
          <cell r="K87">
            <v>889.58629000000008</v>
          </cell>
          <cell r="L87">
            <v>913.15360999999996</v>
          </cell>
          <cell r="M87">
            <v>898.97691999999995</v>
          </cell>
          <cell r="N87">
            <v>836.08719000000008</v>
          </cell>
          <cell r="O87">
            <v>911.86063999999999</v>
          </cell>
        </row>
        <row r="88">
          <cell r="D88">
            <v>1228.1913099999999</v>
          </cell>
          <cell r="E88">
            <v>1265.8714100000002</v>
          </cell>
          <cell r="F88">
            <v>1502.36112</v>
          </cell>
          <cell r="G88">
            <v>1368.29414</v>
          </cell>
          <cell r="H88">
            <v>1535.16184</v>
          </cell>
          <cell r="I88">
            <v>1503.24117</v>
          </cell>
          <cell r="J88">
            <v>1342.9428399999999</v>
          </cell>
          <cell r="K88">
            <v>1374.1956699999998</v>
          </cell>
          <cell r="L88">
            <v>1241.9371799999999</v>
          </cell>
          <cell r="M88">
            <v>1266.76225</v>
          </cell>
          <cell r="N88">
            <v>1225.4291500000002</v>
          </cell>
          <cell r="O88">
            <v>1213.04501</v>
          </cell>
        </row>
        <row r="89">
          <cell r="D89">
            <v>340.96833999999996</v>
          </cell>
          <cell r="E89">
            <v>336.96891000000005</v>
          </cell>
          <cell r="F89">
            <v>381.86814000000004</v>
          </cell>
          <cell r="G89">
            <v>326.54090000000002</v>
          </cell>
          <cell r="H89">
            <v>344.31170999999995</v>
          </cell>
          <cell r="I89">
            <v>329.43844000000001</v>
          </cell>
          <cell r="J89">
            <v>287.94920000000002</v>
          </cell>
          <cell r="K89">
            <v>310.73048999999997</v>
          </cell>
          <cell r="L89">
            <v>279.82731000000001</v>
          </cell>
          <cell r="M89">
            <v>237.47207</v>
          </cell>
          <cell r="N89">
            <v>222.09534999999997</v>
          </cell>
          <cell r="O89">
            <v>217.28502</v>
          </cell>
        </row>
        <row r="90">
          <cell r="D90">
            <v>155.24303</v>
          </cell>
          <cell r="E90">
            <v>110.90398</v>
          </cell>
          <cell r="F90">
            <v>219.61247</v>
          </cell>
          <cell r="G90">
            <v>168.09259</v>
          </cell>
          <cell r="H90">
            <v>170.59325000000001</v>
          </cell>
          <cell r="I90">
            <v>172.46011999999999</v>
          </cell>
          <cell r="J90">
            <v>182.66249000000002</v>
          </cell>
          <cell r="K90">
            <v>179.32479999999998</v>
          </cell>
          <cell r="L90">
            <v>199.76873999999998</v>
          </cell>
          <cell r="M90">
            <v>189.13123999999999</v>
          </cell>
          <cell r="N90">
            <v>191.87626999999998</v>
          </cell>
          <cell r="O90">
            <v>166.47946999999999</v>
          </cell>
        </row>
        <row r="91">
          <cell r="D91">
            <v>366.77878999999996</v>
          </cell>
          <cell r="E91">
            <v>289.03528</v>
          </cell>
          <cell r="F91">
            <v>375.86326000000003</v>
          </cell>
          <cell r="G91">
            <v>201.73451</v>
          </cell>
          <cell r="H91">
            <v>150.31779</v>
          </cell>
          <cell r="I91">
            <v>133.32876000000002</v>
          </cell>
          <cell r="J91">
            <v>222.03219000000001</v>
          </cell>
          <cell r="K91">
            <v>322.31870000000004</v>
          </cell>
          <cell r="L91">
            <v>314.07557000000003</v>
          </cell>
          <cell r="M91">
            <v>225.04586</v>
          </cell>
          <cell r="N91">
            <v>395.52991000000003</v>
          </cell>
          <cell r="O91">
            <v>519.62180999999998</v>
          </cell>
        </row>
        <row r="92">
          <cell r="D92">
            <v>125.49854000000001</v>
          </cell>
          <cell r="E92">
            <v>120.55781</v>
          </cell>
          <cell r="F92">
            <v>132.04901000000001</v>
          </cell>
          <cell r="G92">
            <v>122.82846000000001</v>
          </cell>
          <cell r="H92">
            <v>115.29908999999999</v>
          </cell>
          <cell r="I92">
            <v>108.43941000000001</v>
          </cell>
          <cell r="J92">
            <v>113.29915</v>
          </cell>
          <cell r="K92">
            <v>115.08609000000001</v>
          </cell>
          <cell r="L92">
            <v>114.10804</v>
          </cell>
          <cell r="M92">
            <v>131.88057000000001</v>
          </cell>
          <cell r="N92">
            <v>129.44985</v>
          </cell>
          <cell r="O92">
            <v>143.40530999999999</v>
          </cell>
        </row>
        <row r="93">
          <cell r="D93">
            <v>28.102029999999999</v>
          </cell>
          <cell r="E93">
            <v>16.739630000000002</v>
          </cell>
          <cell r="F93">
            <v>17.859639999999999</v>
          </cell>
          <cell r="G93">
            <v>18.89</v>
          </cell>
          <cell r="H93">
            <v>19.18608</v>
          </cell>
          <cell r="I93">
            <v>19.430589999999999</v>
          </cell>
          <cell r="J93">
            <v>24.393000000000001</v>
          </cell>
          <cell r="K93">
            <v>25.370169999999998</v>
          </cell>
          <cell r="L93">
            <v>24.115359999999999</v>
          </cell>
          <cell r="M93">
            <v>3.1042799999999997</v>
          </cell>
          <cell r="N93">
            <v>0</v>
          </cell>
          <cell r="O93">
            <v>0</v>
          </cell>
        </row>
        <row r="94">
          <cell r="D94">
            <v>56.680680000000002</v>
          </cell>
          <cell r="E94">
            <v>49.263400000000004</v>
          </cell>
          <cell r="F94">
            <v>70.648040000000009</v>
          </cell>
          <cell r="G94">
            <v>70.81271000000001</v>
          </cell>
          <cell r="H94">
            <v>78.738720000000001</v>
          </cell>
          <cell r="I94">
            <v>76.9101</v>
          </cell>
          <cell r="J94">
            <v>62.973009999999995</v>
          </cell>
          <cell r="K94">
            <v>56.353679999999997</v>
          </cell>
          <cell r="L94">
            <v>71.552509999999998</v>
          </cell>
          <cell r="M94">
            <v>72.806080000000009</v>
          </cell>
          <cell r="N94">
            <v>70.513139999999993</v>
          </cell>
          <cell r="O94">
            <v>57.389760000000003</v>
          </cell>
        </row>
        <row r="95">
          <cell r="D95">
            <v>0</v>
          </cell>
          <cell r="E95">
            <v>0</v>
          </cell>
          <cell r="F95">
            <v>283.83991000000003</v>
          </cell>
          <cell r="G95">
            <v>434.49443000000008</v>
          </cell>
          <cell r="H95">
            <v>1.0587200000000001</v>
          </cell>
          <cell r="I95">
            <v>1.3050000000000001E-2</v>
          </cell>
          <cell r="J95">
            <v>220.36894000000001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E8">
            <v>926.97495404577251</v>
          </cell>
          <cell r="F8">
            <v>461.40711146468215</v>
          </cell>
          <cell r="G8">
            <v>828.95046134578411</v>
          </cell>
          <cell r="H8">
            <v>1171.7400253601074</v>
          </cell>
          <cell r="I8">
            <v>1116.3305110563338</v>
          </cell>
          <cell r="J8">
            <v>1041.0903302083016</v>
          </cell>
          <cell r="K8">
            <v>1186.2565118484497</v>
          </cell>
          <cell r="L8">
            <v>1200.15392455101</v>
          </cell>
          <cell r="M8">
            <v>1105.6230203217976</v>
          </cell>
          <cell r="N8">
            <v>1144.318103322506</v>
          </cell>
          <cell r="O8">
            <v>1085.3382751868014</v>
          </cell>
          <cell r="P8">
            <v>1127.0000595328809</v>
          </cell>
        </row>
        <row r="9">
          <cell r="E9">
            <v>402.870262936926</v>
          </cell>
          <cell r="F9">
            <v>208.30515888170851</v>
          </cell>
          <cell r="G9">
            <v>349.37798729529652</v>
          </cell>
          <cell r="H9">
            <v>384.88266591119765</v>
          </cell>
          <cell r="I9">
            <v>399.46322554445265</v>
          </cell>
          <cell r="J9">
            <v>398.1997900333954</v>
          </cell>
          <cell r="K9">
            <v>425.59572734451297</v>
          </cell>
          <cell r="L9">
            <v>412.96571056716573</v>
          </cell>
          <cell r="M9">
            <v>391.0158058863729</v>
          </cell>
          <cell r="N9">
            <v>412.73237714993303</v>
          </cell>
          <cell r="O9">
            <v>292.59651954185284</v>
          </cell>
          <cell r="P9">
            <v>404.87908196288515</v>
          </cell>
        </row>
        <row r="10">
          <cell r="E10">
            <v>2802.6901195259093</v>
          </cell>
          <cell r="F10">
            <v>1599.6715765838605</v>
          </cell>
          <cell r="G10">
            <v>2343.2853220167308</v>
          </cell>
          <cell r="H10">
            <v>3186.261717338562</v>
          </cell>
          <cell r="I10">
            <v>3320.8418933486937</v>
          </cell>
          <cell r="J10">
            <v>2971.2549195591064</v>
          </cell>
          <cell r="K10">
            <v>3459.3024301147461</v>
          </cell>
          <cell r="L10">
            <v>3396.7827389217614</v>
          </cell>
          <cell r="M10">
            <v>3239.1046255743504</v>
          </cell>
          <cell r="N10">
            <v>3402.5594845657347</v>
          </cell>
          <cell r="O10">
            <v>3278.7132661345004</v>
          </cell>
          <cell r="P10">
            <v>3409.234796195984</v>
          </cell>
        </row>
        <row r="11">
          <cell r="E11">
            <v>5668.9583052101425</v>
          </cell>
          <cell r="F11">
            <v>4589.5587625728376</v>
          </cell>
          <cell r="G11">
            <v>10368.599402813437</v>
          </cell>
          <cell r="H11">
            <v>9478.3303183154567</v>
          </cell>
          <cell r="I11">
            <v>7684.0717533622774</v>
          </cell>
          <cell r="J11">
            <v>7876.1240154026473</v>
          </cell>
          <cell r="K11">
            <v>8639.9295436766879</v>
          </cell>
          <cell r="L11">
            <v>9217.0969540214537</v>
          </cell>
          <cell r="M11">
            <v>8732.8049782139951</v>
          </cell>
          <cell r="N11">
            <v>9208.2879194034558</v>
          </cell>
          <cell r="O11">
            <v>8386.3073084238222</v>
          </cell>
          <cell r="P11">
            <v>4831.8906822398903</v>
          </cell>
        </row>
        <row r="12">
          <cell r="E12">
            <v>39618.482833230388</v>
          </cell>
          <cell r="F12">
            <v>39102.116138388752</v>
          </cell>
          <cell r="G12">
            <v>105491.26078385663</v>
          </cell>
          <cell r="H12">
            <v>80526.830714843993</v>
          </cell>
          <cell r="I12">
            <v>50251.077631664411</v>
          </cell>
          <cell r="J12">
            <v>49541.405805029928</v>
          </cell>
          <cell r="K12">
            <v>52971.106137058916</v>
          </cell>
          <cell r="L12">
            <v>56533.411631859482</v>
          </cell>
          <cell r="M12">
            <v>54709.925384155569</v>
          </cell>
          <cell r="N12">
            <v>56977.631290992111</v>
          </cell>
          <cell r="O12">
            <v>55139.52137668473</v>
          </cell>
          <cell r="P12">
            <v>56533.691402328492</v>
          </cell>
        </row>
        <row r="13">
          <cell r="E13">
            <v>3421.4184920940397</v>
          </cell>
          <cell r="F13">
            <v>2501.1813698993669</v>
          </cell>
          <cell r="G13">
            <v>6048.9545388031001</v>
          </cell>
          <cell r="H13">
            <v>5559.3143736362454</v>
          </cell>
          <cell r="I13">
            <v>4620.7465813078343</v>
          </cell>
          <cell r="J13">
            <v>4738.5689890530157</v>
          </cell>
          <cell r="K13">
            <v>5138.6642664544715</v>
          </cell>
          <cell r="L13">
            <v>4264.153884270886</v>
          </cell>
          <cell r="M13">
            <v>0</v>
          </cell>
          <cell r="N13">
            <v>0</v>
          </cell>
          <cell r="O13">
            <v>0</v>
          </cell>
          <cell r="P13">
            <v>3043.593948041289</v>
          </cell>
        </row>
        <row r="16">
          <cell r="E16">
            <v>2.4071820144653322</v>
          </cell>
          <cell r="F16">
            <v>11.507578196167946</v>
          </cell>
          <cell r="G16">
            <v>0</v>
          </cell>
          <cell r="H16">
            <v>6.5296154212951656</v>
          </cell>
          <cell r="I16">
            <v>14.839656448364257</v>
          </cell>
          <cell r="J16">
            <v>3.2094371118581622</v>
          </cell>
          <cell r="K16">
            <v>14.9252216796875</v>
          </cell>
          <cell r="L16">
            <v>13.946024067401886</v>
          </cell>
          <cell r="M16">
            <v>0</v>
          </cell>
          <cell r="N16">
            <v>9.4079919700622554</v>
          </cell>
          <cell r="O16">
            <v>0</v>
          </cell>
          <cell r="P16">
            <v>20.030082138061523</v>
          </cell>
        </row>
        <row r="17">
          <cell r="E17">
            <v>7.9382390556335451</v>
          </cell>
          <cell r="F17">
            <v>0</v>
          </cell>
          <cell r="G17">
            <v>10.751972915649414</v>
          </cell>
          <cell r="H17">
            <v>18.261098628364504</v>
          </cell>
          <cell r="I17">
            <v>0</v>
          </cell>
          <cell r="J17">
            <v>3.3933485886470298</v>
          </cell>
          <cell r="K17">
            <v>0</v>
          </cell>
          <cell r="L17">
            <v>1.5925613327026367</v>
          </cell>
          <cell r="M17">
            <v>0</v>
          </cell>
          <cell r="N17">
            <v>11.463100032806397</v>
          </cell>
          <cell r="O17">
            <v>0</v>
          </cell>
          <cell r="P17">
            <v>14.29086717224121</v>
          </cell>
        </row>
        <row r="18">
          <cell r="E18">
            <v>0</v>
          </cell>
          <cell r="F18">
            <v>3.3567107238769531</v>
          </cell>
          <cell r="G18">
            <v>27.310176452636718</v>
          </cell>
          <cell r="H18">
            <v>2.2337345581054686</v>
          </cell>
          <cell r="I18">
            <v>1.820708251953125</v>
          </cell>
          <cell r="J18">
            <v>27.936585601806641</v>
          </cell>
          <cell r="K18">
            <v>0</v>
          </cell>
          <cell r="L18">
            <v>0</v>
          </cell>
          <cell r="M18">
            <v>29.915137702941895</v>
          </cell>
          <cell r="N18">
            <v>10.262991961479187</v>
          </cell>
          <cell r="O18">
            <v>0</v>
          </cell>
          <cell r="P18">
            <v>31.31235760498047</v>
          </cell>
        </row>
        <row r="19">
          <cell r="E19">
            <v>11.988429016113281</v>
          </cell>
          <cell r="F19">
            <v>14.869827055489644</v>
          </cell>
          <cell r="G19">
            <v>0</v>
          </cell>
          <cell r="H19">
            <v>9.0127334136962887</v>
          </cell>
          <cell r="I19">
            <v>0</v>
          </cell>
          <cell r="J19">
            <v>11.743651527404785</v>
          </cell>
          <cell r="K19">
            <v>13.927684898376464</v>
          </cell>
          <cell r="L19">
            <v>0</v>
          </cell>
          <cell r="M19">
            <v>23.550007953643799</v>
          </cell>
          <cell r="N19">
            <v>8.3148702597618112</v>
          </cell>
          <cell r="O19">
            <v>20.306738502502441</v>
          </cell>
          <cell r="P19">
            <v>0</v>
          </cell>
        </row>
        <row r="20">
          <cell r="E20">
            <v>7.2772169723510745</v>
          </cell>
          <cell r="F20">
            <v>14.761094065282959</v>
          </cell>
          <cell r="G20">
            <v>0</v>
          </cell>
          <cell r="H20">
            <v>10.620002819061279</v>
          </cell>
          <cell r="I20">
            <v>0</v>
          </cell>
          <cell r="J20">
            <v>10.620690368652344</v>
          </cell>
          <cell r="K20">
            <v>34.398795059204105</v>
          </cell>
          <cell r="L20">
            <v>0</v>
          </cell>
          <cell r="M20">
            <v>41.796970539093017</v>
          </cell>
          <cell r="N20">
            <v>8.6951559143066408</v>
          </cell>
          <cell r="O20">
            <v>0</v>
          </cell>
          <cell r="P20">
            <v>0</v>
          </cell>
        </row>
        <row r="21">
          <cell r="E21">
            <v>5.5191336059570313</v>
          </cell>
          <cell r="F21">
            <v>14.595667022705078</v>
          </cell>
          <cell r="G21">
            <v>0</v>
          </cell>
          <cell r="H21">
            <v>6.5481228637695317</v>
          </cell>
          <cell r="I21">
            <v>0</v>
          </cell>
          <cell r="J21">
            <v>11.00405369567871</v>
          </cell>
          <cell r="K21">
            <v>13.334623227596284</v>
          </cell>
          <cell r="L21">
            <v>7.2396353759765626</v>
          </cell>
          <cell r="M21">
            <v>16.192509330749512</v>
          </cell>
          <cell r="N21">
            <v>12.819753967285155</v>
          </cell>
          <cell r="O21">
            <v>0</v>
          </cell>
          <cell r="P21">
            <v>19.583155891418457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"/>
      <sheetName val="1"/>
      <sheetName val="1R"/>
      <sheetName val="2"/>
      <sheetName val="2R"/>
      <sheetName val="3"/>
      <sheetName val="3R"/>
      <sheetName val="4"/>
      <sheetName val="4R"/>
      <sheetName val="5"/>
      <sheetName val="5R"/>
      <sheetName val="6"/>
      <sheetName val="6R"/>
      <sheetName val="7"/>
      <sheetName val="7R"/>
      <sheetName val="8"/>
      <sheetName val="8R"/>
      <sheetName val="9"/>
      <sheetName val="9R"/>
      <sheetName val="10"/>
      <sheetName val="10R"/>
      <sheetName val="11"/>
      <sheetName val="11R"/>
      <sheetName val="12"/>
      <sheetName val="12R"/>
      <sheetName val="R"/>
      <sheetName val="S1"/>
      <sheetName val="S(kWh)"/>
      <sheetName val="Licitados"/>
      <sheetName val="Bilateral"/>
      <sheetName val="Libres"/>
      <sheetName val="Respaldo"/>
      <sheetName val="SST"/>
      <sheetName val="P"/>
      <sheetName val="Balance"/>
      <sheetName val="ID"/>
      <sheetName val="PT"/>
      <sheetName val="Ingresos"/>
      <sheetName val="Energia (S)"/>
      <sheetName val="Potencia (S)"/>
      <sheetName val="Peaje"/>
      <sheetName val="IDirectorio"/>
      <sheetName val="Sheet1"/>
      <sheetName val="Contraprest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E80">
            <v>7779.8529400000016</v>
          </cell>
          <cell r="F80">
            <v>7554.1624700000011</v>
          </cell>
          <cell r="G80">
            <v>7630.7829499999998</v>
          </cell>
          <cell r="H80">
            <v>7361.1082500000002</v>
          </cell>
          <cell r="I80">
            <v>7215.3365099999992</v>
          </cell>
          <cell r="J80">
            <v>6955.9726800000008</v>
          </cell>
          <cell r="K80">
            <v>7243.0156399999987</v>
          </cell>
          <cell r="L80">
            <v>7178.5934899999984</v>
          </cell>
          <cell r="M80">
            <v>7011.8145900000018</v>
          </cell>
          <cell r="N80">
            <v>7358.9933399999991</v>
          </cell>
          <cell r="O80">
            <v>7239.4790999999996</v>
          </cell>
          <cell r="P80">
            <v>7541.5345499999994</v>
          </cell>
        </row>
        <row r="81">
          <cell r="E81">
            <v>20652.573069999999</v>
          </cell>
          <cell r="F81">
            <v>20649.883539999999</v>
          </cell>
          <cell r="G81">
            <v>20951.30414</v>
          </cell>
          <cell r="H81">
            <v>19988.498540000001</v>
          </cell>
          <cell r="I81">
            <v>19262.252740000004</v>
          </cell>
          <cell r="J81">
            <v>18386.815579999999</v>
          </cell>
          <cell r="K81">
            <v>19010.374150000003</v>
          </cell>
          <cell r="L81">
            <v>19052.679539999997</v>
          </cell>
          <cell r="M81">
            <v>18622.934430000001</v>
          </cell>
          <cell r="N81">
            <v>19369.55416</v>
          </cell>
          <cell r="O81">
            <v>18962.206549999999</v>
          </cell>
          <cell r="P81">
            <v>19753.456100000003</v>
          </cell>
        </row>
        <row r="82">
          <cell r="E82">
            <v>584.16279999999995</v>
          </cell>
          <cell r="F82">
            <v>563.54408000000001</v>
          </cell>
          <cell r="G82">
            <v>579.33838000000003</v>
          </cell>
          <cell r="H82">
            <v>545.02316000000008</v>
          </cell>
          <cell r="I82">
            <v>533.81511999999998</v>
          </cell>
          <cell r="J82">
            <v>514.44906000000003</v>
          </cell>
          <cell r="K82">
            <v>526.14530000000002</v>
          </cell>
          <cell r="L82">
            <v>533.85309999999993</v>
          </cell>
          <cell r="M82">
            <v>522.09730000000002</v>
          </cell>
          <cell r="N82">
            <v>554.90340000000003</v>
          </cell>
          <cell r="O82">
            <v>545.52152000000001</v>
          </cell>
          <cell r="P82">
            <v>581.0558400000001</v>
          </cell>
        </row>
        <row r="83">
          <cell r="E83">
            <v>505.66886000000005</v>
          </cell>
          <cell r="F83">
            <v>476.30848000000003</v>
          </cell>
          <cell r="G83">
            <v>527.99205999999992</v>
          </cell>
          <cell r="H83">
            <v>555.67529999999999</v>
          </cell>
          <cell r="I83">
            <v>552.16336000000001</v>
          </cell>
          <cell r="J83">
            <v>589.95594000000006</v>
          </cell>
          <cell r="K83">
            <v>562.86342000000002</v>
          </cell>
          <cell r="L83">
            <v>612.48464000000013</v>
          </cell>
          <cell r="M83">
            <v>611.52742000000001</v>
          </cell>
          <cell r="N83">
            <v>647.28634000000011</v>
          </cell>
          <cell r="O83">
            <v>606.68478000000005</v>
          </cell>
          <cell r="P83">
            <v>601.67564000000004</v>
          </cell>
        </row>
        <row r="84">
          <cell r="E84">
            <v>402.01158000000004</v>
          </cell>
          <cell r="F84">
            <v>374.06088</v>
          </cell>
          <cell r="G84">
            <v>406.72620000000006</v>
          </cell>
          <cell r="H84">
            <v>394.62706000000003</v>
          </cell>
          <cell r="I84">
            <v>400.08252000000005</v>
          </cell>
          <cell r="J84">
            <v>399.47104000000002</v>
          </cell>
          <cell r="K84">
            <v>439.03462000000002</v>
          </cell>
          <cell r="L84">
            <v>398.35216000000003</v>
          </cell>
          <cell r="M84">
            <v>404.51766000000003</v>
          </cell>
          <cell r="N84">
            <v>417.85040000000004</v>
          </cell>
          <cell r="O84">
            <v>406.73685999999998</v>
          </cell>
          <cell r="P84">
            <v>399.46429999999998</v>
          </cell>
        </row>
        <row r="85">
          <cell r="E85">
            <v>642.89588000000003</v>
          </cell>
          <cell r="F85">
            <v>604.76400000000001</v>
          </cell>
          <cell r="G85">
            <v>645.82478000000003</v>
          </cell>
          <cell r="H85">
            <v>631.58536000000004</v>
          </cell>
          <cell r="I85">
            <v>648.76206000000002</v>
          </cell>
          <cell r="J85">
            <v>633.79925999999989</v>
          </cell>
          <cell r="K85">
            <v>639.12113999999985</v>
          </cell>
          <cell r="L85">
            <v>656.27346</v>
          </cell>
          <cell r="M85">
            <v>656.12669999999991</v>
          </cell>
          <cell r="N85">
            <v>676.89764000000014</v>
          </cell>
          <cell r="O85">
            <v>667.23749999999995</v>
          </cell>
          <cell r="P85">
            <v>673.87993999999992</v>
          </cell>
        </row>
        <row r="88">
          <cell r="E88">
            <v>1388.2054699999999</v>
          </cell>
          <cell r="F88">
            <v>1384.77602</v>
          </cell>
          <cell r="G88">
            <v>1339.4636</v>
          </cell>
          <cell r="H88">
            <v>1349.0189700000001</v>
          </cell>
          <cell r="I88">
            <v>1646.0154100000002</v>
          </cell>
          <cell r="J88">
            <v>1519.5745200000001</v>
          </cell>
          <cell r="K88">
            <v>1461.9911299999999</v>
          </cell>
          <cell r="L88">
            <v>1603.8830499999999</v>
          </cell>
          <cell r="M88">
            <v>1470.5257799999999</v>
          </cell>
          <cell r="N88">
            <v>1504.1333999999999</v>
          </cell>
          <cell r="O88">
            <v>1262.5426400000001</v>
          </cell>
          <cell r="P88">
            <v>1164.61292</v>
          </cell>
        </row>
        <row r="89">
          <cell r="E89">
            <v>4529.2874400000001</v>
          </cell>
          <cell r="F89">
            <v>4177.6049500000008</v>
          </cell>
          <cell r="G89">
            <v>3254.7407600000006</v>
          </cell>
          <cell r="H89">
            <v>2466.0054499999997</v>
          </cell>
          <cell r="I89">
            <v>2231.0940700000001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0">
          <cell r="E90">
            <v>6482.0485499999995</v>
          </cell>
          <cell r="F90">
            <v>6043.7391499999994</v>
          </cell>
          <cell r="G90">
            <v>6690.44859</v>
          </cell>
          <cell r="H90">
            <v>6919.7047100000009</v>
          </cell>
          <cell r="I90">
            <v>7268.9502300000004</v>
          </cell>
          <cell r="J90">
            <v>7557.8367799999996</v>
          </cell>
          <cell r="K90">
            <v>7183.7577800000008</v>
          </cell>
          <cell r="L90">
            <v>7846.3210000000008</v>
          </cell>
          <cell r="M90">
            <v>7924.4323299999996</v>
          </cell>
          <cell r="N90">
            <v>8136.3068400000011</v>
          </cell>
          <cell r="O90">
            <v>7422.4014100000004</v>
          </cell>
          <cell r="P90">
            <v>7665.8294900000001</v>
          </cell>
        </row>
        <row r="92">
          <cell r="E92">
            <v>787.18965000000003</v>
          </cell>
          <cell r="F92">
            <v>836.19124999999997</v>
          </cell>
          <cell r="G92">
            <v>915.68350999999996</v>
          </cell>
          <cell r="H92">
            <v>785.28082000000006</v>
          </cell>
          <cell r="I92">
            <v>831.62536999999998</v>
          </cell>
          <cell r="J92">
            <v>828.33642999999995</v>
          </cell>
          <cell r="K92">
            <v>867.36810000000003</v>
          </cell>
          <cell r="L92">
            <v>898.37594999999999</v>
          </cell>
          <cell r="M92">
            <v>889.72117999999989</v>
          </cell>
          <cell r="N92">
            <v>858.78426999999999</v>
          </cell>
          <cell r="O92">
            <v>951.28777000000002</v>
          </cell>
          <cell r="P92">
            <v>952.37075000000004</v>
          </cell>
        </row>
        <row r="93">
          <cell r="E93">
            <v>1355.8300300000001</v>
          </cell>
          <cell r="F93">
            <v>1353.2685699999997</v>
          </cell>
          <cell r="G93">
            <v>1450.4446500000001</v>
          </cell>
          <cell r="H93">
            <v>1536.4170200000001</v>
          </cell>
          <cell r="I93">
            <v>1556.28178</v>
          </cell>
          <cell r="J93">
            <v>1374.2666800000002</v>
          </cell>
          <cell r="K93">
            <v>1283.0519899999999</v>
          </cell>
          <cell r="L93">
            <v>1214.12844</v>
          </cell>
          <cell r="M93">
            <v>1227.3985599999999</v>
          </cell>
          <cell r="N93">
            <v>1324.7961399999999</v>
          </cell>
          <cell r="O93">
            <v>1294.1802600000001</v>
          </cell>
          <cell r="P93">
            <v>1145.6493400000002</v>
          </cell>
        </row>
        <row r="94">
          <cell r="E94">
            <v>261.01960000000003</v>
          </cell>
          <cell r="F94">
            <v>268.50232</v>
          </cell>
          <cell r="G94">
            <v>264.48521</v>
          </cell>
          <cell r="H94">
            <v>310.51703000000003</v>
          </cell>
          <cell r="I94">
            <v>334.14855999999997</v>
          </cell>
          <cell r="J94">
            <v>333.78251999999998</v>
          </cell>
          <cell r="K94">
            <v>320.41665999999998</v>
          </cell>
          <cell r="L94">
            <v>288.12952000000001</v>
          </cell>
          <cell r="M94">
            <v>273.79689000000002</v>
          </cell>
          <cell r="N94">
            <v>290.73987</v>
          </cell>
          <cell r="O94">
            <v>255.39467999999999</v>
          </cell>
          <cell r="P94">
            <v>114.98566000000001</v>
          </cell>
        </row>
        <row r="95">
          <cell r="E95">
            <v>204.30745999999999</v>
          </cell>
          <cell r="F95">
            <v>187.10008000000002</v>
          </cell>
          <cell r="G95">
            <v>178.65026999999998</v>
          </cell>
          <cell r="H95">
            <v>210.47212999999999</v>
          </cell>
          <cell r="I95">
            <v>206.93913000000001</v>
          </cell>
          <cell r="J95">
            <v>177.26256000000001</v>
          </cell>
          <cell r="K95">
            <v>189.20376000000002</v>
          </cell>
          <cell r="L95">
            <v>193.27842999999999</v>
          </cell>
          <cell r="M95">
            <v>195.29048999999998</v>
          </cell>
          <cell r="N95">
            <v>208.21604000000002</v>
          </cell>
          <cell r="O95">
            <v>186.95211</v>
          </cell>
          <cell r="P95">
            <v>175.41404999999997</v>
          </cell>
        </row>
        <row r="96">
          <cell r="E96">
            <v>394.31763999999998</v>
          </cell>
          <cell r="F96">
            <v>310.81604999999996</v>
          </cell>
          <cell r="G96">
            <v>303.86313000000001</v>
          </cell>
          <cell r="H96">
            <v>266.96583000000004</v>
          </cell>
          <cell r="I96">
            <v>253.49319999999997</v>
          </cell>
          <cell r="J96">
            <v>254.73251999999999</v>
          </cell>
          <cell r="K96">
            <v>294.1986</v>
          </cell>
          <cell r="L96">
            <v>369.21507000000003</v>
          </cell>
          <cell r="M96">
            <v>324.96040999999997</v>
          </cell>
          <cell r="N96">
            <v>256.68705</v>
          </cell>
          <cell r="O96">
            <v>403.69002</v>
          </cell>
          <cell r="P96">
            <v>523.78347999999994</v>
          </cell>
        </row>
        <row r="97">
          <cell r="E97">
            <v>148.56241999999997</v>
          </cell>
          <cell r="F97">
            <v>143.94636</v>
          </cell>
          <cell r="G97">
            <v>148.14072999999999</v>
          </cell>
          <cell r="H97">
            <v>139.38723000000002</v>
          </cell>
          <cell r="I97">
            <v>131.86365000000001</v>
          </cell>
          <cell r="J97">
            <v>124.01380999999999</v>
          </cell>
          <cell r="K97">
            <v>125.14871000000001</v>
          </cell>
          <cell r="L97">
            <v>124.93315</v>
          </cell>
          <cell r="M97">
            <v>123.41870999999999</v>
          </cell>
          <cell r="N97">
            <v>133.13103000000001</v>
          </cell>
          <cell r="O97">
            <v>135.10828000000001</v>
          </cell>
          <cell r="P97">
            <v>139.92059</v>
          </cell>
        </row>
        <row r="98">
          <cell r="E98">
            <v>60.877420000000001</v>
          </cell>
          <cell r="F98">
            <v>49.691580000000002</v>
          </cell>
          <cell r="G98">
            <v>65.987309999999994</v>
          </cell>
          <cell r="H98">
            <v>76.431209999999993</v>
          </cell>
          <cell r="I98">
            <v>74.296800000000005</v>
          </cell>
          <cell r="J98">
            <v>64.839110000000005</v>
          </cell>
          <cell r="K98">
            <v>58.399130000000007</v>
          </cell>
          <cell r="L98">
            <v>57.575540000000004</v>
          </cell>
          <cell r="M98">
            <v>70.091520000000003</v>
          </cell>
          <cell r="N98">
            <v>74.961610000000007</v>
          </cell>
          <cell r="O98">
            <v>69.37133</v>
          </cell>
          <cell r="P98">
            <v>53.496670000000002</v>
          </cell>
        </row>
        <row r="99"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E100">
            <v>669.95650705899834</v>
          </cell>
          <cell r="F100">
            <v>866.22528903141381</v>
          </cell>
          <cell r="G100">
            <v>0</v>
          </cell>
          <cell r="H100">
            <v>485.00000000000006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K101">
            <v>7654.0599999999995</v>
          </cell>
          <cell r="L101">
            <v>7573.5000000000009</v>
          </cell>
          <cell r="M101">
            <v>7177.04</v>
          </cell>
          <cell r="N101">
            <v>7445.7999999999993</v>
          </cell>
          <cell r="O101">
            <v>5353.2199999999993</v>
          </cell>
          <cell r="P101">
            <v>5683.35</v>
          </cell>
        </row>
        <row r="102">
          <cell r="E102">
            <v>5611.920000000001</v>
          </cell>
          <cell r="F102">
            <v>4928.87</v>
          </cell>
          <cell r="G102">
            <v>4773.6600000000008</v>
          </cell>
          <cell r="H102">
            <v>4626.53</v>
          </cell>
          <cell r="I102">
            <v>5379.52</v>
          </cell>
          <cell r="J102">
            <v>5254.3900000000012</v>
          </cell>
          <cell r="K102">
            <v>5422.0599999999995</v>
          </cell>
          <cell r="L102">
            <v>5341.5000000000009</v>
          </cell>
          <cell r="M102">
            <v>5017.04</v>
          </cell>
          <cell r="N102">
            <v>5213.7999999999993</v>
          </cell>
          <cell r="O102">
            <v>3193.2199999999993</v>
          </cell>
          <cell r="P102">
            <v>3451.35</v>
          </cell>
        </row>
        <row r="103">
          <cell r="K103">
            <v>2232</v>
          </cell>
          <cell r="L103">
            <v>2232</v>
          </cell>
          <cell r="M103">
            <v>2160</v>
          </cell>
          <cell r="N103">
            <v>2232</v>
          </cell>
          <cell r="O103">
            <v>2160</v>
          </cell>
          <cell r="P103">
            <v>2232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R"/>
      <sheetName val="1"/>
      <sheetName val="2"/>
      <sheetName val="3"/>
      <sheetName val="4"/>
      <sheetName val="5"/>
      <sheetName val="6"/>
      <sheetName val="7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E8">
            <v>926.97495404577251</v>
          </cell>
          <cell r="F8">
            <v>461.40711146468215</v>
          </cell>
          <cell r="G8">
            <v>828.95046134578411</v>
          </cell>
          <cell r="H8">
            <v>1171.7400253601074</v>
          </cell>
          <cell r="I8">
            <v>1116.3305110563338</v>
          </cell>
          <cell r="J8">
            <v>1041.0903302083016</v>
          </cell>
        </row>
        <row r="9">
          <cell r="E9">
            <v>402.870262936926</v>
          </cell>
          <cell r="F9">
            <v>208.30515888170851</v>
          </cell>
          <cell r="G9">
            <v>349.37798729529652</v>
          </cell>
          <cell r="H9">
            <v>384.88266591119765</v>
          </cell>
          <cell r="I9">
            <v>399.46322554445265</v>
          </cell>
          <cell r="J9">
            <v>398.1997900333954</v>
          </cell>
        </row>
        <row r="10">
          <cell r="E10">
            <v>2802.6901195259093</v>
          </cell>
          <cell r="F10">
            <v>1599.6715765838605</v>
          </cell>
          <cell r="G10">
            <v>2343.2853220167308</v>
          </cell>
          <cell r="H10">
            <v>3186.261717338562</v>
          </cell>
          <cell r="I10">
            <v>3320.8418933486937</v>
          </cell>
          <cell r="J10">
            <v>2971.2549195591064</v>
          </cell>
        </row>
        <row r="11">
          <cell r="E11">
            <v>5668.9583052101425</v>
          </cell>
          <cell r="F11">
            <v>4589.5587625728376</v>
          </cell>
          <cell r="G11">
            <v>10368.599402813437</v>
          </cell>
          <cell r="H11">
            <v>9478.3303183154567</v>
          </cell>
          <cell r="I11">
            <v>7684.0717533622774</v>
          </cell>
          <cell r="J11">
            <v>7876.1240154026473</v>
          </cell>
        </row>
        <row r="12">
          <cell r="E12">
            <v>39618.482833230388</v>
          </cell>
          <cell r="F12">
            <v>39102.116138388752</v>
          </cell>
          <cell r="G12">
            <v>105491.26078385663</v>
          </cell>
          <cell r="H12">
            <v>80526.830714843993</v>
          </cell>
          <cell r="I12">
            <v>50251.077631664411</v>
          </cell>
          <cell r="J12">
            <v>49541.405805029928</v>
          </cell>
        </row>
        <row r="13">
          <cell r="E13">
            <v>3421.4184920940397</v>
          </cell>
          <cell r="F13">
            <v>2501.1813698993669</v>
          </cell>
          <cell r="G13">
            <v>6048.9545388031001</v>
          </cell>
          <cell r="H13">
            <v>5559.3143736362454</v>
          </cell>
          <cell r="I13">
            <v>4620.7465813078343</v>
          </cell>
          <cell r="J13">
            <v>4738.5689890530157</v>
          </cell>
        </row>
        <row r="16">
          <cell r="E16">
            <v>2.4071820144653322</v>
          </cell>
          <cell r="F16">
            <v>11.507578196167946</v>
          </cell>
          <cell r="G16">
            <v>0</v>
          </cell>
          <cell r="H16">
            <v>6.5296154212951656</v>
          </cell>
          <cell r="I16">
            <v>14.839656448364257</v>
          </cell>
          <cell r="J16">
            <v>3.2094371118581622</v>
          </cell>
        </row>
        <row r="17">
          <cell r="E17">
            <v>7.9382390556335451</v>
          </cell>
          <cell r="F17">
            <v>0</v>
          </cell>
          <cell r="G17">
            <v>10.751972915649414</v>
          </cell>
          <cell r="H17">
            <v>18.261098628364504</v>
          </cell>
          <cell r="I17">
            <v>0</v>
          </cell>
          <cell r="J17">
            <v>3.3933485886470298</v>
          </cell>
        </row>
        <row r="18">
          <cell r="E18">
            <v>0</v>
          </cell>
          <cell r="F18">
            <v>3.3567107238769531</v>
          </cell>
          <cell r="G18">
            <v>27.310176452636718</v>
          </cell>
          <cell r="H18">
            <v>2.2337345581054686</v>
          </cell>
          <cell r="I18">
            <v>1.820708251953125</v>
          </cell>
          <cell r="J18">
            <v>27.936585601806641</v>
          </cell>
        </row>
        <row r="19">
          <cell r="E19">
            <v>11.988429016113281</v>
          </cell>
          <cell r="F19">
            <v>14.869827055489644</v>
          </cell>
          <cell r="G19">
            <v>0</v>
          </cell>
          <cell r="H19">
            <v>9.0127334136962887</v>
          </cell>
          <cell r="I19">
            <v>0</v>
          </cell>
          <cell r="J19">
            <v>11.743651527404785</v>
          </cell>
        </row>
        <row r="20">
          <cell r="E20">
            <v>7.2772169723510745</v>
          </cell>
          <cell r="F20">
            <v>14.761094065282959</v>
          </cell>
          <cell r="G20">
            <v>0</v>
          </cell>
          <cell r="H20">
            <v>10.620002819061279</v>
          </cell>
          <cell r="I20">
            <v>0</v>
          </cell>
          <cell r="J20">
            <v>10.620690368652344</v>
          </cell>
        </row>
        <row r="21">
          <cell r="E21">
            <v>5.5191336059570313</v>
          </cell>
          <cell r="F21">
            <v>14.595667022705078</v>
          </cell>
          <cell r="G21">
            <v>0</v>
          </cell>
          <cell r="H21">
            <v>6.5481228637695317</v>
          </cell>
          <cell r="I21">
            <v>0</v>
          </cell>
          <cell r="J21">
            <v>11.00405369567871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R"/>
      <sheetName val="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6"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</sheetData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"/>
      <sheetName val="Balance"/>
      <sheetName val="Precios (S)"/>
      <sheetName val="Precios2 (S)"/>
      <sheetName val="Potencia (S)"/>
      <sheetName val="Peaje(S)"/>
      <sheetName val="MD(C. Libres)"/>
      <sheetName val="SST"/>
      <sheetName val="S(kWh)"/>
      <sheetName val="Ingresos"/>
      <sheetName val="Libres"/>
      <sheetName val="Precio Medio"/>
      <sheetName val="VENTAS (MWh)"/>
      <sheetName val="VENTAS (S)"/>
      <sheetName val="Participación"/>
      <sheetName val="Despacho"/>
      <sheetName val="Margen Comercial"/>
      <sheetName val="Caudal"/>
      <sheetName val="Cmg"/>
      <sheetName val="1"/>
      <sheetName val="1R"/>
      <sheetName val="2"/>
      <sheetName val="2R"/>
      <sheetName val="3"/>
      <sheetName val="3R"/>
      <sheetName val="4"/>
      <sheetName val="4R"/>
      <sheetName val="5"/>
      <sheetName val="5R"/>
      <sheetName val="6"/>
      <sheetName val="6R"/>
      <sheetName val="7"/>
      <sheetName val="7R"/>
      <sheetName val="8"/>
      <sheetName val="8R"/>
      <sheetName val="9"/>
      <sheetName val="9R"/>
      <sheetName val="10"/>
      <sheetName val="10R"/>
      <sheetName val="11"/>
      <sheetName val="11R"/>
      <sheetName val="R"/>
      <sheetName val="P"/>
      <sheetName val="Ingresos(S)"/>
      <sheetName val="IDirectorio"/>
      <sheetName val="Sheet1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2">
          <cell r="E12">
            <v>7365.1667500000021</v>
          </cell>
          <cell r="F12">
            <v>7018.3674900000015</v>
          </cell>
          <cell r="G12">
            <v>7688.3515699999998</v>
          </cell>
          <cell r="H12">
            <v>7128.4224600000007</v>
          </cell>
          <cell r="I12">
            <v>6931.3061600000001</v>
          </cell>
          <cell r="J12">
            <v>6757.0020999999997</v>
          </cell>
          <cell r="K12">
            <v>6928.1396000000013</v>
          </cell>
          <cell r="L12">
            <v>6835.6618400000007</v>
          </cell>
          <cell r="M12">
            <v>6754.2373800000005</v>
          </cell>
          <cell r="N12">
            <v>7059.2576499999996</v>
          </cell>
          <cell r="O12">
            <v>6827.8354300000001</v>
          </cell>
        </row>
        <row r="13">
          <cell r="E13">
            <v>17676.402279999998</v>
          </cell>
          <cell r="F13">
            <v>16997.900180000001</v>
          </cell>
          <cell r="G13">
            <v>18619.74739</v>
          </cell>
          <cell r="H13">
            <v>17042.902190000001</v>
          </cell>
          <cell r="I13">
            <v>16839.271290000001</v>
          </cell>
          <cell r="J13">
            <v>16216.58252</v>
          </cell>
          <cell r="K13">
            <v>16527.4486</v>
          </cell>
          <cell r="L13">
            <v>16542.91732</v>
          </cell>
          <cell r="M13">
            <v>16314.942719999999</v>
          </cell>
          <cell r="N13">
            <v>16891.706280000002</v>
          </cell>
          <cell r="O13">
            <v>16520.058840000002</v>
          </cell>
        </row>
        <row r="14">
          <cell r="E14">
            <v>571.43657999999994</v>
          </cell>
          <cell r="F14">
            <v>537.69816000000003</v>
          </cell>
          <cell r="G14">
            <v>577.5942</v>
          </cell>
          <cell r="H14">
            <v>537.63725999999997</v>
          </cell>
          <cell r="I14">
            <v>538.04948000000002</v>
          </cell>
          <cell r="J14">
            <v>506.73082000000005</v>
          </cell>
          <cell r="K14">
            <v>519.79071999999996</v>
          </cell>
          <cell r="L14">
            <v>520.69096000000002</v>
          </cell>
          <cell r="M14">
            <v>520.46896000000004</v>
          </cell>
          <cell r="N14">
            <v>548.49203999999997</v>
          </cell>
          <cell r="O14">
            <v>534.72397999999998</v>
          </cell>
        </row>
        <row r="15">
          <cell r="E15">
            <v>530.77382</v>
          </cell>
          <cell r="F15">
            <v>505.10965999999996</v>
          </cell>
          <cell r="G15">
            <v>589.41984000000014</v>
          </cell>
          <cell r="H15">
            <v>541.21627999999998</v>
          </cell>
          <cell r="I15">
            <v>614.12513999999976</v>
          </cell>
          <cell r="J15">
            <v>604.04539999999986</v>
          </cell>
          <cell r="K15">
            <v>645.61243999999999</v>
          </cell>
          <cell r="L15">
            <v>634.15031999999997</v>
          </cell>
          <cell r="M15">
            <v>613.4747000000001</v>
          </cell>
          <cell r="N15">
            <v>635.53039999999999</v>
          </cell>
          <cell r="O15">
            <v>656.82587999999998</v>
          </cell>
        </row>
        <row r="16">
          <cell r="E16">
            <v>379.65100000000001</v>
          </cell>
          <cell r="F16">
            <v>364.8929</v>
          </cell>
          <cell r="G16">
            <v>374.64787999999999</v>
          </cell>
          <cell r="H16">
            <v>395.30433999999997</v>
          </cell>
          <cell r="I16">
            <v>414.07952</v>
          </cell>
          <cell r="J16">
            <v>398.79703999999998</v>
          </cell>
          <cell r="K16">
            <v>428.74503999999996</v>
          </cell>
          <cell r="L16">
            <v>404.31956000000002</v>
          </cell>
          <cell r="M16">
            <v>417.81036000000006</v>
          </cell>
          <cell r="N16">
            <v>391.92528000000004</v>
          </cell>
          <cell r="O16">
            <v>367.00918000000007</v>
          </cell>
        </row>
        <row r="17">
          <cell r="E17">
            <v>669.15801999999996</v>
          </cell>
          <cell r="F17">
            <v>612.17848000000004</v>
          </cell>
          <cell r="G17">
            <v>689.89776000000018</v>
          </cell>
          <cell r="H17">
            <v>657.6853000000001</v>
          </cell>
          <cell r="I17">
            <v>682.15207999999996</v>
          </cell>
          <cell r="J17">
            <v>661.56467999999995</v>
          </cell>
          <cell r="K17">
            <v>674.5886999999999</v>
          </cell>
          <cell r="L17">
            <v>690.40893999999992</v>
          </cell>
          <cell r="M17">
            <v>688.55143999999996</v>
          </cell>
          <cell r="N17">
            <v>722.23327999999992</v>
          </cell>
          <cell r="O17">
            <v>700.6741199999999</v>
          </cell>
        </row>
        <row r="19">
          <cell r="E19">
            <v>14508.992340000001</v>
          </cell>
          <cell r="F19">
            <v>14046.636990000001</v>
          </cell>
          <cell r="G19">
            <v>15292.67252</v>
          </cell>
          <cell r="H19">
            <v>14185.386820000002</v>
          </cell>
          <cell r="I19">
            <v>13293.305169999998</v>
          </cell>
          <cell r="J19">
            <v>12950.986029999998</v>
          </cell>
          <cell r="K19">
            <v>13342.372069999998</v>
          </cell>
          <cell r="L19">
            <v>13122.064849999999</v>
          </cell>
          <cell r="M19">
            <v>12984.588599999999</v>
          </cell>
          <cell r="N19">
            <v>13522.35794</v>
          </cell>
          <cell r="O19">
            <v>13376.179179999999</v>
          </cell>
        </row>
        <row r="20">
          <cell r="E20">
            <v>7184.4803200000006</v>
          </cell>
          <cell r="F20">
            <v>6708.3949599999996</v>
          </cell>
          <cell r="G20">
            <v>7238.1690199999994</v>
          </cell>
          <cell r="H20">
            <v>7420.0580900000014</v>
          </cell>
          <cell r="I20">
            <v>7382.1230299999997</v>
          </cell>
          <cell r="J20">
            <v>7609.1245599999993</v>
          </cell>
          <cell r="K20">
            <v>8153.5781300000008</v>
          </cell>
          <cell r="L20">
            <v>7804.1232300000001</v>
          </cell>
          <cell r="M20">
            <v>8014.7470800000001</v>
          </cell>
          <cell r="N20">
            <v>7345.5071099999996</v>
          </cell>
          <cell r="O20">
            <v>6877.1269299999994</v>
          </cell>
        </row>
        <row r="22">
          <cell r="E22">
            <v>841.29300999999998</v>
          </cell>
          <cell r="F22">
            <v>912.10712999999998</v>
          </cell>
          <cell r="G22">
            <v>1001.5081499999999</v>
          </cell>
          <cell r="H22">
            <v>742.68247999999994</v>
          </cell>
          <cell r="I22">
            <v>831.88967999999988</v>
          </cell>
          <cell r="J22">
            <v>814.08248000000003</v>
          </cell>
          <cell r="K22">
            <v>838.89695999999992</v>
          </cell>
          <cell r="L22">
            <v>920.09044000000006</v>
          </cell>
          <cell r="M22">
            <v>866.10011999999983</v>
          </cell>
          <cell r="N22">
            <v>862.26913000000002</v>
          </cell>
          <cell r="O22">
            <v>858.60283000000004</v>
          </cell>
        </row>
        <row r="23">
          <cell r="E23">
            <v>1246.6288599999998</v>
          </cell>
          <cell r="F23">
            <v>1174.3625900000002</v>
          </cell>
          <cell r="G23">
            <v>1311.9070599999998</v>
          </cell>
          <cell r="H23">
            <v>1272.2868600000002</v>
          </cell>
          <cell r="I23">
            <v>1447.5801200000001</v>
          </cell>
          <cell r="J23">
            <v>1318.1143100000002</v>
          </cell>
          <cell r="K23">
            <v>1191.2968099999998</v>
          </cell>
          <cell r="L23">
            <v>1189.5787700000001</v>
          </cell>
          <cell r="M23">
            <v>1297.5853200000001</v>
          </cell>
          <cell r="N23">
            <v>1230.7398500000002</v>
          </cell>
          <cell r="O23">
            <v>1294.6774799999998</v>
          </cell>
        </row>
        <row r="24">
          <cell r="E24">
            <v>276.11928999999998</v>
          </cell>
          <cell r="F24">
            <v>281.12243000000001</v>
          </cell>
          <cell r="G24">
            <v>326.4255</v>
          </cell>
          <cell r="H24">
            <v>321.65985000000006</v>
          </cell>
          <cell r="I24">
            <v>323.42172999999997</v>
          </cell>
          <cell r="J24">
            <v>336.85079000000002</v>
          </cell>
          <cell r="K24">
            <v>341.86887000000002</v>
          </cell>
          <cell r="L24">
            <v>322.87925999999999</v>
          </cell>
          <cell r="M24">
            <v>316.74678</v>
          </cell>
          <cell r="N24">
            <v>304.75796000000003</v>
          </cell>
          <cell r="O24">
            <v>263.10406999999998</v>
          </cell>
        </row>
        <row r="25">
          <cell r="E25">
            <v>205.27674999999999</v>
          </cell>
          <cell r="F25">
            <v>171.36226000000002</v>
          </cell>
          <cell r="G25">
            <v>196.65259</v>
          </cell>
          <cell r="H25">
            <v>172.81202999999999</v>
          </cell>
          <cell r="I25">
            <v>187.95459999999997</v>
          </cell>
          <cell r="J25">
            <v>178.18703000000002</v>
          </cell>
          <cell r="K25">
            <v>178.17282999999998</v>
          </cell>
          <cell r="L25">
            <v>177.17060999999998</v>
          </cell>
          <cell r="M25">
            <v>196.53045</v>
          </cell>
          <cell r="N25">
            <v>217.54597000000001</v>
          </cell>
          <cell r="O25">
            <v>203.29345000000001</v>
          </cell>
        </row>
        <row r="26">
          <cell r="E26">
            <v>420.55117000000007</v>
          </cell>
          <cell r="F26">
            <v>251.51130000000001</v>
          </cell>
          <cell r="G26">
            <v>367.01936999999998</v>
          </cell>
          <cell r="H26">
            <v>258.99106999999998</v>
          </cell>
          <cell r="I26">
            <v>229.83891</v>
          </cell>
          <cell r="J26">
            <v>255.57227</v>
          </cell>
          <cell r="K26">
            <v>319.89686</v>
          </cell>
          <cell r="L26">
            <v>396.42832999999996</v>
          </cell>
          <cell r="M26">
            <v>408.81711000000001</v>
          </cell>
          <cell r="N26">
            <v>398.40842000000004</v>
          </cell>
          <cell r="O26">
            <v>589.60901000000001</v>
          </cell>
        </row>
        <row r="27">
          <cell r="E27">
            <v>148.95851000000002</v>
          </cell>
          <cell r="F27">
            <v>142.03849</v>
          </cell>
          <cell r="G27">
            <v>152.89709999999999</v>
          </cell>
          <cell r="H27">
            <v>139.96199999999999</v>
          </cell>
          <cell r="I27">
            <v>137.15174999999999</v>
          </cell>
          <cell r="J27">
            <v>128.78387000000001</v>
          </cell>
          <cell r="K27">
            <v>132.13858999999999</v>
          </cell>
          <cell r="L27">
            <v>131.61921000000001</v>
          </cell>
          <cell r="M27">
            <v>128.62386000000001</v>
          </cell>
          <cell r="N27">
            <v>136.45863</v>
          </cell>
          <cell r="O27">
            <v>137.56044</v>
          </cell>
        </row>
        <row r="28">
          <cell r="E28">
            <v>57.86056</v>
          </cell>
          <cell r="F28">
            <v>45.358979999999995</v>
          </cell>
          <cell r="G28">
            <v>69.292919999999995</v>
          </cell>
          <cell r="H28">
            <v>69.310269999999988</v>
          </cell>
          <cell r="I28">
            <v>71.388490000000004</v>
          </cell>
          <cell r="J28">
            <v>69.977100000000007</v>
          </cell>
          <cell r="K28">
            <v>53.362350000000006</v>
          </cell>
          <cell r="L28">
            <v>59.543479999999995</v>
          </cell>
          <cell r="M28">
            <v>70.672800000000009</v>
          </cell>
          <cell r="N28">
            <v>70.848079999999996</v>
          </cell>
          <cell r="O28">
            <v>69.19417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E30">
            <v>869.73280999999997</v>
          </cell>
          <cell r="F30">
            <v>816.46986000000004</v>
          </cell>
          <cell r="G30">
            <v>876.46123</v>
          </cell>
          <cell r="H30">
            <v>896.24433999999997</v>
          </cell>
          <cell r="I30">
            <v>931.36354999999992</v>
          </cell>
          <cell r="J30">
            <v>877.23443999999995</v>
          </cell>
          <cell r="K30">
            <v>847.72549000000004</v>
          </cell>
          <cell r="L30">
            <v>840.69533999999999</v>
          </cell>
          <cell r="M30">
            <v>871.92789000000005</v>
          </cell>
          <cell r="N30">
            <v>809.13483999999994</v>
          </cell>
          <cell r="O30">
            <v>737.80849999999998</v>
          </cell>
        </row>
        <row r="32">
          <cell r="E32">
            <v>1349.4852900000001</v>
          </cell>
          <cell r="F32">
            <v>1401.7353700000001</v>
          </cell>
          <cell r="G32">
            <v>1636.9396299999999</v>
          </cell>
          <cell r="H32">
            <v>1469.68335</v>
          </cell>
          <cell r="I32">
            <v>1616.34979</v>
          </cell>
          <cell r="J32">
            <v>1316.2787200000002</v>
          </cell>
          <cell r="K32">
            <v>1367.3704300000002</v>
          </cell>
          <cell r="L32">
            <v>1263.9485</v>
          </cell>
          <cell r="M32">
            <v>1616.8836999999996</v>
          </cell>
          <cell r="N32">
            <v>1685.3370099999997</v>
          </cell>
          <cell r="O32">
            <v>1308.1993499999999</v>
          </cell>
        </row>
        <row r="33">
          <cell r="E33">
            <v>625</v>
          </cell>
          <cell r="F33">
            <v>3360.0000000000027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</sheetData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FF63-96FE-4692-9B2C-9DA7DB9F0CBC}">
  <sheetPr codeName="Sheet1">
    <pageSetUpPr fitToPage="1"/>
  </sheetPr>
  <dimension ref="A3:IV73"/>
  <sheetViews>
    <sheetView tabSelected="1" topLeftCell="A32" zoomScale="85" zoomScaleNormal="85" workbookViewId="0">
      <selection activeCell="Q35" sqref="Q35"/>
    </sheetView>
  </sheetViews>
  <sheetFormatPr baseColWidth="10" defaultColWidth="9" defaultRowHeight="14.25"/>
  <cols>
    <col min="1" max="1" width="3" style="3" customWidth="1"/>
    <col min="2" max="2" width="47.5703125" style="3" bestFit="1" customWidth="1"/>
    <col min="3" max="14" width="13.7109375" style="3" customWidth="1"/>
    <col min="15" max="15" width="15.7109375" style="3" customWidth="1"/>
    <col min="16" max="16" width="13.28515625" style="3" customWidth="1"/>
    <col min="17" max="17" width="15.7109375" style="3" customWidth="1"/>
    <col min="18" max="16384" width="9" style="3"/>
  </cols>
  <sheetData>
    <row r="3" spans="2:15" ht="15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ht="15">
      <c r="B4" s="1" t="s">
        <v>58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15" ht="15" thickBot="1"/>
    <row r="6" spans="2:15" ht="15.75" thickTop="1"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6" t="s">
        <v>13</v>
      </c>
      <c r="O6" s="7" t="s">
        <v>14</v>
      </c>
    </row>
    <row r="7" spans="2:15" ht="15">
      <c r="B7" s="8" t="s">
        <v>15</v>
      </c>
      <c r="C7" s="9"/>
      <c r="D7" s="9"/>
      <c r="E7" s="10"/>
      <c r="F7" s="10"/>
      <c r="G7" s="10"/>
      <c r="H7" s="10"/>
      <c r="I7" s="10"/>
      <c r="J7" s="11"/>
      <c r="K7" s="10"/>
      <c r="L7" s="10"/>
      <c r="M7" s="10"/>
      <c r="N7" s="12"/>
      <c r="O7" s="13"/>
    </row>
    <row r="8" spans="2:15">
      <c r="B8" s="14" t="s">
        <v>16</v>
      </c>
      <c r="C8" s="41">
        <v>1200.312704513073</v>
      </c>
      <c r="D8" s="41">
        <v>595.62765822505946</v>
      </c>
      <c r="E8" s="42">
        <v>1109.2467762002946</v>
      </c>
      <c r="F8" s="42">
        <v>1127.1815622558593</v>
      </c>
      <c r="G8" s="42">
        <v>1133.309550703585</v>
      </c>
      <c r="H8" s="42">
        <v>1135.6820825748443</v>
      </c>
      <c r="I8" s="42">
        <v>1181.7816621814668</v>
      </c>
      <c r="J8" s="43">
        <v>1185.2002711944581</v>
      </c>
      <c r="K8" s="42">
        <v>1181.4739502506256</v>
      </c>
      <c r="L8" s="42">
        <v>1245.8837871708824</v>
      </c>
      <c r="M8" s="42">
        <v>1178.932824564457</v>
      </c>
      <c r="N8" s="44">
        <v>1245.6465469417572</v>
      </c>
      <c r="O8" s="45">
        <f t="shared" ref="O8:O14" si="0">+SUM(C8:N8)</f>
        <v>13520.279376776361</v>
      </c>
    </row>
    <row r="9" spans="2:15">
      <c r="B9" s="14" t="s">
        <v>17</v>
      </c>
      <c r="C9" s="41">
        <v>417.60620035934448</v>
      </c>
      <c r="D9" s="41">
        <v>355.83637687129129</v>
      </c>
      <c r="E9" s="42">
        <v>413.04621670469641</v>
      </c>
      <c r="F9" s="42">
        <v>403.44700989043713</v>
      </c>
      <c r="G9" s="42">
        <v>410.37314902994035</v>
      </c>
      <c r="H9" s="42">
        <v>394.81751075506213</v>
      </c>
      <c r="I9" s="42">
        <v>287.22852809858324</v>
      </c>
      <c r="J9" s="43">
        <v>401.31070727905632</v>
      </c>
      <c r="K9" s="42">
        <v>411.91617314910889</v>
      </c>
      <c r="L9" s="42">
        <v>423.4690746847391</v>
      </c>
      <c r="M9" s="42">
        <v>403.90082934868337</v>
      </c>
      <c r="N9" s="44">
        <v>420.58886263489723</v>
      </c>
      <c r="O9" s="45">
        <f t="shared" si="0"/>
        <v>4743.54063880584</v>
      </c>
    </row>
    <row r="10" spans="2:15">
      <c r="B10" s="14" t="s">
        <v>18</v>
      </c>
      <c r="C10" s="41">
        <v>3348.0482308654787</v>
      </c>
      <c r="D10" s="41">
        <v>2962.1097830429076</v>
      </c>
      <c r="E10" s="42">
        <v>3255.6860609207151</v>
      </c>
      <c r="F10" s="42">
        <v>3265.2525500488282</v>
      </c>
      <c r="G10" s="42">
        <v>3232.8522047691345</v>
      </c>
      <c r="H10" s="42">
        <v>3255.714926147461</v>
      </c>
      <c r="I10" s="42">
        <v>3359.2217099432946</v>
      </c>
      <c r="J10" s="43">
        <v>3320.3623030738831</v>
      </c>
      <c r="K10" s="42">
        <v>3241.1074496307374</v>
      </c>
      <c r="L10" s="42">
        <v>3349.2047584789993</v>
      </c>
      <c r="M10" s="42">
        <v>3199.8066374282835</v>
      </c>
      <c r="N10" s="44">
        <v>3378.462473684458</v>
      </c>
      <c r="O10" s="45">
        <f t="shared" si="0"/>
        <v>39167.829088034174</v>
      </c>
    </row>
    <row r="11" spans="2:15">
      <c r="B11" s="14" t="s">
        <v>19</v>
      </c>
      <c r="C11" s="41">
        <v>7625.7597588389208</v>
      </c>
      <c r="D11" s="41">
        <v>7253.5198832174428</v>
      </c>
      <c r="E11" s="42">
        <v>7647.2708842620177</v>
      </c>
      <c r="F11" s="42">
        <v>7324.9903239290979</v>
      </c>
      <c r="G11" s="42">
        <v>7284.2653905498155</v>
      </c>
      <c r="H11" s="42">
        <v>7247.124536364473</v>
      </c>
      <c r="I11" s="42">
        <v>7492.9544432446301</v>
      </c>
      <c r="J11" s="43">
        <v>7411.6764927188087</v>
      </c>
      <c r="K11" s="42">
        <v>7936.2176809570492</v>
      </c>
      <c r="L11" s="42">
        <v>8130.6449609736383</v>
      </c>
      <c r="M11" s="42">
        <v>7772.5022996950747</v>
      </c>
      <c r="N11" s="44">
        <v>7774.0504629574789</v>
      </c>
      <c r="O11" s="45">
        <f t="shared" si="0"/>
        <v>90900.977117708448</v>
      </c>
    </row>
    <row r="12" spans="2:15">
      <c r="B12" s="14" t="s">
        <v>20</v>
      </c>
      <c r="C12" s="41">
        <v>44560.97014836788</v>
      </c>
      <c r="D12" s="41">
        <v>51114.302731578573</v>
      </c>
      <c r="E12" s="42">
        <v>45291.948927784564</v>
      </c>
      <c r="F12" s="42">
        <v>43101.630445880532</v>
      </c>
      <c r="G12" s="42">
        <v>44554.949516009328</v>
      </c>
      <c r="H12" s="42">
        <v>43092.401173754457</v>
      </c>
      <c r="I12" s="42">
        <v>44548.849620083391</v>
      </c>
      <c r="J12" s="43">
        <v>44536.922212062258</v>
      </c>
      <c r="K12" s="42">
        <v>47393.735967602581</v>
      </c>
      <c r="L12" s="42">
        <v>48996.121681845187</v>
      </c>
      <c r="M12" s="42">
        <v>47409.620113084849</v>
      </c>
      <c r="N12" s="44">
        <v>46748.368327386495</v>
      </c>
      <c r="O12" s="45">
        <f t="shared" si="0"/>
        <v>551349.82086544007</v>
      </c>
    </row>
    <row r="13" spans="2:15">
      <c r="B13" s="14" t="s">
        <v>21</v>
      </c>
      <c r="C13" s="41">
        <v>4414.3694611816409</v>
      </c>
      <c r="D13" s="41">
        <v>4126.7637811123132</v>
      </c>
      <c r="E13" s="42">
        <v>4482.7830884604455</v>
      </c>
      <c r="F13" s="42">
        <v>4195.4086586605645</v>
      </c>
      <c r="G13" s="42">
        <v>4473.8741490746288</v>
      </c>
      <c r="H13" s="42">
        <v>4304.7715151096081</v>
      </c>
      <c r="I13" s="42">
        <v>4513.0974045104977</v>
      </c>
      <c r="J13" s="43">
        <v>4425.3352980803247</v>
      </c>
      <c r="K13" s="42">
        <v>4583.0286357579826</v>
      </c>
      <c r="L13" s="42">
        <v>4722.4734308634897</v>
      </c>
      <c r="M13" s="42">
        <v>4106.3714511421058</v>
      </c>
      <c r="N13" s="44">
        <v>4463.213589525104</v>
      </c>
      <c r="O13" s="45">
        <f>+SUM(C13:N13)</f>
        <v>52811.490463478702</v>
      </c>
    </row>
    <row r="14" spans="2:15" ht="15">
      <c r="B14" s="15" t="s">
        <v>22</v>
      </c>
      <c r="C14" s="46">
        <f>SUM(C8:C13)</f>
        <v>61567.066504126335</v>
      </c>
      <c r="D14" s="46">
        <f>SUM(D8:D13)</f>
        <v>66408.160214047588</v>
      </c>
      <c r="E14" s="46">
        <f t="shared" ref="E14:N14" si="1">SUM(E8:E13)</f>
        <v>62199.981954332732</v>
      </c>
      <c r="F14" s="46">
        <f t="shared" si="1"/>
        <v>59417.910550665321</v>
      </c>
      <c r="G14" s="46">
        <f t="shared" si="1"/>
        <v>61089.623960136436</v>
      </c>
      <c r="H14" s="46">
        <f t="shared" si="1"/>
        <v>59430.511744705902</v>
      </c>
      <c r="I14" s="46">
        <f t="shared" si="1"/>
        <v>61383.133368061863</v>
      </c>
      <c r="J14" s="46">
        <f t="shared" si="1"/>
        <v>61280.807284408787</v>
      </c>
      <c r="K14" s="46">
        <f t="shared" si="1"/>
        <v>64747.479857348088</v>
      </c>
      <c r="L14" s="46">
        <f t="shared" si="1"/>
        <v>66867.797694016932</v>
      </c>
      <c r="M14" s="46">
        <f t="shared" si="1"/>
        <v>64071.134155263455</v>
      </c>
      <c r="N14" s="47">
        <f t="shared" si="1"/>
        <v>64030.330263130192</v>
      </c>
      <c r="O14" s="48">
        <f t="shared" si="0"/>
        <v>752493.93755024369</v>
      </c>
    </row>
    <row r="15" spans="2:15" ht="15">
      <c r="B15" s="8" t="s">
        <v>23</v>
      </c>
      <c r="C15" s="16"/>
      <c r="D15" s="16"/>
      <c r="E15" s="17"/>
      <c r="F15" s="17"/>
      <c r="G15" s="17"/>
      <c r="H15" s="17"/>
      <c r="I15" s="17"/>
      <c r="J15" s="18"/>
      <c r="K15" s="42"/>
      <c r="L15" s="42"/>
      <c r="M15" s="42"/>
      <c r="N15" s="44"/>
      <c r="O15" s="19"/>
    </row>
    <row r="16" spans="2:15">
      <c r="B16" s="20" t="s">
        <v>24</v>
      </c>
      <c r="C16" s="41">
        <v>0</v>
      </c>
      <c r="D16" s="41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3">
        <v>0</v>
      </c>
      <c r="K16" s="42">
        <v>0</v>
      </c>
      <c r="L16" s="42">
        <v>0</v>
      </c>
      <c r="M16" s="42">
        <v>0</v>
      </c>
      <c r="N16" s="44">
        <v>0</v>
      </c>
      <c r="O16" s="45">
        <f t="shared" ref="O16:O22" si="2">+SUM(C16:N16)</f>
        <v>0</v>
      </c>
    </row>
    <row r="17" spans="2:17">
      <c r="B17" s="14" t="s">
        <v>25</v>
      </c>
      <c r="C17" s="41">
        <v>134.52245069885254</v>
      </c>
      <c r="D17" s="41">
        <v>54.015014404296878</v>
      </c>
      <c r="E17" s="42">
        <v>72.848698902567435</v>
      </c>
      <c r="F17" s="42">
        <v>48.837975120544435</v>
      </c>
      <c r="G17" s="42">
        <v>52.559225708007816</v>
      </c>
      <c r="H17" s="42">
        <v>0</v>
      </c>
      <c r="I17" s="42">
        <v>54.399136230468748</v>
      </c>
      <c r="J17" s="43">
        <v>0</v>
      </c>
      <c r="K17" s="42">
        <v>0</v>
      </c>
      <c r="L17" s="42">
        <v>57.050832896709444</v>
      </c>
      <c r="M17" s="42">
        <v>28.556539611816405</v>
      </c>
      <c r="N17" s="44">
        <v>0</v>
      </c>
      <c r="O17" s="45">
        <f t="shared" si="2"/>
        <v>502.78987357326372</v>
      </c>
    </row>
    <row r="18" spans="2:17">
      <c r="B18" s="20" t="s">
        <v>26</v>
      </c>
      <c r="C18" s="41">
        <v>2898.6855278197922</v>
      </c>
      <c r="D18" s="41">
        <v>2115.9897343784141</v>
      </c>
      <c r="E18" s="42">
        <v>339.40914642018083</v>
      </c>
      <c r="F18" s="42">
        <v>240.20707127484678</v>
      </c>
      <c r="G18" s="42">
        <v>1612.7645386688728</v>
      </c>
      <c r="H18" s="42">
        <v>2753.1753801096602</v>
      </c>
      <c r="I18" s="42">
        <v>3111.3777931853815</v>
      </c>
      <c r="J18" s="43">
        <v>4587.8710952197316</v>
      </c>
      <c r="K18" s="42">
        <v>4150.3115396481153</v>
      </c>
      <c r="L18" s="42">
        <v>1122.1331762670316</v>
      </c>
      <c r="M18" s="42">
        <v>3499.8227546054723</v>
      </c>
      <c r="N18" s="44">
        <v>1063.9934214850441</v>
      </c>
      <c r="O18" s="45">
        <f t="shared" si="2"/>
        <v>27495.741179082543</v>
      </c>
      <c r="P18" s="21"/>
    </row>
    <row r="19" spans="2:17">
      <c r="B19" s="20" t="s">
        <v>27</v>
      </c>
      <c r="C19" s="41">
        <v>4696.5427525200848</v>
      </c>
      <c r="D19" s="41">
        <v>2367.8451050319673</v>
      </c>
      <c r="E19" s="42">
        <v>341.3649077459574</v>
      </c>
      <c r="F19" s="42">
        <v>353.19134563095093</v>
      </c>
      <c r="G19" s="42">
        <v>2436.2082337722777</v>
      </c>
      <c r="H19" s="42">
        <v>2605.0519399553882</v>
      </c>
      <c r="I19" s="42">
        <v>1853.8933575649262</v>
      </c>
      <c r="J19" s="43">
        <v>2984.2870704990028</v>
      </c>
      <c r="K19" s="42">
        <v>1357.986030913353</v>
      </c>
      <c r="L19" s="42">
        <v>391.94481658935547</v>
      </c>
      <c r="M19" s="42">
        <v>4093.6307128136809</v>
      </c>
      <c r="N19" s="44">
        <v>1769.7623848691117</v>
      </c>
      <c r="O19" s="45">
        <f t="shared" si="2"/>
        <v>25251.708657906056</v>
      </c>
      <c r="P19" s="21"/>
    </row>
    <row r="20" spans="2:17">
      <c r="B20" s="40" t="s">
        <v>46</v>
      </c>
      <c r="C20" s="41">
        <v>30896.330984741209</v>
      </c>
      <c r="D20" s="41">
        <v>40302.368394987941</v>
      </c>
      <c r="E20" s="41">
        <v>37376.76707093048</v>
      </c>
      <c r="F20" s="41">
        <v>44975.479208106401</v>
      </c>
      <c r="G20" s="41">
        <v>49165.36256439209</v>
      </c>
      <c r="H20" s="41">
        <v>46126.459340210917</v>
      </c>
      <c r="I20" s="41">
        <v>48407.289343426703</v>
      </c>
      <c r="J20" s="41">
        <v>50743.657367973326</v>
      </c>
      <c r="K20" s="41">
        <v>45292.576995597839</v>
      </c>
      <c r="L20" s="41">
        <v>52765.778622131351</v>
      </c>
      <c r="M20" s="41">
        <v>49098.927560961965</v>
      </c>
      <c r="N20" s="43">
        <v>44732.824433715818</v>
      </c>
      <c r="O20" s="45">
        <f t="shared" si="2"/>
        <v>539883.82188717602</v>
      </c>
      <c r="P20" s="21"/>
    </row>
    <row r="21" spans="2:17" ht="15">
      <c r="B21" s="15" t="s">
        <v>28</v>
      </c>
      <c r="C21" s="46">
        <f>SUM(C16:C20)</f>
        <v>38626.081715779939</v>
      </c>
      <c r="D21" s="46">
        <f t="shared" ref="D21:N21" si="3">SUM(D16:D20)</f>
        <v>44840.218248802616</v>
      </c>
      <c r="E21" s="46">
        <f t="shared" si="3"/>
        <v>38130.389823999183</v>
      </c>
      <c r="F21" s="46">
        <f t="shared" si="3"/>
        <v>45617.715600132746</v>
      </c>
      <c r="G21" s="46">
        <f t="shared" si="3"/>
        <v>53266.894562541245</v>
      </c>
      <c r="H21" s="46">
        <f t="shared" si="3"/>
        <v>51484.686660275969</v>
      </c>
      <c r="I21" s="46">
        <f t="shared" si="3"/>
        <v>53426.95963040748</v>
      </c>
      <c r="J21" s="46">
        <f t="shared" si="3"/>
        <v>58315.815533692061</v>
      </c>
      <c r="K21" s="46">
        <f t="shared" si="3"/>
        <v>50800.874566159306</v>
      </c>
      <c r="L21" s="46">
        <f t="shared" si="3"/>
        <v>54336.907447884449</v>
      </c>
      <c r="M21" s="46">
        <f t="shared" si="3"/>
        <v>56720.937567992936</v>
      </c>
      <c r="N21" s="47">
        <f t="shared" si="3"/>
        <v>47566.580240069976</v>
      </c>
      <c r="O21" s="48">
        <f t="shared" si="2"/>
        <v>593134.06159773795</v>
      </c>
    </row>
    <row r="22" spans="2:17" ht="15.75" thickBot="1">
      <c r="B22" s="22" t="s">
        <v>29</v>
      </c>
      <c r="C22" s="49">
        <f t="shared" ref="C22:N22" si="4">+C14+C21</f>
        <v>100193.14821990627</v>
      </c>
      <c r="D22" s="49">
        <f t="shared" si="4"/>
        <v>111248.3784628502</v>
      </c>
      <c r="E22" s="49">
        <f t="shared" si="4"/>
        <v>100330.37177833192</v>
      </c>
      <c r="F22" s="49">
        <f t="shared" si="4"/>
        <v>105035.62615079807</v>
      </c>
      <c r="G22" s="49">
        <f t="shared" si="4"/>
        <v>114356.51852267768</v>
      </c>
      <c r="H22" s="49">
        <f t="shared" si="4"/>
        <v>110915.19840498187</v>
      </c>
      <c r="I22" s="49">
        <f t="shared" si="4"/>
        <v>114810.09299846934</v>
      </c>
      <c r="J22" s="49">
        <f t="shared" si="4"/>
        <v>119596.62281810085</v>
      </c>
      <c r="K22" s="49">
        <f t="shared" si="4"/>
        <v>115548.35442350739</v>
      </c>
      <c r="L22" s="49">
        <f t="shared" si="4"/>
        <v>121204.70514190139</v>
      </c>
      <c r="M22" s="49">
        <f t="shared" si="4"/>
        <v>120792.07172325639</v>
      </c>
      <c r="N22" s="50">
        <f t="shared" si="4"/>
        <v>111596.91050320017</v>
      </c>
      <c r="O22" s="51">
        <f t="shared" si="2"/>
        <v>1345627.9991479816</v>
      </c>
    </row>
    <row r="23" spans="2:17" ht="15" thickTop="1"/>
    <row r="24" spans="2:17" ht="15">
      <c r="B24" s="1" t="s">
        <v>57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2:17" ht="15" thickBot="1"/>
    <row r="26" spans="2:17" ht="15.75" thickTop="1">
      <c r="B26" s="29" t="s">
        <v>30</v>
      </c>
      <c r="C26" s="30" t="s">
        <v>2</v>
      </c>
      <c r="D26" s="31" t="s">
        <v>3</v>
      </c>
      <c r="E26" s="31" t="s">
        <v>4</v>
      </c>
      <c r="F26" s="31" t="s">
        <v>5</v>
      </c>
      <c r="G26" s="31" t="s">
        <v>6</v>
      </c>
      <c r="H26" s="31" t="s">
        <v>7</v>
      </c>
      <c r="I26" s="31" t="s">
        <v>8</v>
      </c>
      <c r="J26" s="31" t="s">
        <v>9</v>
      </c>
      <c r="K26" s="31" t="s">
        <v>10</v>
      </c>
      <c r="L26" s="31" t="s">
        <v>11</v>
      </c>
      <c r="M26" s="31" t="s">
        <v>12</v>
      </c>
      <c r="N26" s="32" t="s">
        <v>13</v>
      </c>
      <c r="O26" s="33" t="s">
        <v>14</v>
      </c>
    </row>
    <row r="27" spans="2:17" ht="15">
      <c r="B27" s="23" t="s">
        <v>31</v>
      </c>
      <c r="C27" s="52">
        <f t="shared" ref="C27:N27" si="5">+C28+C29</f>
        <v>100193.14821990627</v>
      </c>
      <c r="D27" s="53">
        <f t="shared" si="5"/>
        <v>111248.3784628502</v>
      </c>
      <c r="E27" s="54">
        <f t="shared" si="5"/>
        <v>100330.37177833192</v>
      </c>
      <c r="F27" s="54">
        <f t="shared" si="5"/>
        <v>105035.62615079807</v>
      </c>
      <c r="G27" s="54">
        <f t="shared" si="5"/>
        <v>114356.51852267768</v>
      </c>
      <c r="H27" s="54">
        <f t="shared" si="5"/>
        <v>110915.19840498187</v>
      </c>
      <c r="I27" s="55">
        <f t="shared" si="5"/>
        <v>114810.09299846934</v>
      </c>
      <c r="J27" s="54">
        <f t="shared" si="5"/>
        <v>119596.62281810085</v>
      </c>
      <c r="K27" s="54">
        <f t="shared" si="5"/>
        <v>115548.35442350739</v>
      </c>
      <c r="L27" s="54">
        <f t="shared" si="5"/>
        <v>121204.70514190139</v>
      </c>
      <c r="M27" s="54">
        <f t="shared" si="5"/>
        <v>120792.07172325639</v>
      </c>
      <c r="N27" s="56">
        <f t="shared" si="5"/>
        <v>111596.91050320017</v>
      </c>
      <c r="O27" s="57">
        <f>SUM(C27:N27)</f>
        <v>1345627.9991479816</v>
      </c>
      <c r="Q27" s="18"/>
    </row>
    <row r="28" spans="2:17">
      <c r="B28" s="24" t="s">
        <v>32</v>
      </c>
      <c r="C28" s="58">
        <f t="shared" ref="C28:N28" si="6">+C14</f>
        <v>61567.066504126335</v>
      </c>
      <c r="D28" s="59">
        <f t="shared" si="6"/>
        <v>66408.160214047588</v>
      </c>
      <c r="E28" s="59">
        <f t="shared" si="6"/>
        <v>62199.981954332732</v>
      </c>
      <c r="F28" s="59">
        <f>+F14</f>
        <v>59417.910550665321</v>
      </c>
      <c r="G28" s="59">
        <f t="shared" si="6"/>
        <v>61089.623960136436</v>
      </c>
      <c r="H28" s="59">
        <f t="shared" si="6"/>
        <v>59430.511744705902</v>
      </c>
      <c r="I28" s="59">
        <f t="shared" si="6"/>
        <v>61383.133368061863</v>
      </c>
      <c r="J28" s="59">
        <f t="shared" si="6"/>
        <v>61280.807284408787</v>
      </c>
      <c r="K28" s="59">
        <f t="shared" si="6"/>
        <v>64747.479857348088</v>
      </c>
      <c r="L28" s="59">
        <f t="shared" si="6"/>
        <v>66867.797694016932</v>
      </c>
      <c r="M28" s="59">
        <f t="shared" si="6"/>
        <v>64071.134155263455</v>
      </c>
      <c r="N28" s="59">
        <f t="shared" si="6"/>
        <v>64030.330263130192</v>
      </c>
      <c r="O28" s="60">
        <f t="shared" ref="O27:O43" si="7">SUM(C28:N28)</f>
        <v>752493.93755024369</v>
      </c>
      <c r="Q28" s="18"/>
    </row>
    <row r="29" spans="2:17">
      <c r="B29" s="25" t="s">
        <v>33</v>
      </c>
      <c r="C29" s="61">
        <f t="shared" ref="C29:N29" si="8">+C21</f>
        <v>38626.081715779939</v>
      </c>
      <c r="D29" s="62">
        <f t="shared" si="8"/>
        <v>44840.218248802616</v>
      </c>
      <c r="E29" s="62">
        <f t="shared" si="8"/>
        <v>38130.389823999183</v>
      </c>
      <c r="F29" s="62">
        <f>+F21</f>
        <v>45617.715600132746</v>
      </c>
      <c r="G29" s="62">
        <f t="shared" si="8"/>
        <v>53266.894562541245</v>
      </c>
      <c r="H29" s="62">
        <f t="shared" si="8"/>
        <v>51484.686660275969</v>
      </c>
      <c r="I29" s="62">
        <f t="shared" si="8"/>
        <v>53426.95963040748</v>
      </c>
      <c r="J29" s="62">
        <f t="shared" si="8"/>
        <v>58315.815533692061</v>
      </c>
      <c r="K29" s="62">
        <f t="shared" si="8"/>
        <v>50800.874566159306</v>
      </c>
      <c r="L29" s="62">
        <f t="shared" si="8"/>
        <v>54336.907447884449</v>
      </c>
      <c r="M29" s="62">
        <f t="shared" si="8"/>
        <v>56720.937567992936</v>
      </c>
      <c r="N29" s="62">
        <f t="shared" si="8"/>
        <v>47566.580240069976</v>
      </c>
      <c r="O29" s="64">
        <f>SUM(C29:N29)</f>
        <v>593134.06159773795</v>
      </c>
      <c r="Q29" s="18"/>
    </row>
    <row r="30" spans="2:17" ht="15">
      <c r="B30" s="23" t="s">
        <v>34</v>
      </c>
      <c r="C30" s="65">
        <f t="shared" ref="C30:N30" si="9">+C31</f>
        <v>0</v>
      </c>
      <c r="D30" s="55">
        <f t="shared" si="9"/>
        <v>0</v>
      </c>
      <c r="E30" s="55">
        <f t="shared" si="9"/>
        <v>0</v>
      </c>
      <c r="F30" s="55">
        <f t="shared" si="9"/>
        <v>0</v>
      </c>
      <c r="G30" s="54">
        <f t="shared" si="9"/>
        <v>0</v>
      </c>
      <c r="H30" s="54">
        <f t="shared" si="9"/>
        <v>0</v>
      </c>
      <c r="I30" s="55">
        <f t="shared" si="9"/>
        <v>0</v>
      </c>
      <c r="J30" s="55">
        <f t="shared" si="9"/>
        <v>0</v>
      </c>
      <c r="K30" s="55">
        <f t="shared" si="9"/>
        <v>0</v>
      </c>
      <c r="L30" s="55">
        <f t="shared" si="9"/>
        <v>0</v>
      </c>
      <c r="M30" s="55">
        <f t="shared" si="9"/>
        <v>0</v>
      </c>
      <c r="N30" s="56">
        <f t="shared" si="9"/>
        <v>0</v>
      </c>
      <c r="O30" s="57">
        <f t="shared" si="7"/>
        <v>0</v>
      </c>
      <c r="Q30" s="18"/>
    </row>
    <row r="31" spans="2:17">
      <c r="B31" s="24" t="s">
        <v>41</v>
      </c>
      <c r="C31" s="66">
        <v>0</v>
      </c>
      <c r="D31" s="42">
        <v>0</v>
      </c>
      <c r="E31" s="42">
        <v>0</v>
      </c>
      <c r="F31" s="42">
        <v>0</v>
      </c>
      <c r="G31" s="59">
        <v>0</v>
      </c>
      <c r="H31" s="59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4">
        <v>0</v>
      </c>
      <c r="O31" s="60">
        <f t="shared" si="7"/>
        <v>0</v>
      </c>
      <c r="Q31" s="18"/>
    </row>
    <row r="32" spans="2:17" ht="15">
      <c r="B32" s="23" t="s">
        <v>35</v>
      </c>
      <c r="C32" s="52">
        <f>+C33+C34</f>
        <v>828.19244129497747</v>
      </c>
      <c r="D32" s="54">
        <f t="shared" ref="D32:N32" si="10">+D33+D34</f>
        <v>724.68752431553617</v>
      </c>
      <c r="E32" s="54">
        <f t="shared" si="10"/>
        <v>479.02384198015045</v>
      </c>
      <c r="F32" s="54">
        <f t="shared" si="10"/>
        <v>508.52441020199922</v>
      </c>
      <c r="G32" s="54">
        <f t="shared" si="10"/>
        <v>710.2633518461746</v>
      </c>
      <c r="H32" s="54">
        <f t="shared" si="10"/>
        <v>793.18930731004002</v>
      </c>
      <c r="I32" s="54">
        <f t="shared" si="10"/>
        <v>808.26002913751984</v>
      </c>
      <c r="J32" s="54">
        <f t="shared" si="10"/>
        <v>958.30576584489904</v>
      </c>
      <c r="K32" s="54">
        <f t="shared" si="10"/>
        <v>855.08245563142805</v>
      </c>
      <c r="L32" s="54">
        <f t="shared" si="10"/>
        <v>631.10243590950472</v>
      </c>
      <c r="M32" s="54">
        <f t="shared" si="10"/>
        <v>936.69125306512046</v>
      </c>
      <c r="N32" s="67">
        <f t="shared" si="10"/>
        <v>647.67077101550331</v>
      </c>
      <c r="O32" s="57">
        <f t="shared" si="7"/>
        <v>8880.9935875528536</v>
      </c>
      <c r="Q32" s="18"/>
    </row>
    <row r="33" spans="2:17">
      <c r="B33" s="24" t="s">
        <v>32</v>
      </c>
      <c r="C33" s="74">
        <v>299.46541993999244</v>
      </c>
      <c r="D33" s="42">
        <v>284.22147313471356</v>
      </c>
      <c r="E33" s="42">
        <v>285.79649249510203</v>
      </c>
      <c r="F33" s="42">
        <v>288.87510650001286</v>
      </c>
      <c r="G33" s="42">
        <v>300.97170099427325</v>
      </c>
      <c r="H33" s="42">
        <v>298.59112040616429</v>
      </c>
      <c r="I33" s="42">
        <v>316.58367939613987</v>
      </c>
      <c r="J33" s="42">
        <v>317.96860035080414</v>
      </c>
      <c r="K33" s="42">
        <v>305.51324884802369</v>
      </c>
      <c r="L33" s="42">
        <v>318.41516368178645</v>
      </c>
      <c r="M33" s="42">
        <v>298.42688981793009</v>
      </c>
      <c r="N33" s="44">
        <v>311.25935050351495</v>
      </c>
      <c r="O33" s="60">
        <f t="shared" si="7"/>
        <v>3626.0882460684579</v>
      </c>
      <c r="Q33" s="18"/>
    </row>
    <row r="34" spans="2:17">
      <c r="B34" s="26" t="s">
        <v>33</v>
      </c>
      <c r="C34" s="96">
        <v>528.72702135498503</v>
      </c>
      <c r="D34" s="68">
        <v>440.4660511808226</v>
      </c>
      <c r="E34" s="68">
        <v>193.22734948504842</v>
      </c>
      <c r="F34" s="68">
        <v>219.64930370198636</v>
      </c>
      <c r="G34" s="68">
        <v>409.29165085190135</v>
      </c>
      <c r="H34" s="68">
        <v>494.59818690387578</v>
      </c>
      <c r="I34" s="68">
        <v>491.67634974137997</v>
      </c>
      <c r="J34" s="68">
        <v>640.33716549409485</v>
      </c>
      <c r="K34" s="68">
        <v>549.5692067834043</v>
      </c>
      <c r="L34" s="68">
        <v>312.68727222771832</v>
      </c>
      <c r="M34" s="68">
        <v>638.26436324719043</v>
      </c>
      <c r="N34" s="63">
        <v>336.41142051198835</v>
      </c>
      <c r="O34" s="64">
        <f t="shared" si="7"/>
        <v>5254.9053414843956</v>
      </c>
      <c r="Q34" s="18"/>
    </row>
    <row r="35" spans="2:17" ht="15">
      <c r="B35" s="27" t="s">
        <v>36</v>
      </c>
      <c r="C35" s="69">
        <f t="shared" ref="C35:N35" si="11">+C36+C37</f>
        <v>1464.8405874137097</v>
      </c>
      <c r="D35" s="70">
        <f t="shared" si="11"/>
        <v>1505.3920759065659</v>
      </c>
      <c r="E35" s="70">
        <f t="shared" si="11"/>
        <v>1484.6567324263597</v>
      </c>
      <c r="F35" s="70">
        <f t="shared" si="11"/>
        <v>1623.4725428078527</v>
      </c>
      <c r="G35" s="70">
        <f t="shared" si="11"/>
        <v>1659.0197152305918</v>
      </c>
      <c r="H35" s="70">
        <f t="shared" si="11"/>
        <v>1533.8382172922429</v>
      </c>
      <c r="I35" s="71">
        <f t="shared" si="11"/>
        <v>1521.3792230415274</v>
      </c>
      <c r="J35" s="71">
        <f t="shared" si="11"/>
        <v>1779.6094519563776</v>
      </c>
      <c r="K35" s="71">
        <f t="shared" si="11"/>
        <v>1604.8303412614623</v>
      </c>
      <c r="L35" s="71">
        <f t="shared" si="11"/>
        <v>1630.8721632217785</v>
      </c>
      <c r="M35" s="71">
        <f t="shared" si="11"/>
        <v>1648.4229257259722</v>
      </c>
      <c r="N35" s="72">
        <f t="shared" si="11"/>
        <v>1541.1865300454665</v>
      </c>
      <c r="O35" s="73">
        <f t="shared" si="7"/>
        <v>18997.520506329907</v>
      </c>
      <c r="Q35" s="18"/>
    </row>
    <row r="36" spans="2:17">
      <c r="B36" s="24" t="s">
        <v>37</v>
      </c>
      <c r="C36" s="74">
        <v>585.93623496548389</v>
      </c>
      <c r="D36" s="42">
        <v>602.15683036262635</v>
      </c>
      <c r="E36" s="93">
        <v>593.86269297054389</v>
      </c>
      <c r="F36" s="42">
        <v>649.38901712314112</v>
      </c>
      <c r="G36" s="42">
        <v>663.60788609223675</v>
      </c>
      <c r="H36" s="42">
        <v>613.53528691689723</v>
      </c>
      <c r="I36" s="42">
        <v>608.55168921661095</v>
      </c>
      <c r="J36" s="42">
        <v>711.84378078255111</v>
      </c>
      <c r="K36" s="42">
        <v>641.93213650458495</v>
      </c>
      <c r="L36" s="42">
        <v>652.34886528871141</v>
      </c>
      <c r="M36" s="42">
        <v>659.36917029038887</v>
      </c>
      <c r="N36" s="42">
        <v>616.47461201818669</v>
      </c>
      <c r="O36" s="60">
        <f t="shared" si="7"/>
        <v>7599.0082025319643</v>
      </c>
      <c r="Q36" s="18"/>
    </row>
    <row r="37" spans="2:17">
      <c r="B37" s="24" t="s">
        <v>38</v>
      </c>
      <c r="C37" s="74">
        <v>878.90435244822584</v>
      </c>
      <c r="D37" s="42">
        <v>903.23524554393953</v>
      </c>
      <c r="E37" s="93">
        <v>890.79403945581578</v>
      </c>
      <c r="F37" s="42">
        <v>974.08352568471162</v>
      </c>
      <c r="G37" s="42">
        <v>995.41182913835507</v>
      </c>
      <c r="H37" s="42">
        <v>920.30293037534568</v>
      </c>
      <c r="I37" s="42">
        <v>912.82753382491649</v>
      </c>
      <c r="J37" s="68">
        <v>1067.7656711738266</v>
      </c>
      <c r="K37" s="68">
        <v>962.89820475687736</v>
      </c>
      <c r="L37" s="68">
        <v>978.52329793306706</v>
      </c>
      <c r="M37" s="68">
        <v>989.0537554355833</v>
      </c>
      <c r="N37" s="68">
        <v>924.71191802727981</v>
      </c>
      <c r="O37" s="60">
        <f t="shared" si="7"/>
        <v>11398.512303797945</v>
      </c>
      <c r="Q37" s="18"/>
    </row>
    <row r="38" spans="2:17" ht="15">
      <c r="B38" s="34" t="s">
        <v>39</v>
      </c>
      <c r="C38" s="75">
        <f t="shared" ref="C38:N38" si="12">+C27+C30-C32-C35</f>
        <v>97900.11519119759</v>
      </c>
      <c r="D38" s="76">
        <f t="shared" si="12"/>
        <v>109018.2988626281</v>
      </c>
      <c r="E38" s="76">
        <f t="shared" si="12"/>
        <v>98366.691203925409</v>
      </c>
      <c r="F38" s="76">
        <f t="shared" si="12"/>
        <v>102903.62919778822</v>
      </c>
      <c r="G38" s="76">
        <f t="shared" si="12"/>
        <v>111987.23545560091</v>
      </c>
      <c r="H38" s="76">
        <f t="shared" si="12"/>
        <v>108588.17088037959</v>
      </c>
      <c r="I38" s="76">
        <f t="shared" si="12"/>
        <v>112480.4537462903</v>
      </c>
      <c r="J38" s="76">
        <f t="shared" si="12"/>
        <v>116858.70760029957</v>
      </c>
      <c r="K38" s="76">
        <f t="shared" si="12"/>
        <v>113088.4416266145</v>
      </c>
      <c r="L38" s="76">
        <f t="shared" si="12"/>
        <v>118942.73054277011</v>
      </c>
      <c r="M38" s="76">
        <f t="shared" si="12"/>
        <v>118206.9575444653</v>
      </c>
      <c r="N38" s="77">
        <f t="shared" si="12"/>
        <v>109408.0532021392</v>
      </c>
      <c r="O38" s="78">
        <f t="shared" si="7"/>
        <v>1317749.4850540988</v>
      </c>
      <c r="Q38" s="18"/>
    </row>
    <row r="39" spans="2:17" ht="15">
      <c r="B39" s="34" t="s">
        <v>40</v>
      </c>
      <c r="C39" s="75">
        <f t="shared" ref="C39:N39" si="13">+C40+C43+C53</f>
        <v>97900.11519119759</v>
      </c>
      <c r="D39" s="76">
        <f t="shared" si="13"/>
        <v>109018.2988626281</v>
      </c>
      <c r="E39" s="76">
        <f t="shared" si="13"/>
        <v>98366.691203925409</v>
      </c>
      <c r="F39" s="76">
        <f t="shared" si="13"/>
        <v>102903.62919778822</v>
      </c>
      <c r="G39" s="76">
        <f t="shared" si="13"/>
        <v>111987.23545560091</v>
      </c>
      <c r="H39" s="76">
        <f t="shared" si="13"/>
        <v>108588.17088037959</v>
      </c>
      <c r="I39" s="76">
        <f t="shared" si="13"/>
        <v>112480.4537462903</v>
      </c>
      <c r="J39" s="76">
        <f t="shared" si="13"/>
        <v>116858.70760029957</v>
      </c>
      <c r="K39" s="76">
        <f t="shared" si="13"/>
        <v>113088.4416266145</v>
      </c>
      <c r="L39" s="76">
        <f t="shared" si="13"/>
        <v>118942.73054277011</v>
      </c>
      <c r="M39" s="76">
        <f t="shared" si="13"/>
        <v>118206.9575444653</v>
      </c>
      <c r="N39" s="77">
        <f t="shared" si="13"/>
        <v>109408.0532021392</v>
      </c>
      <c r="O39" s="78">
        <f t="shared" si="7"/>
        <v>1317749.4850540988</v>
      </c>
      <c r="Q39" s="18"/>
    </row>
    <row r="40" spans="2:17" ht="15">
      <c r="B40" s="27" t="s">
        <v>44</v>
      </c>
      <c r="C40" s="79">
        <f t="shared" ref="C40:N40" si="14">+C41+C42</f>
        <v>26081.763051197599</v>
      </c>
      <c r="D40" s="71">
        <f t="shared" si="14"/>
        <v>39723.074142628102</v>
      </c>
      <c r="E40" s="80">
        <f t="shared" si="14"/>
        <v>28203.447523925399</v>
      </c>
      <c r="F40" s="71">
        <f t="shared" si="14"/>
        <v>35341.813397788203</v>
      </c>
      <c r="G40" s="71">
        <f t="shared" si="14"/>
        <v>43647.145385600903</v>
      </c>
      <c r="H40" s="71">
        <f t="shared" si="14"/>
        <v>43532.2929603796</v>
      </c>
      <c r="I40" s="71">
        <f t="shared" si="14"/>
        <v>46252.634026290303</v>
      </c>
      <c r="J40" s="71">
        <f t="shared" si="14"/>
        <v>49007.1000202996</v>
      </c>
      <c r="K40" s="71">
        <f t="shared" si="14"/>
        <v>47106.386586614499</v>
      </c>
      <c r="L40" s="70">
        <f t="shared" si="14"/>
        <v>52500.203302770104</v>
      </c>
      <c r="M40" s="70">
        <f t="shared" si="14"/>
        <v>53553.601094465303</v>
      </c>
      <c r="N40" s="81">
        <f t="shared" si="14"/>
        <v>41527.6793221392</v>
      </c>
      <c r="O40" s="73">
        <f t="shared" si="7"/>
        <v>506477.14081409876</v>
      </c>
      <c r="Q40" s="18"/>
    </row>
    <row r="41" spans="2:17">
      <c r="B41" s="24" t="s">
        <v>41</v>
      </c>
      <c r="C41" s="74">
        <v>26081.763051197599</v>
      </c>
      <c r="D41" s="42">
        <v>39723.074142628102</v>
      </c>
      <c r="E41" s="18">
        <v>28203.447523925399</v>
      </c>
      <c r="F41" s="102">
        <v>35341.813397788203</v>
      </c>
      <c r="G41" s="42">
        <v>43647.145385600903</v>
      </c>
      <c r="H41" s="42">
        <v>43532.2929603796</v>
      </c>
      <c r="I41" s="42">
        <v>46252.634026290303</v>
      </c>
      <c r="J41" s="42">
        <v>49007.1000202996</v>
      </c>
      <c r="K41" s="42">
        <v>47106.386586614499</v>
      </c>
      <c r="L41" s="42">
        <v>52500.203302770104</v>
      </c>
      <c r="M41" s="42">
        <v>53553.601094465303</v>
      </c>
      <c r="N41" s="44">
        <v>41527.6793221392</v>
      </c>
      <c r="O41" s="60">
        <f t="shared" si="7"/>
        <v>506477.14081409876</v>
      </c>
      <c r="P41" s="18"/>
      <c r="Q41" s="18"/>
    </row>
    <row r="42" spans="2:17" hidden="1">
      <c r="B42" s="24" t="s">
        <v>45</v>
      </c>
      <c r="C42" s="74">
        <v>0</v>
      </c>
      <c r="D42" s="42">
        <v>0</v>
      </c>
      <c r="E42" s="18">
        <v>0</v>
      </c>
      <c r="F42" s="98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4"/>
      <c r="O42" s="60">
        <f t="shared" si="7"/>
        <v>0</v>
      </c>
      <c r="P42" s="18"/>
      <c r="Q42" s="18"/>
    </row>
    <row r="43" spans="2:17" ht="15">
      <c r="B43" s="27" t="s">
        <v>42</v>
      </c>
      <c r="C43" s="79">
        <f t="shared" ref="C43:N43" si="15">SUM(C44:C52)</f>
        <v>71124.378589999993</v>
      </c>
      <c r="D43" s="72">
        <f t="shared" si="15"/>
        <v>68489.156860000003</v>
      </c>
      <c r="E43" s="71">
        <f t="shared" si="15"/>
        <v>69339.989060000007</v>
      </c>
      <c r="F43" s="99">
        <f t="shared" si="15"/>
        <v>66755.885550000006</v>
      </c>
      <c r="G43" s="71">
        <f t="shared" si="15"/>
        <v>67413.698770000003</v>
      </c>
      <c r="H43" s="71">
        <f t="shared" si="15"/>
        <v>64187.599539999988</v>
      </c>
      <c r="I43" s="71">
        <f t="shared" si="15"/>
        <v>65281.065909999998</v>
      </c>
      <c r="J43" s="71">
        <f t="shared" si="15"/>
        <v>66869.162319999989</v>
      </c>
      <c r="K43" s="71">
        <f t="shared" si="15"/>
        <v>64997.421509999993</v>
      </c>
      <c r="L43" s="71">
        <f t="shared" si="15"/>
        <v>65514.346689999998</v>
      </c>
      <c r="M43" s="97">
        <f t="shared" si="15"/>
        <v>63693.281759999998</v>
      </c>
      <c r="N43" s="97">
        <f t="shared" si="15"/>
        <v>65712.745569999999</v>
      </c>
      <c r="O43" s="73">
        <f t="shared" si="7"/>
        <v>799378.73213000013</v>
      </c>
      <c r="Q43" s="18"/>
    </row>
    <row r="44" spans="2:17">
      <c r="B44" s="24" t="s">
        <v>47</v>
      </c>
      <c r="C44" s="74">
        <v>13642.553709999998</v>
      </c>
      <c r="D44" s="42">
        <v>13378.52072</v>
      </c>
      <c r="E44" s="42">
        <v>13377.867670000001</v>
      </c>
      <c r="F44" s="98">
        <v>12758.429</v>
      </c>
      <c r="G44" s="42">
        <v>12889.44692</v>
      </c>
      <c r="H44" s="42">
        <v>11900.284009999998</v>
      </c>
      <c r="I44" s="42">
        <v>12504.079919999998</v>
      </c>
      <c r="J44" s="42">
        <v>12559.826580000001</v>
      </c>
      <c r="K44" s="42">
        <v>12248.35975</v>
      </c>
      <c r="L44" s="42">
        <v>12425.68023</v>
      </c>
      <c r="M44" s="42">
        <v>11995.58251</v>
      </c>
      <c r="N44" s="44">
        <v>12860.649760000002</v>
      </c>
      <c r="O44" s="60">
        <f>SUM(C44:N44)</f>
        <v>152541.28078000003</v>
      </c>
      <c r="Q44" s="18"/>
    </row>
    <row r="45" spans="2:17">
      <c r="B45" s="24" t="s">
        <v>48</v>
      </c>
      <c r="C45" s="74">
        <v>48522.057670000002</v>
      </c>
      <c r="D45" s="42">
        <v>47162.76915</v>
      </c>
      <c r="E45" s="43">
        <v>47750.360509999991</v>
      </c>
      <c r="F45" s="98">
        <v>45938.621180000002</v>
      </c>
      <c r="G45" s="42">
        <v>45994.08599</v>
      </c>
      <c r="H45" s="42">
        <v>43408.442590000006</v>
      </c>
      <c r="I45" s="42">
        <v>43648.554990000004</v>
      </c>
      <c r="J45" s="42">
        <v>45003.718139999997</v>
      </c>
      <c r="K45" s="42">
        <v>44058.721700000002</v>
      </c>
      <c r="L45" s="42">
        <v>44786.867399999996</v>
      </c>
      <c r="M45" s="42">
        <v>43397.98618</v>
      </c>
      <c r="N45" s="44">
        <v>44576.270709999997</v>
      </c>
      <c r="O45" s="60">
        <f t="shared" ref="O45:O52" si="16">SUM(C45:N45)</f>
        <v>544248.45620999997</v>
      </c>
      <c r="Q45" s="18"/>
    </row>
    <row r="46" spans="2:17">
      <c r="B46" s="24" t="s">
        <v>49</v>
      </c>
      <c r="C46" s="74">
        <v>673.68020999999999</v>
      </c>
      <c r="D46" s="42">
        <v>668.94531000000006</v>
      </c>
      <c r="E46" s="43">
        <v>702.05651</v>
      </c>
      <c r="F46" s="98">
        <v>643.74680000000001</v>
      </c>
      <c r="G46" s="42">
        <v>633.06594999999993</v>
      </c>
      <c r="H46" s="42">
        <v>582.18979999999988</v>
      </c>
      <c r="I46" s="42">
        <v>586.01563999999996</v>
      </c>
      <c r="J46" s="42">
        <v>604.89447999999993</v>
      </c>
      <c r="K46" s="42">
        <v>589.28817000000004</v>
      </c>
      <c r="L46" s="42">
        <v>607.9929800000001</v>
      </c>
      <c r="M46" s="42">
        <v>617.67490999999995</v>
      </c>
      <c r="N46" s="44">
        <v>657.33318999999995</v>
      </c>
      <c r="O46" s="60">
        <f t="shared" si="16"/>
        <v>7566.8839499999995</v>
      </c>
      <c r="Q46" s="18"/>
    </row>
    <row r="47" spans="2:17">
      <c r="B47" s="24" t="s">
        <v>50</v>
      </c>
      <c r="C47" s="74">
        <v>1266.4756400000001</v>
      </c>
      <c r="D47" s="42">
        <v>1208.6596600000003</v>
      </c>
      <c r="E47" s="100">
        <v>1265.3330000000001</v>
      </c>
      <c r="F47" s="98">
        <v>1179.5959599999999</v>
      </c>
      <c r="G47" s="42">
        <v>1219.3600699999997</v>
      </c>
      <c r="H47" s="42">
        <v>1186.2663300000002</v>
      </c>
      <c r="I47" s="42">
        <v>1180.31546</v>
      </c>
      <c r="J47" s="42">
        <v>1174.1523099999999</v>
      </c>
      <c r="K47" s="42">
        <v>1150.0977399999999</v>
      </c>
      <c r="L47" s="42">
        <v>1196.2811200000001</v>
      </c>
      <c r="M47" s="42">
        <v>1169.3667799999998</v>
      </c>
      <c r="N47" s="44">
        <v>1272.5745900000002</v>
      </c>
      <c r="O47" s="60">
        <f t="shared" si="16"/>
        <v>14468.478659999999</v>
      </c>
      <c r="Q47" s="18"/>
    </row>
    <row r="48" spans="2:17">
      <c r="B48" s="24" t="s">
        <v>51</v>
      </c>
      <c r="C48" s="74">
        <v>1189.9119800000003</v>
      </c>
      <c r="D48" s="42">
        <v>1110.61014</v>
      </c>
      <c r="E48" s="101">
        <v>1199.5719799999999</v>
      </c>
      <c r="F48" s="98">
        <v>1190.8857200000002</v>
      </c>
      <c r="G48" s="42">
        <v>1288.0536000000004</v>
      </c>
      <c r="H48" s="42">
        <v>1282.6383399999997</v>
      </c>
      <c r="I48" s="42">
        <v>1337.0178899999999</v>
      </c>
      <c r="J48" s="42">
        <v>1377.9780999999998</v>
      </c>
      <c r="K48" s="42">
        <v>1339.75775</v>
      </c>
      <c r="L48" s="42">
        <v>1092.1151400000001</v>
      </c>
      <c r="M48" s="42">
        <v>1059.62239</v>
      </c>
      <c r="N48" s="44">
        <v>1052.8593600000002</v>
      </c>
      <c r="O48" s="60">
        <f t="shared" si="16"/>
        <v>14521.022390000002</v>
      </c>
      <c r="Q48" s="18"/>
    </row>
    <row r="49" spans="1:256">
      <c r="B49" s="24" t="s">
        <v>52</v>
      </c>
      <c r="C49" s="74">
        <v>835.77446999999995</v>
      </c>
      <c r="D49" s="42">
        <v>764.50198</v>
      </c>
      <c r="E49" s="100">
        <v>900.24034999999992</v>
      </c>
      <c r="F49" s="98">
        <v>928.32164999999998</v>
      </c>
      <c r="G49" s="42">
        <v>931.25604999999996</v>
      </c>
      <c r="H49" s="42">
        <v>1006.3000900000001</v>
      </c>
      <c r="I49" s="42">
        <v>1072.61556</v>
      </c>
      <c r="J49" s="42">
        <v>1054.5221100000001</v>
      </c>
      <c r="K49" s="42">
        <v>960.04840000000002</v>
      </c>
      <c r="L49" s="42">
        <v>1008.4990600000001</v>
      </c>
      <c r="M49" s="42">
        <v>866.69063000000006</v>
      </c>
      <c r="N49" s="44">
        <v>934.16359999999997</v>
      </c>
      <c r="O49" s="60">
        <f t="shared" si="16"/>
        <v>11262.933949999999</v>
      </c>
      <c r="Q49" s="18"/>
    </row>
    <row r="50" spans="1:256">
      <c r="B50" s="24" t="s">
        <v>55</v>
      </c>
      <c r="C50" s="74">
        <v>1920.73839</v>
      </c>
      <c r="D50" s="42">
        <v>1743.2613999999999</v>
      </c>
      <c r="E50" s="43">
        <v>1880.1695199999999</v>
      </c>
      <c r="F50" s="98">
        <v>1844.11222</v>
      </c>
      <c r="G50" s="42">
        <v>1872.4805800000001</v>
      </c>
      <c r="H50" s="42">
        <v>1814.2672700000001</v>
      </c>
      <c r="I50" s="42">
        <v>1840.1069</v>
      </c>
      <c r="J50" s="42">
        <v>1829.8191200000001</v>
      </c>
      <c r="K50" s="42">
        <v>1766.77802</v>
      </c>
      <c r="L50" s="42">
        <v>1830.9409100000003</v>
      </c>
      <c r="M50" s="42">
        <v>1760.1873999999998</v>
      </c>
      <c r="N50" s="44">
        <v>1769.6884900000002</v>
      </c>
      <c r="O50" s="60">
        <f t="shared" si="16"/>
        <v>21872.550220000001</v>
      </c>
      <c r="Q50" s="18"/>
    </row>
    <row r="51" spans="1:256">
      <c r="B51" s="24" t="s">
        <v>53</v>
      </c>
      <c r="C51" s="74">
        <v>3031.17776</v>
      </c>
      <c r="D51" s="42">
        <v>2411.6080999999999</v>
      </c>
      <c r="E51" s="43">
        <v>2220.0904100000002</v>
      </c>
      <c r="F51" s="98">
        <v>2226.1530700000003</v>
      </c>
      <c r="G51" s="42">
        <v>2539.5738000000001</v>
      </c>
      <c r="H51" s="42">
        <v>2960.8381799999997</v>
      </c>
      <c r="I51" s="42">
        <v>3065.46272</v>
      </c>
      <c r="J51" s="42">
        <v>3218.6452799999997</v>
      </c>
      <c r="K51" s="42">
        <v>2837.5108599999999</v>
      </c>
      <c r="L51" s="42">
        <v>2519.4431500000001</v>
      </c>
      <c r="M51" s="42">
        <v>2780.7621100000001</v>
      </c>
      <c r="N51" s="44">
        <v>2542.3317299999999</v>
      </c>
      <c r="O51" s="60">
        <f t="shared" si="16"/>
        <v>32353.597170000001</v>
      </c>
      <c r="Q51" s="18"/>
    </row>
    <row r="52" spans="1:256">
      <c r="B52" s="24" t="s">
        <v>54</v>
      </c>
      <c r="C52" s="74">
        <v>42.008760000000002</v>
      </c>
      <c r="D52" s="42">
        <v>40.280399999999993</v>
      </c>
      <c r="E52" s="43">
        <v>44.299109999999999</v>
      </c>
      <c r="F52" s="98">
        <v>46.019950000000001</v>
      </c>
      <c r="G52" s="42">
        <v>46.375809999999994</v>
      </c>
      <c r="H52" s="42">
        <v>46.37292999999999</v>
      </c>
      <c r="I52" s="42">
        <v>46.896830000000001</v>
      </c>
      <c r="J52" s="42">
        <v>45.606200000000001</v>
      </c>
      <c r="K52" s="42">
        <v>46.859120000000004</v>
      </c>
      <c r="L52" s="42">
        <v>46.526699999999998</v>
      </c>
      <c r="M52" s="42">
        <v>45.408850000000001</v>
      </c>
      <c r="N52" s="44">
        <v>46.874140000000004</v>
      </c>
      <c r="O52" s="60">
        <f t="shared" si="16"/>
        <v>543.52880000000005</v>
      </c>
      <c r="Q52" s="18"/>
    </row>
    <row r="53" spans="1:256" ht="15">
      <c r="B53" s="27" t="s">
        <v>43</v>
      </c>
      <c r="C53" s="69">
        <f>+C54+C55</f>
        <v>693.97355000000005</v>
      </c>
      <c r="D53" s="70">
        <f t="shared" ref="D53:N53" si="17">+D54+D55</f>
        <v>806.06786</v>
      </c>
      <c r="E53" s="82">
        <f t="shared" si="17"/>
        <v>823.25462000000005</v>
      </c>
      <c r="F53" s="70">
        <f t="shared" si="17"/>
        <v>805.93025</v>
      </c>
      <c r="G53" s="70">
        <f t="shared" si="17"/>
        <v>926.3913</v>
      </c>
      <c r="H53" s="70">
        <f t="shared" si="17"/>
        <v>868.27837999999997</v>
      </c>
      <c r="I53" s="71">
        <f t="shared" si="17"/>
        <v>946.75381000000004</v>
      </c>
      <c r="J53" s="71">
        <f t="shared" si="17"/>
        <v>982.44525999999996</v>
      </c>
      <c r="K53" s="70">
        <f t="shared" si="17"/>
        <v>984.63353000000006</v>
      </c>
      <c r="L53" s="70">
        <f t="shared" si="17"/>
        <v>928.18054999999993</v>
      </c>
      <c r="M53" s="70">
        <f t="shared" si="17"/>
        <v>960.07468999999992</v>
      </c>
      <c r="N53" s="81">
        <f t="shared" si="17"/>
        <v>2167.6283100000001</v>
      </c>
      <c r="O53" s="73">
        <f>SUM(C53:N53)</f>
        <v>11893.61211</v>
      </c>
      <c r="Q53" s="18"/>
    </row>
    <row r="54" spans="1:256" ht="15">
      <c r="B54" s="24" t="s">
        <v>59</v>
      </c>
      <c r="C54" s="58">
        <v>0</v>
      </c>
      <c r="D54" s="59">
        <v>0</v>
      </c>
      <c r="E54" s="103">
        <v>0</v>
      </c>
      <c r="F54" s="59">
        <v>0</v>
      </c>
      <c r="G54" s="59">
        <v>0</v>
      </c>
      <c r="H54" s="59">
        <v>0</v>
      </c>
      <c r="I54" s="42">
        <v>0</v>
      </c>
      <c r="J54" s="42">
        <v>0</v>
      </c>
      <c r="K54" s="59">
        <v>0</v>
      </c>
      <c r="L54" s="59">
        <v>0</v>
      </c>
      <c r="M54" s="59">
        <v>0</v>
      </c>
      <c r="N54" s="104">
        <v>1106.2299699999999</v>
      </c>
      <c r="O54" s="73">
        <f>SUM(C54:N54)</f>
        <v>1106.2299699999999</v>
      </c>
      <c r="Q54" s="18"/>
    </row>
    <row r="55" spans="1:256" ht="15" thickBot="1">
      <c r="B55" s="28" t="s">
        <v>56</v>
      </c>
      <c r="C55" s="83">
        <v>693.97355000000005</v>
      </c>
      <c r="D55" s="84">
        <v>806.06786</v>
      </c>
      <c r="E55" s="84">
        <v>823.25462000000005</v>
      </c>
      <c r="F55" s="84">
        <v>805.93025</v>
      </c>
      <c r="G55" s="84">
        <v>926.3913</v>
      </c>
      <c r="H55" s="84">
        <v>868.27837999999997</v>
      </c>
      <c r="I55" s="85">
        <v>946.75381000000004</v>
      </c>
      <c r="J55" s="85">
        <v>982.44525999999996</v>
      </c>
      <c r="K55" s="84">
        <v>984.63353000000006</v>
      </c>
      <c r="L55" s="84">
        <v>928.18054999999993</v>
      </c>
      <c r="M55" s="84">
        <v>960.07468999999992</v>
      </c>
      <c r="N55" s="86">
        <v>1061.3983400000002</v>
      </c>
      <c r="O55" s="87">
        <f>SUM(C55:N55)</f>
        <v>10787.38214</v>
      </c>
      <c r="Q55" s="18"/>
    </row>
    <row r="56" spans="1:256" ht="15" thickTop="1">
      <c r="C56" s="35"/>
      <c r="D56" s="39"/>
      <c r="E56" s="35"/>
      <c r="F56" s="35"/>
      <c r="G56" s="35"/>
      <c r="K56" s="18"/>
      <c r="L56" s="18"/>
    </row>
    <row r="57" spans="1:256" s="11" customFormat="1">
      <c r="A57" s="3"/>
      <c r="B57" s="3" t="s">
        <v>154</v>
      </c>
      <c r="C57" s="88">
        <f>+C53+C43</f>
        <v>71818.352139999988</v>
      </c>
      <c r="D57" s="88">
        <f t="shared" ref="D57:N57" si="18">+D53+D43</f>
        <v>69295.224719999998</v>
      </c>
      <c r="E57" s="88">
        <f t="shared" si="18"/>
        <v>70163.243680000014</v>
      </c>
      <c r="F57" s="88">
        <f t="shared" si="18"/>
        <v>67561.815800000011</v>
      </c>
      <c r="G57" s="88">
        <f t="shared" si="18"/>
        <v>68340.090070000006</v>
      </c>
      <c r="H57" s="88">
        <f t="shared" si="18"/>
        <v>65055.877919999992</v>
      </c>
      <c r="I57" s="88">
        <f t="shared" si="18"/>
        <v>66227.81972</v>
      </c>
      <c r="J57" s="88">
        <f t="shared" si="18"/>
        <v>67851.607579999982</v>
      </c>
      <c r="K57" s="88">
        <f t="shared" si="18"/>
        <v>65982.055039999992</v>
      </c>
      <c r="L57" s="88">
        <f t="shared" si="18"/>
        <v>66442.527239999996</v>
      </c>
      <c r="M57" s="88">
        <f t="shared" si="18"/>
        <v>64653.356449999999</v>
      </c>
      <c r="N57" s="88">
        <f t="shared" si="18"/>
        <v>67880.373879999999</v>
      </c>
    </row>
    <row r="58" spans="1:256"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</row>
    <row r="59" spans="1:256" ht="15">
      <c r="C59" s="89">
        <f t="shared" ref="C59:N59" si="19">+C38-C39</f>
        <v>0</v>
      </c>
      <c r="D59" s="89">
        <f t="shared" si="19"/>
        <v>0</v>
      </c>
      <c r="E59" s="89">
        <f t="shared" si="19"/>
        <v>0</v>
      </c>
      <c r="F59" s="89">
        <f t="shared" si="19"/>
        <v>0</v>
      </c>
      <c r="G59" s="89">
        <f t="shared" si="19"/>
        <v>0</v>
      </c>
      <c r="H59" s="89">
        <f t="shared" si="19"/>
        <v>0</v>
      </c>
      <c r="I59" s="89">
        <f t="shared" si="19"/>
        <v>0</v>
      </c>
      <c r="J59" s="89">
        <f t="shared" si="19"/>
        <v>0</v>
      </c>
      <c r="K59" s="89">
        <f t="shared" si="19"/>
        <v>0</v>
      </c>
      <c r="L59" s="89">
        <f t="shared" si="19"/>
        <v>0</v>
      </c>
      <c r="M59" s="89">
        <f t="shared" si="19"/>
        <v>0</v>
      </c>
      <c r="N59" s="89">
        <f t="shared" si="19"/>
        <v>0</v>
      </c>
      <c r="O59" s="89"/>
      <c r="Q59" s="90"/>
    </row>
    <row r="60" spans="1:256">
      <c r="C60" s="89">
        <f t="shared" ref="C60:N60" si="20">+C59*0.4</f>
        <v>0</v>
      </c>
      <c r="D60" s="89">
        <f t="shared" si="20"/>
        <v>0</v>
      </c>
      <c r="E60" s="89">
        <f t="shared" si="20"/>
        <v>0</v>
      </c>
      <c r="F60" s="89">
        <f t="shared" si="20"/>
        <v>0</v>
      </c>
      <c r="G60" s="89">
        <f t="shared" si="20"/>
        <v>0</v>
      </c>
      <c r="H60" s="89">
        <f>+H59*0.4</f>
        <v>0</v>
      </c>
      <c r="I60" s="89">
        <f t="shared" si="20"/>
        <v>0</v>
      </c>
      <c r="J60" s="89">
        <f t="shared" si="20"/>
        <v>0</v>
      </c>
      <c r="K60" s="89">
        <f t="shared" si="20"/>
        <v>0</v>
      </c>
      <c r="L60" s="89">
        <f t="shared" si="20"/>
        <v>0</v>
      </c>
      <c r="M60" s="89">
        <f t="shared" si="20"/>
        <v>0</v>
      </c>
      <c r="N60" s="89">
        <f t="shared" si="20"/>
        <v>0</v>
      </c>
      <c r="O60" s="89"/>
    </row>
    <row r="61" spans="1:256">
      <c r="B61" s="18"/>
      <c r="C61" s="89">
        <f t="shared" ref="C61:N61" si="21">+C59*0.6</f>
        <v>0</v>
      </c>
      <c r="D61" s="89">
        <f t="shared" si="21"/>
        <v>0</v>
      </c>
      <c r="E61" s="89">
        <f t="shared" si="21"/>
        <v>0</v>
      </c>
      <c r="F61" s="89">
        <f t="shared" si="21"/>
        <v>0</v>
      </c>
      <c r="G61" s="89">
        <f t="shared" si="21"/>
        <v>0</v>
      </c>
      <c r="H61" s="89">
        <f>+H59*0.6</f>
        <v>0</v>
      </c>
      <c r="I61" s="89">
        <f t="shared" si="21"/>
        <v>0</v>
      </c>
      <c r="J61" s="89">
        <f t="shared" si="21"/>
        <v>0</v>
      </c>
      <c r="K61" s="89">
        <f t="shared" si="21"/>
        <v>0</v>
      </c>
      <c r="L61" s="89">
        <f t="shared" si="21"/>
        <v>0</v>
      </c>
      <c r="M61" s="89">
        <f t="shared" si="21"/>
        <v>0</v>
      </c>
      <c r="N61" s="89">
        <f t="shared" si="21"/>
        <v>0</v>
      </c>
      <c r="O61" s="89"/>
    </row>
    <row r="62" spans="1:256"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89"/>
      <c r="O62" s="89"/>
    </row>
    <row r="63" spans="1:256" ht="15">
      <c r="C63" s="94">
        <f t="shared" ref="C63:N63" si="22">C35/C27</f>
        <v>1.4620167281285974E-2</v>
      </c>
      <c r="D63" s="94">
        <f t="shared" si="22"/>
        <v>1.353181139992319E-2</v>
      </c>
      <c r="E63" s="94">
        <f t="shared" si="22"/>
        <v>1.4797679965808689E-2</v>
      </c>
      <c r="F63" s="94">
        <f t="shared" si="22"/>
        <v>1.5456398960073392E-2</v>
      </c>
      <c r="G63" s="94">
        <f t="shared" si="22"/>
        <v>1.4507434614683524E-2</v>
      </c>
      <c r="H63" s="94">
        <f t="shared" si="22"/>
        <v>1.3828927318795195E-2</v>
      </c>
      <c r="I63" s="94">
        <f t="shared" si="22"/>
        <v>1.3251267230153805E-2</v>
      </c>
      <c r="J63" s="94">
        <f t="shared" si="22"/>
        <v>1.4880097865832338E-2</v>
      </c>
      <c r="K63" s="94">
        <f t="shared" si="22"/>
        <v>1.3888820392711472E-2</v>
      </c>
      <c r="L63" s="94">
        <f t="shared" si="22"/>
        <v>1.3455518589913005E-2</v>
      </c>
      <c r="M63" s="94">
        <f t="shared" si="22"/>
        <v>1.364678080447723E-2</v>
      </c>
      <c r="N63" s="94">
        <f t="shared" si="22"/>
        <v>1.3810297463398605E-2</v>
      </c>
    </row>
    <row r="64" spans="1:256">
      <c r="C64" s="18"/>
      <c r="D64" s="18"/>
      <c r="E64" s="18"/>
      <c r="F64" s="18"/>
      <c r="G64" s="18"/>
      <c r="H64" s="18"/>
      <c r="I64" s="18"/>
      <c r="J64" s="95"/>
      <c r="K64" s="18"/>
      <c r="L64" s="18"/>
      <c r="M64" s="18"/>
      <c r="N64" s="18"/>
    </row>
    <row r="65" spans="3:14">
      <c r="C65" s="43"/>
      <c r="D65" s="43"/>
      <c r="E65" s="18"/>
      <c r="F65" s="43"/>
      <c r="G65" s="43"/>
      <c r="H65" s="43"/>
      <c r="I65" s="43"/>
      <c r="J65" s="43"/>
      <c r="K65" s="43"/>
      <c r="L65" s="43"/>
      <c r="M65" s="43"/>
      <c r="N65" s="43"/>
    </row>
    <row r="66" spans="3:14">
      <c r="I66" s="36"/>
    </row>
    <row r="67" spans="3:14">
      <c r="C67" s="18"/>
      <c r="D67" s="18"/>
      <c r="E67" s="18"/>
      <c r="F67" s="18"/>
      <c r="G67" s="18"/>
      <c r="H67" s="18"/>
      <c r="I67" s="18"/>
      <c r="J67" s="18"/>
      <c r="L67" s="18"/>
      <c r="M67" s="18"/>
    </row>
    <row r="68" spans="3:14">
      <c r="C68" s="18"/>
      <c r="D68" s="18"/>
    </row>
    <row r="73" spans="3:14">
      <c r="C73" s="37"/>
      <c r="D73" s="92"/>
      <c r="E73"/>
      <c r="F73"/>
      <c r="G73"/>
      <c r="H73" s="38"/>
      <c r="I73"/>
    </row>
  </sheetData>
  <printOptions horizontalCentered="1"/>
  <pageMargins left="0.39370078740157483" right="0.39370078740157483" top="1.3779527559055118" bottom="1" header="0" footer="0"/>
  <pageSetup paperSize="9" scale="62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73D9-7C3A-48D4-B63F-343911DFFC2D}">
  <sheetPr codeName="Sheet2">
    <pageSetUpPr fitToPage="1"/>
  </sheetPr>
  <dimension ref="A3:IV96"/>
  <sheetViews>
    <sheetView topLeftCell="A21" zoomScaleNormal="100" workbookViewId="0">
      <selection activeCell="D40" sqref="D40:H41"/>
    </sheetView>
  </sheetViews>
  <sheetFormatPr baseColWidth="10" defaultColWidth="9" defaultRowHeight="14.25"/>
  <cols>
    <col min="1" max="1" width="3" style="3" customWidth="1"/>
    <col min="2" max="2" width="26.85546875" style="3" customWidth="1"/>
    <col min="3" max="3" width="36.42578125" style="3" customWidth="1"/>
    <col min="4" max="8" width="13.7109375" style="3" customWidth="1"/>
    <col min="9" max="10" width="18.7109375" style="3" bestFit="1" customWidth="1"/>
    <col min="11" max="11" width="14.85546875" style="3" bestFit="1" customWidth="1"/>
    <col min="12" max="12" width="13.7109375" style="3" customWidth="1"/>
    <col min="13" max="14" width="18.7109375" style="3" bestFit="1" customWidth="1"/>
    <col min="15" max="15" width="13.7109375" style="3" customWidth="1"/>
    <col min="16" max="16" width="15.7109375" style="3" customWidth="1"/>
    <col min="17" max="17" width="13.28515625" style="3" customWidth="1"/>
    <col min="18" max="18" width="15.7109375" style="3" customWidth="1"/>
    <col min="19" max="16384" width="9" style="3"/>
  </cols>
  <sheetData>
    <row r="3" spans="3:16" ht="15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3:16" ht="15">
      <c r="C4" s="1" t="s">
        <v>61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3:16" ht="15" thickBot="1"/>
    <row r="6" spans="3:16" ht="15.75" thickTop="1">
      <c r="C6" s="4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6" t="s">
        <v>13</v>
      </c>
      <c r="P6" s="7" t="s">
        <v>14</v>
      </c>
    </row>
    <row r="7" spans="3:16" ht="15">
      <c r="C7" s="8" t="s">
        <v>15</v>
      </c>
      <c r="D7" s="9"/>
      <c r="E7" s="9"/>
      <c r="F7" s="10"/>
      <c r="G7" s="10"/>
      <c r="H7" s="10"/>
      <c r="I7" s="10"/>
      <c r="J7" s="10"/>
      <c r="K7" s="11"/>
      <c r="L7" s="10"/>
      <c r="M7" s="10"/>
      <c r="N7" s="10"/>
      <c r="O7" s="12"/>
      <c r="P7" s="13"/>
    </row>
    <row r="8" spans="3:16">
      <c r="C8" s="14" t="s">
        <v>16</v>
      </c>
      <c r="D8" s="41">
        <v>1131.6971148209116</v>
      </c>
      <c r="E8" s="41">
        <v>914.19371861244201</v>
      </c>
      <c r="F8" s="42">
        <v>505.6134507102966</v>
      </c>
      <c r="G8" s="42">
        <v>944.25365068888664</v>
      </c>
      <c r="H8" s="42">
        <v>1227.7596073446273</v>
      </c>
      <c r="I8" s="42">
        <v>1202.2403109436036</v>
      </c>
      <c r="J8" s="42">
        <v>1235.1515707859994</v>
      </c>
      <c r="K8" s="43">
        <v>1230.5895538673401</v>
      </c>
      <c r="L8" s="42">
        <v>1183.1837027282716</v>
      </c>
      <c r="M8" s="42">
        <v>1216.7962730388642</v>
      </c>
      <c r="N8" s="42">
        <v>1187.2042434689999</v>
      </c>
      <c r="O8" s="44">
        <v>1251.6717890930177</v>
      </c>
      <c r="P8" s="45">
        <f t="shared" ref="P8:P14" si="0">+SUM(D8:O8)</f>
        <v>13230.354986103259</v>
      </c>
    </row>
    <row r="9" spans="3:16">
      <c r="C9" s="14" t="s">
        <v>17</v>
      </c>
      <c r="D9" s="41">
        <v>404.734522462212</v>
      </c>
      <c r="E9" s="41">
        <v>336.87827978120743</v>
      </c>
      <c r="F9" s="42">
        <v>327.47806777446715</v>
      </c>
      <c r="G9" s="42">
        <v>381.87173673522472</v>
      </c>
      <c r="H9" s="42">
        <v>420.97333757257462</v>
      </c>
      <c r="I9" s="42">
        <v>413.60733193969725</v>
      </c>
      <c r="J9" s="42">
        <v>418.39151042890546</v>
      </c>
      <c r="K9" s="43">
        <v>427.37557954232074</v>
      </c>
      <c r="L9" s="42">
        <v>412.95330366897582</v>
      </c>
      <c r="M9" s="42">
        <v>421.478364674896</v>
      </c>
      <c r="N9" s="42">
        <v>412.49769878113273</v>
      </c>
      <c r="O9" s="44">
        <v>425.81246874314547</v>
      </c>
      <c r="P9" s="45">
        <f t="shared" si="0"/>
        <v>4804.0522021047591</v>
      </c>
    </row>
    <row r="10" spans="3:16">
      <c r="C10" s="14" t="s">
        <v>18</v>
      </c>
      <c r="D10" s="41">
        <v>3164.3521362183096</v>
      </c>
      <c r="E10" s="41">
        <v>2773.7264562873838</v>
      </c>
      <c r="F10" s="42">
        <v>2575.2853754692078</v>
      </c>
      <c r="G10" s="42">
        <v>2829.5590003643038</v>
      </c>
      <c r="H10" s="42">
        <v>3338.7907600784301</v>
      </c>
      <c r="I10" s="42">
        <v>3218.1125584596393</v>
      </c>
      <c r="J10" s="42">
        <v>3369.248586139679</v>
      </c>
      <c r="K10" s="43">
        <v>3347.6090300064088</v>
      </c>
      <c r="L10" s="42">
        <v>3274.4189910888672</v>
      </c>
      <c r="M10" s="42">
        <v>3340.6699825344085</v>
      </c>
      <c r="N10" s="42">
        <v>3241.3550553812979</v>
      </c>
      <c r="O10" s="44">
        <v>3359.3086930740178</v>
      </c>
      <c r="P10" s="45">
        <f t="shared" si="0"/>
        <v>37832.436625101953</v>
      </c>
    </row>
    <row r="11" spans="3:16">
      <c r="C11" s="14" t="s">
        <v>19</v>
      </c>
      <c r="D11" s="41">
        <v>7358.1596698372414</v>
      </c>
      <c r="E11" s="41">
        <v>6429.6375008705154</v>
      </c>
      <c r="F11" s="42">
        <v>6143.8299810414019</v>
      </c>
      <c r="G11" s="42">
        <v>9510.1652950858988</v>
      </c>
      <c r="H11" s="42">
        <v>8125.0136115190016</v>
      </c>
      <c r="I11" s="42">
        <v>7969.1913484968309</v>
      </c>
      <c r="J11" s="42">
        <v>8614.8831603918588</v>
      </c>
      <c r="K11" s="43">
        <v>8700.8901764327475</v>
      </c>
      <c r="L11" s="42">
        <v>9202.4402726863573</v>
      </c>
      <c r="M11" s="42">
        <v>9507.6287083508814</v>
      </c>
      <c r="N11" s="42">
        <v>9149.1547947697636</v>
      </c>
      <c r="O11" s="44">
        <v>9418.4095577097978</v>
      </c>
      <c r="P11" s="45">
        <f t="shared" si="0"/>
        <v>100129.4040771923</v>
      </c>
    </row>
    <row r="12" spans="3:16">
      <c r="C12" s="14" t="s">
        <v>20</v>
      </c>
      <c r="D12" s="41">
        <v>44993.962609077455</v>
      </c>
      <c r="E12" s="41">
        <v>40649.439858812184</v>
      </c>
      <c r="F12" s="42">
        <v>43714.557147691376</v>
      </c>
      <c r="G12" s="42">
        <v>66287.283059598034</v>
      </c>
      <c r="H12" s="42">
        <v>49329.039051339227</v>
      </c>
      <c r="I12" s="42">
        <v>47392.869598986399</v>
      </c>
      <c r="J12" s="42">
        <v>53425.856297187594</v>
      </c>
      <c r="K12" s="43">
        <v>53423.00009754944</v>
      </c>
      <c r="L12" s="42">
        <v>56007.730970133183</v>
      </c>
      <c r="M12" s="42">
        <v>57878.946106323063</v>
      </c>
      <c r="N12" s="42">
        <v>56010.854557742539</v>
      </c>
      <c r="O12" s="44">
        <v>57899.012170806411</v>
      </c>
      <c r="P12" s="45">
        <f t="shared" si="0"/>
        <v>627012.55152524693</v>
      </c>
    </row>
    <row r="13" spans="3:16">
      <c r="C13" s="14" t="s">
        <v>21</v>
      </c>
      <c r="D13" s="41">
        <v>4089.3768671579624</v>
      </c>
      <c r="E13" s="41">
        <v>3380.5336479568482</v>
      </c>
      <c r="F13" s="42">
        <v>3716.264003141403</v>
      </c>
      <c r="G13" s="42">
        <v>5029.6519771037101</v>
      </c>
      <c r="H13" s="42">
        <v>4767.6957575073238</v>
      </c>
      <c r="I13" s="42">
        <v>4657.1431004445594</v>
      </c>
      <c r="J13" s="42">
        <v>5335.1313786849978</v>
      </c>
      <c r="K13" s="43">
        <v>5340.7789852294918</v>
      </c>
      <c r="L13" s="42">
        <v>5405.8122039257287</v>
      </c>
      <c r="M13" s="42">
        <v>5808.1043464355471</v>
      </c>
      <c r="N13" s="42">
        <v>5052.4007195637487</v>
      </c>
      <c r="O13" s="44">
        <v>5803.1060654907224</v>
      </c>
      <c r="P13" s="45">
        <f t="shared" si="0"/>
        <v>58385.999052642037</v>
      </c>
    </row>
    <row r="14" spans="3:16" ht="15">
      <c r="C14" s="15" t="s">
        <v>22</v>
      </c>
      <c r="D14" s="46">
        <f t="shared" ref="D14:O14" si="1">SUM(D8:D13)</f>
        <v>61142.282919574092</v>
      </c>
      <c r="E14" s="46">
        <f t="shared" si="1"/>
        <v>54484.409462320582</v>
      </c>
      <c r="F14" s="46">
        <f t="shared" si="1"/>
        <v>56983.028025828156</v>
      </c>
      <c r="G14" s="46">
        <f t="shared" si="1"/>
        <v>84982.784719576055</v>
      </c>
      <c r="H14" s="46">
        <f t="shared" si="1"/>
        <v>67209.272125361182</v>
      </c>
      <c r="I14" s="46">
        <f t="shared" si="1"/>
        <v>64853.164249270732</v>
      </c>
      <c r="J14" s="46">
        <f t="shared" si="1"/>
        <v>72398.662503619023</v>
      </c>
      <c r="K14" s="46">
        <f t="shared" si="1"/>
        <v>72470.243422627755</v>
      </c>
      <c r="L14" s="46">
        <f t="shared" si="1"/>
        <v>75486.539444231385</v>
      </c>
      <c r="M14" s="46">
        <f t="shared" si="1"/>
        <v>78173.623781357659</v>
      </c>
      <c r="N14" s="46">
        <f t="shared" si="1"/>
        <v>75053.467069707491</v>
      </c>
      <c r="O14" s="47">
        <f t="shared" si="1"/>
        <v>78157.320744917117</v>
      </c>
      <c r="P14" s="48">
        <f t="shared" si="0"/>
        <v>841394.79846839129</v>
      </c>
    </row>
    <row r="15" spans="3:16" ht="15">
      <c r="C15" s="8" t="s">
        <v>23</v>
      </c>
      <c r="D15" s="16"/>
      <c r="E15" s="16"/>
      <c r="F15" s="17"/>
      <c r="G15" s="17"/>
      <c r="H15" s="17"/>
      <c r="I15" s="17"/>
      <c r="J15" s="17"/>
      <c r="K15" s="18"/>
      <c r="L15" s="42"/>
      <c r="M15" s="42"/>
      <c r="N15" s="42"/>
      <c r="O15" s="44"/>
      <c r="P15" s="19"/>
    </row>
    <row r="16" spans="3:16">
      <c r="C16" s="20" t="s">
        <v>24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5">
        <f t="shared" ref="P16:P22" si="2">+SUM(D16:O16)</f>
        <v>0</v>
      </c>
    </row>
    <row r="17" spans="3:18">
      <c r="C17" s="14" t="s">
        <v>25</v>
      </c>
      <c r="D17" s="41">
        <v>11.521423099517822</v>
      </c>
      <c r="E17" s="41">
        <v>102.89406886291503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3">
        <v>0</v>
      </c>
      <c r="L17" s="42">
        <v>0</v>
      </c>
      <c r="M17" s="42">
        <v>0</v>
      </c>
      <c r="N17" s="42">
        <v>0</v>
      </c>
      <c r="O17" s="44">
        <v>0</v>
      </c>
      <c r="P17" s="45">
        <f t="shared" si="2"/>
        <v>114.41549196243285</v>
      </c>
    </row>
    <row r="18" spans="3:18">
      <c r="C18" s="20" t="s">
        <v>26</v>
      </c>
      <c r="D18" s="41">
        <v>701.38252152369171</v>
      </c>
      <c r="E18" s="41">
        <v>4552.8757169632536</v>
      </c>
      <c r="F18" s="42">
        <v>3140.7568015644329</v>
      </c>
      <c r="G18" s="42">
        <v>662.34037738260622</v>
      </c>
      <c r="H18" s="42">
        <v>5715.1801342972994</v>
      </c>
      <c r="I18" s="42">
        <v>3761.4463039263092</v>
      </c>
      <c r="J18" s="42">
        <v>3836.0573665150814</v>
      </c>
      <c r="K18" s="43">
        <v>4949.5689922862057</v>
      </c>
      <c r="L18" s="42">
        <v>4231.9093620392268</v>
      </c>
      <c r="M18" s="42">
        <v>1336.9326252912952</v>
      </c>
      <c r="N18" s="42">
        <v>9.0435824584960933</v>
      </c>
      <c r="O18" s="44">
        <v>0</v>
      </c>
      <c r="P18" s="45">
        <f t="shared" si="2"/>
        <v>32897.493784247898</v>
      </c>
      <c r="Q18" s="21"/>
    </row>
    <row r="19" spans="3:18">
      <c r="C19" s="20" t="s">
        <v>27</v>
      </c>
      <c r="D19" s="41">
        <v>1338.8287362799645</v>
      </c>
      <c r="E19" s="41">
        <v>1483.0365849776267</v>
      </c>
      <c r="F19" s="42">
        <v>2141.959246260099</v>
      </c>
      <c r="G19" s="42">
        <v>517.037641525749</v>
      </c>
      <c r="H19" s="42">
        <v>6634.3075890950759</v>
      </c>
      <c r="I19" s="42">
        <v>2702.6776580379974</v>
      </c>
      <c r="J19" s="42">
        <v>3860.8096760187236</v>
      </c>
      <c r="K19" s="43">
        <v>2968.5403354657101</v>
      </c>
      <c r="L19" s="42">
        <v>6470.4783077299362</v>
      </c>
      <c r="M19" s="42">
        <v>770.84478438798385</v>
      </c>
      <c r="N19" s="42">
        <v>202.86050265778297</v>
      </c>
      <c r="O19" s="44">
        <v>0</v>
      </c>
      <c r="P19" s="45">
        <f t="shared" si="2"/>
        <v>29091.381062436649</v>
      </c>
      <c r="Q19" s="21"/>
    </row>
    <row r="20" spans="3:18">
      <c r="C20" s="40" t="s">
        <v>46</v>
      </c>
      <c r="D20" s="41">
        <v>35832.494704200879</v>
      </c>
      <c r="E20" s="41">
        <v>25329.23311118325</v>
      </c>
      <c r="F20" s="41">
        <v>33050.704481700122</v>
      </c>
      <c r="G20" s="41">
        <v>28109.256452494519</v>
      </c>
      <c r="H20" s="41">
        <v>42951.486691353639</v>
      </c>
      <c r="I20" s="41">
        <v>49800.828029541015</v>
      </c>
      <c r="J20" s="41">
        <v>53082.50426026377</v>
      </c>
      <c r="K20" s="41">
        <v>52230.597069931027</v>
      </c>
      <c r="L20" s="41">
        <v>34196.315326579919</v>
      </c>
      <c r="M20" s="41">
        <v>50020.207819672061</v>
      </c>
      <c r="N20" s="41">
        <v>47598.941704876896</v>
      </c>
      <c r="O20" s="43">
        <v>49422.494496734616</v>
      </c>
      <c r="P20" s="45">
        <f t="shared" si="2"/>
        <v>501625.0641485317</v>
      </c>
      <c r="Q20" s="21"/>
    </row>
    <row r="21" spans="3:18" ht="15">
      <c r="C21" s="15" t="s">
        <v>28</v>
      </c>
      <c r="D21" s="46">
        <f t="shared" ref="D21:O21" si="3">SUM(D16:D20)</f>
        <v>37884.227385104052</v>
      </c>
      <c r="E21" s="46">
        <f t="shared" si="3"/>
        <v>31468.039481987045</v>
      </c>
      <c r="F21" s="46">
        <f t="shared" si="3"/>
        <v>38333.42052952465</v>
      </c>
      <c r="G21" s="46">
        <f t="shared" si="3"/>
        <v>29288.634471402875</v>
      </c>
      <c r="H21" s="46">
        <f t="shared" si="3"/>
        <v>55300.974414746015</v>
      </c>
      <c r="I21" s="46">
        <f t="shared" si="3"/>
        <v>56264.951991505324</v>
      </c>
      <c r="J21" s="46">
        <f t="shared" si="3"/>
        <v>60779.371302797575</v>
      </c>
      <c r="K21" s="46">
        <f t="shared" si="3"/>
        <v>60148.706397682945</v>
      </c>
      <c r="L21" s="46">
        <f t="shared" si="3"/>
        <v>44898.702996349079</v>
      </c>
      <c r="M21" s="46">
        <f t="shared" si="3"/>
        <v>52127.98522935134</v>
      </c>
      <c r="N21" s="46">
        <f t="shared" si="3"/>
        <v>47810.845789993175</v>
      </c>
      <c r="O21" s="47">
        <f t="shared" si="3"/>
        <v>49422.494496734616</v>
      </c>
      <c r="P21" s="48">
        <f t="shared" si="2"/>
        <v>563728.35448717873</v>
      </c>
    </row>
    <row r="22" spans="3:18" ht="15.75" thickBot="1">
      <c r="C22" s="22" t="s">
        <v>29</v>
      </c>
      <c r="D22" s="49">
        <f t="shared" ref="D22:O22" si="4">+D14+D21</f>
        <v>99026.510304678144</v>
      </c>
      <c r="E22" s="49">
        <f t="shared" si="4"/>
        <v>85952.448944307631</v>
      </c>
      <c r="F22" s="49">
        <f t="shared" si="4"/>
        <v>95316.448555352807</v>
      </c>
      <c r="G22" s="49">
        <f t="shared" si="4"/>
        <v>114271.41919097892</v>
      </c>
      <c r="H22" s="49">
        <f t="shared" si="4"/>
        <v>122510.2465401072</v>
      </c>
      <c r="I22" s="49">
        <f t="shared" si="4"/>
        <v>121118.11624077606</v>
      </c>
      <c r="J22" s="49">
        <f t="shared" si="4"/>
        <v>133178.03380641661</v>
      </c>
      <c r="K22" s="49">
        <f t="shared" si="4"/>
        <v>132618.94982031069</v>
      </c>
      <c r="L22" s="49">
        <f t="shared" si="4"/>
        <v>120385.24244058046</v>
      </c>
      <c r="M22" s="49">
        <f t="shared" si="4"/>
        <v>130301.609010709</v>
      </c>
      <c r="N22" s="49">
        <f t="shared" si="4"/>
        <v>122864.31285970067</v>
      </c>
      <c r="O22" s="50">
        <f t="shared" si="4"/>
        <v>127579.81524165173</v>
      </c>
      <c r="P22" s="51">
        <f t="shared" si="2"/>
        <v>1405123.1529555703</v>
      </c>
    </row>
    <row r="23" spans="3:18" ht="15" thickTop="1">
      <c r="Q23" s="3">
        <v>1000</v>
      </c>
    </row>
    <row r="24" spans="3:18" ht="15">
      <c r="C24" s="1" t="s">
        <v>60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3:18" ht="15" thickBot="1"/>
    <row r="26" spans="3:18" ht="15.75" thickTop="1">
      <c r="C26" s="29" t="s">
        <v>30</v>
      </c>
      <c r="D26" s="30" t="s">
        <v>2</v>
      </c>
      <c r="E26" s="31" t="s">
        <v>3</v>
      </c>
      <c r="F26" s="31" t="s">
        <v>4</v>
      </c>
      <c r="G26" s="31" t="s">
        <v>5</v>
      </c>
      <c r="H26" s="31" t="s">
        <v>6</v>
      </c>
      <c r="I26" s="31" t="s">
        <v>7</v>
      </c>
      <c r="J26" s="31" t="s">
        <v>8</v>
      </c>
      <c r="K26" s="31" t="s">
        <v>9</v>
      </c>
      <c r="L26" s="31" t="s">
        <v>10</v>
      </c>
      <c r="M26" s="31" t="s">
        <v>11</v>
      </c>
      <c r="N26" s="31" t="s">
        <v>12</v>
      </c>
      <c r="O26" s="32" t="s">
        <v>13</v>
      </c>
      <c r="P26" s="33" t="s">
        <v>14</v>
      </c>
    </row>
    <row r="27" spans="3:18" ht="15">
      <c r="C27" s="23" t="s">
        <v>31</v>
      </c>
      <c r="D27" s="52">
        <f t="shared" ref="D27:O27" si="5">+D28+D29</f>
        <v>99026.510304678144</v>
      </c>
      <c r="E27" s="53">
        <f t="shared" si="5"/>
        <v>85952.448944307631</v>
      </c>
      <c r="F27" s="54">
        <f t="shared" si="5"/>
        <v>95316.448555352821</v>
      </c>
      <c r="G27" s="54">
        <f t="shared" si="5"/>
        <v>114271.41919097892</v>
      </c>
      <c r="H27" s="54">
        <f t="shared" si="5"/>
        <v>122510.2465401072</v>
      </c>
      <c r="I27" s="54">
        <f t="shared" si="5"/>
        <v>121118.11624077606</v>
      </c>
      <c r="J27" s="55">
        <f t="shared" si="5"/>
        <v>133178.03380641661</v>
      </c>
      <c r="K27" s="54">
        <f t="shared" si="5"/>
        <v>132618.94982031069</v>
      </c>
      <c r="L27" s="54">
        <f t="shared" si="5"/>
        <v>120385.24244058046</v>
      </c>
      <c r="M27" s="54">
        <f t="shared" si="5"/>
        <v>130301.609010709</v>
      </c>
      <c r="N27" s="54">
        <f t="shared" si="5"/>
        <v>122864.31285970067</v>
      </c>
      <c r="O27" s="56">
        <f t="shared" si="5"/>
        <v>127579.81524165173</v>
      </c>
      <c r="P27" s="57">
        <f t="shared" ref="P27:P44" si="6">SUM(D27:O27)</f>
        <v>1405123.1529555703</v>
      </c>
      <c r="R27" s="18"/>
    </row>
    <row r="28" spans="3:18">
      <c r="C28" s="24" t="s">
        <v>32</v>
      </c>
      <c r="D28" s="58">
        <f>+D14</f>
        <v>61142.282919574092</v>
      </c>
      <c r="E28" s="59">
        <v>54484.409462320582</v>
      </c>
      <c r="F28" s="59">
        <v>56983.028025828156</v>
      </c>
      <c r="G28" s="59">
        <v>84982.784719576055</v>
      </c>
      <c r="H28" s="59">
        <v>67209.272125361182</v>
      </c>
      <c r="I28" s="59">
        <v>64853.164249270732</v>
      </c>
      <c r="J28" s="59">
        <v>72398.662503619023</v>
      </c>
      <c r="K28" s="59">
        <v>72470.24342262774</v>
      </c>
      <c r="L28" s="59">
        <v>75486.539444231385</v>
      </c>
      <c r="M28" s="59">
        <v>78173.623781357659</v>
      </c>
      <c r="N28" s="144">
        <v>75053.467069707491</v>
      </c>
      <c r="O28" s="59">
        <v>78157.320744917117</v>
      </c>
      <c r="P28" s="60">
        <f t="shared" si="6"/>
        <v>841394.79846839129</v>
      </c>
      <c r="R28" s="18"/>
    </row>
    <row r="29" spans="3:18">
      <c r="C29" s="25" t="s">
        <v>33</v>
      </c>
      <c r="D29" s="61">
        <f>+D21</f>
        <v>37884.227385104052</v>
      </c>
      <c r="E29" s="62">
        <v>31468.039481987045</v>
      </c>
      <c r="F29" s="62">
        <v>38333.420529524665</v>
      </c>
      <c r="G29" s="62">
        <v>29288.634471402871</v>
      </c>
      <c r="H29" s="62">
        <v>55300.974414746015</v>
      </c>
      <c r="I29" s="62">
        <v>56264.951991505324</v>
      </c>
      <c r="J29" s="62">
        <v>60779.371302797575</v>
      </c>
      <c r="K29" s="62">
        <v>60148.706397682945</v>
      </c>
      <c r="L29" s="62">
        <v>44898.702996349079</v>
      </c>
      <c r="M29" s="62">
        <v>52127.98522935134</v>
      </c>
      <c r="N29" s="143">
        <v>47810.845789993182</v>
      </c>
      <c r="O29" s="62">
        <v>49422.494496734616</v>
      </c>
      <c r="P29" s="64">
        <f t="shared" si="6"/>
        <v>563728.35448717873</v>
      </c>
      <c r="R29" s="18"/>
    </row>
    <row r="30" spans="3:18" ht="15">
      <c r="C30" s="23" t="s">
        <v>34</v>
      </c>
      <c r="D30" s="65">
        <f t="shared" ref="D30:O30" si="7">+D31</f>
        <v>0</v>
      </c>
      <c r="E30" s="55">
        <f t="shared" si="7"/>
        <v>0</v>
      </c>
      <c r="F30" s="55">
        <f t="shared" si="7"/>
        <v>0</v>
      </c>
      <c r="G30" s="55">
        <f t="shared" si="7"/>
        <v>0</v>
      </c>
      <c r="H30" s="54">
        <f t="shared" si="7"/>
        <v>0</v>
      </c>
      <c r="I30" s="54">
        <f t="shared" si="7"/>
        <v>0</v>
      </c>
      <c r="J30" s="55">
        <f t="shared" si="7"/>
        <v>0</v>
      </c>
      <c r="K30" s="55">
        <f t="shared" si="7"/>
        <v>0</v>
      </c>
      <c r="L30" s="55">
        <f t="shared" si="7"/>
        <v>0</v>
      </c>
      <c r="M30" s="55">
        <f t="shared" si="7"/>
        <v>0</v>
      </c>
      <c r="N30" s="55">
        <f t="shared" si="7"/>
        <v>0</v>
      </c>
      <c r="O30" s="56">
        <f t="shared" si="7"/>
        <v>0</v>
      </c>
      <c r="P30" s="57">
        <f t="shared" si="6"/>
        <v>0</v>
      </c>
      <c r="R30" s="18"/>
    </row>
    <row r="31" spans="3:18">
      <c r="C31" s="24" t="s">
        <v>41</v>
      </c>
      <c r="D31" s="74">
        <v>0</v>
      </c>
      <c r="E31" s="68">
        <v>0</v>
      </c>
      <c r="F31" s="68">
        <v>0</v>
      </c>
      <c r="G31" s="68">
        <v>0</v>
      </c>
      <c r="H31" s="59">
        <v>0</v>
      </c>
      <c r="I31" s="59">
        <v>0</v>
      </c>
      <c r="J31" s="42">
        <v>0</v>
      </c>
      <c r="K31" s="42">
        <v>0</v>
      </c>
      <c r="L31" s="42">
        <v>0</v>
      </c>
      <c r="M31" s="42">
        <v>0</v>
      </c>
      <c r="N31" s="42"/>
      <c r="O31" s="44"/>
      <c r="P31" s="60">
        <f t="shared" si="6"/>
        <v>0</v>
      </c>
      <c r="R31" s="18"/>
    </row>
    <row r="32" spans="3:18" ht="15">
      <c r="C32" s="23" t="s">
        <v>35</v>
      </c>
      <c r="D32" s="52">
        <f>+D33+D34</f>
        <v>577.77152600180273</v>
      </c>
      <c r="E32" s="54">
        <f t="shared" ref="E32:O32" si="8">+E33+E34</f>
        <v>749.33384062287337</v>
      </c>
      <c r="F32" s="54">
        <f t="shared" si="8"/>
        <v>714.08569352631707</v>
      </c>
      <c r="G32" s="54">
        <f t="shared" si="8"/>
        <v>463.39151799325145</v>
      </c>
      <c r="H32" s="54">
        <f t="shared" si="8"/>
        <v>1153.8461275609948</v>
      </c>
      <c r="I32" s="54">
        <f t="shared" si="8"/>
        <v>883.06092412183966</v>
      </c>
      <c r="J32" s="54">
        <f t="shared" si="8"/>
        <v>989.60583172328688</v>
      </c>
      <c r="K32" s="54">
        <f t="shared" si="8"/>
        <v>1090.7571940586708</v>
      </c>
      <c r="L32" s="54">
        <f t="shared" si="8"/>
        <v>850.06791297050222</v>
      </c>
      <c r="M32" s="54">
        <f t="shared" si="8"/>
        <v>655.51740918303733</v>
      </c>
      <c r="N32" s="54">
        <f t="shared" si="8"/>
        <v>503.16068898342007</v>
      </c>
      <c r="O32" s="67">
        <f t="shared" si="8"/>
        <v>496.19404341287355</v>
      </c>
      <c r="P32" s="57">
        <f t="shared" si="6"/>
        <v>9126.7927101588702</v>
      </c>
      <c r="R32" s="18"/>
    </row>
    <row r="33" spans="3:20">
      <c r="C33" s="24" t="s">
        <v>32</v>
      </c>
      <c r="D33" s="74">
        <v>323.39032825928734</v>
      </c>
      <c r="E33" s="42">
        <v>285.10254743409183</v>
      </c>
      <c r="F33" s="42">
        <v>222.03207321296679</v>
      </c>
      <c r="G33" s="42">
        <v>273.87731829499552</v>
      </c>
      <c r="H33" s="42">
        <v>313.07544368635973</v>
      </c>
      <c r="I33" s="42">
        <v>308.26231261387119</v>
      </c>
      <c r="J33" s="42">
        <v>306.54786836265595</v>
      </c>
      <c r="K33" s="42">
        <f>+K83/1000</f>
        <v>303.78865569947806</v>
      </c>
      <c r="L33" s="42">
        <v>298.25999463043399</v>
      </c>
      <c r="M33" s="42">
        <v>304.89974917795217</v>
      </c>
      <c r="N33" s="42">
        <v>296.39112013612777</v>
      </c>
      <c r="O33" s="44">
        <v>304.11797148248377</v>
      </c>
      <c r="P33" s="60">
        <f t="shared" si="6"/>
        <v>3539.7453829907045</v>
      </c>
      <c r="R33" s="18"/>
    </row>
    <row r="34" spans="3:20">
      <c r="C34" s="26" t="s">
        <v>33</v>
      </c>
      <c r="D34" s="96">
        <v>254.38119774251538</v>
      </c>
      <c r="E34" s="68">
        <v>464.23129318878159</v>
      </c>
      <c r="F34" s="68">
        <v>492.05362031335034</v>
      </c>
      <c r="G34" s="68">
        <v>189.51419969825594</v>
      </c>
      <c r="H34" s="68">
        <v>840.77068387463498</v>
      </c>
      <c r="I34" s="68">
        <v>574.79861150796842</v>
      </c>
      <c r="J34" s="68">
        <v>683.05796336063088</v>
      </c>
      <c r="K34" s="68">
        <f>+K92/1000</f>
        <v>786.96853835919285</v>
      </c>
      <c r="L34" s="68">
        <v>551.80791834006823</v>
      </c>
      <c r="M34" s="68">
        <v>350.61766000508516</v>
      </c>
      <c r="N34" s="68">
        <v>206.76956884729231</v>
      </c>
      <c r="O34" s="63">
        <v>192.07607193038979</v>
      </c>
      <c r="P34" s="64">
        <f t="shared" si="6"/>
        <v>5587.0473271681658</v>
      </c>
      <c r="R34" s="18"/>
    </row>
    <row r="35" spans="3:20" ht="15">
      <c r="C35" s="27" t="s">
        <v>36</v>
      </c>
      <c r="D35" s="69">
        <f t="shared" ref="D35:O35" si="9">+D36+D37</f>
        <v>1440.4882356318412</v>
      </c>
      <c r="E35" s="70">
        <f t="shared" si="9"/>
        <v>1197.3389317031542</v>
      </c>
      <c r="F35" s="70">
        <f t="shared" si="9"/>
        <v>1283.2811485344137</v>
      </c>
      <c r="G35" s="70">
        <f t="shared" si="9"/>
        <v>1429.5567051323742</v>
      </c>
      <c r="H35" s="70">
        <f t="shared" si="9"/>
        <v>1602.6830361781031</v>
      </c>
      <c r="I35" s="70">
        <f t="shared" si="9"/>
        <v>1525.2077408526384</v>
      </c>
      <c r="J35" s="71">
        <f t="shared" si="9"/>
        <v>1596.7170172958286</v>
      </c>
      <c r="K35" s="71">
        <f t="shared" si="9"/>
        <v>1477.3707224139071</v>
      </c>
      <c r="L35" s="71">
        <f t="shared" si="9"/>
        <v>1614.1551405001665</v>
      </c>
      <c r="M35" s="71">
        <f t="shared" si="9"/>
        <v>1467.3487134771567</v>
      </c>
      <c r="N35" s="71">
        <f t="shared" si="9"/>
        <v>1373.6507807172602</v>
      </c>
      <c r="O35" s="72">
        <f t="shared" si="9"/>
        <v>1162.816367113046</v>
      </c>
      <c r="P35" s="73">
        <f t="shared" si="6"/>
        <v>17170.61453954989</v>
      </c>
      <c r="R35" s="18"/>
    </row>
    <row r="36" spans="3:20">
      <c r="C36" s="24" t="s">
        <v>37</v>
      </c>
      <c r="D36" s="74">
        <v>576.19529425273652</v>
      </c>
      <c r="E36" s="42">
        <v>478.9355726812617</v>
      </c>
      <c r="F36" s="42">
        <v>513.31245941376551</v>
      </c>
      <c r="G36" s="42">
        <v>571.82268205294974</v>
      </c>
      <c r="H36" s="42">
        <v>641.07321447124127</v>
      </c>
      <c r="I36" s="42">
        <v>610.08309634105535</v>
      </c>
      <c r="J36" s="42">
        <v>638.68680691833151</v>
      </c>
      <c r="K36" s="42">
        <v>590.94828896556282</v>
      </c>
      <c r="L36" s="42">
        <v>645.66205620006667</v>
      </c>
      <c r="M36" s="42">
        <v>586.93948539086273</v>
      </c>
      <c r="N36" s="42">
        <v>549.46031228690413</v>
      </c>
      <c r="O36" s="42">
        <v>465.1265468452184</v>
      </c>
      <c r="P36" s="60">
        <f t="shared" si="6"/>
        <v>6868.2458158199552</v>
      </c>
      <c r="R36" s="18"/>
      <c r="T36" s="18"/>
    </row>
    <row r="37" spans="3:20">
      <c r="C37" s="24" t="s">
        <v>38</v>
      </c>
      <c r="D37" s="74">
        <v>864.29294137910472</v>
      </c>
      <c r="E37" s="42">
        <v>718.40335902189247</v>
      </c>
      <c r="F37" s="42">
        <v>769.96868912064815</v>
      </c>
      <c r="G37" s="42">
        <v>857.73402307942445</v>
      </c>
      <c r="H37" s="42">
        <v>961.60982170686179</v>
      </c>
      <c r="I37" s="42">
        <v>915.12464451158303</v>
      </c>
      <c r="J37" s="42">
        <v>958.03021037749704</v>
      </c>
      <c r="K37" s="68">
        <v>886.42243344834424</v>
      </c>
      <c r="L37" s="68">
        <v>968.49308430009978</v>
      </c>
      <c r="M37" s="68">
        <v>880.40922808629398</v>
      </c>
      <c r="N37" s="68">
        <v>824.19046843035608</v>
      </c>
      <c r="O37" s="68">
        <v>697.6898202678276</v>
      </c>
      <c r="P37" s="60">
        <f t="shared" si="6"/>
        <v>10302.368723729933</v>
      </c>
      <c r="S37" s="18"/>
      <c r="T37" s="18"/>
    </row>
    <row r="38" spans="3:20" ht="15">
      <c r="C38" s="34" t="s">
        <v>39</v>
      </c>
      <c r="D38" s="75">
        <f t="shared" ref="D38:O38" si="10">+D27+D30-D32-D35</f>
        <v>97008.250543044502</v>
      </c>
      <c r="E38" s="76">
        <f t="shared" si="10"/>
        <v>84005.776171981604</v>
      </c>
      <c r="F38" s="76">
        <f t="shared" si="10"/>
        <v>93319.081713292093</v>
      </c>
      <c r="G38" s="76">
        <f t="shared" si="10"/>
        <v>112378.4709678533</v>
      </c>
      <c r="H38" s="76">
        <f t="shared" si="10"/>
        <v>119753.71737636811</v>
      </c>
      <c r="I38" s="76">
        <f t="shared" si="10"/>
        <v>118709.84757580158</v>
      </c>
      <c r="J38" s="76">
        <f t="shared" si="10"/>
        <v>130591.7109573975</v>
      </c>
      <c r="K38" s="76">
        <f t="shared" si="10"/>
        <v>130050.82190383811</v>
      </c>
      <c r="L38" s="76">
        <f t="shared" si="10"/>
        <v>117921.01938710979</v>
      </c>
      <c r="M38" s="76">
        <f t="shared" si="10"/>
        <v>128178.7428880488</v>
      </c>
      <c r="N38" s="76">
        <f t="shared" si="10"/>
        <v>120987.50138999999</v>
      </c>
      <c r="O38" s="77">
        <f t="shared" si="10"/>
        <v>125920.8048311258</v>
      </c>
      <c r="P38" s="78">
        <f t="shared" si="6"/>
        <v>1378825.7457058611</v>
      </c>
      <c r="R38" s="18"/>
    </row>
    <row r="39" spans="3:20" ht="15">
      <c r="C39" s="34" t="s">
        <v>40</v>
      </c>
      <c r="D39" s="75">
        <f t="shared" ref="D39:O39" si="11">+D40+D43+D53</f>
        <v>97008.250543044502</v>
      </c>
      <c r="E39" s="76">
        <f t="shared" si="11"/>
        <v>84005.776171981604</v>
      </c>
      <c r="F39" s="76">
        <f t="shared" si="11"/>
        <v>93319.081713292093</v>
      </c>
      <c r="G39" s="76">
        <f t="shared" si="11"/>
        <v>112378.4709678533</v>
      </c>
      <c r="H39" s="76">
        <f t="shared" si="11"/>
        <v>119753.71737636811</v>
      </c>
      <c r="I39" s="76">
        <f t="shared" si="11"/>
        <v>118709.84757580158</v>
      </c>
      <c r="J39" s="76">
        <f t="shared" si="11"/>
        <v>130591.7109573975</v>
      </c>
      <c r="K39" s="76">
        <f t="shared" si="11"/>
        <v>130050.82190383811</v>
      </c>
      <c r="L39" s="76">
        <f t="shared" si="11"/>
        <v>117921.01938710979</v>
      </c>
      <c r="M39" s="76">
        <f t="shared" si="11"/>
        <v>128178.7428880488</v>
      </c>
      <c r="N39" s="76">
        <f t="shared" si="11"/>
        <v>120987.50138999999</v>
      </c>
      <c r="O39" s="77">
        <f t="shared" si="11"/>
        <v>125920.8048311258</v>
      </c>
      <c r="P39" s="78">
        <f t="shared" si="6"/>
        <v>1378825.7457058611</v>
      </c>
      <c r="R39" s="18"/>
    </row>
    <row r="40" spans="3:20" ht="15">
      <c r="C40" s="27" t="s">
        <v>44</v>
      </c>
      <c r="D40" s="79">
        <f t="shared" ref="D40:O40" si="12">+D41+D42</f>
        <v>29272.657413044501</v>
      </c>
      <c r="E40" s="71">
        <f t="shared" si="12"/>
        <v>19489.2502619816</v>
      </c>
      <c r="F40" s="80">
        <f t="shared" si="12"/>
        <v>22711.8586532921</v>
      </c>
      <c r="G40" s="71">
        <f t="shared" si="12"/>
        <v>46974.9319478533</v>
      </c>
      <c r="H40" s="71">
        <f t="shared" si="12"/>
        <v>53403.568026368099</v>
      </c>
      <c r="I40" s="71">
        <f t="shared" si="12"/>
        <v>55895.141435801597</v>
      </c>
      <c r="J40" s="71">
        <f t="shared" si="12"/>
        <v>67141.649617397503</v>
      </c>
      <c r="K40" s="71">
        <f t="shared" si="12"/>
        <v>65521.446783838102</v>
      </c>
      <c r="L40" s="71">
        <f t="shared" si="12"/>
        <v>54886.925967109797</v>
      </c>
      <c r="M40" s="70">
        <f t="shared" si="12"/>
        <v>64405.1120180488</v>
      </c>
      <c r="N40" s="70">
        <f t="shared" si="12"/>
        <v>59448.79</v>
      </c>
      <c r="O40" s="81">
        <f t="shared" si="12"/>
        <v>62624.171661125802</v>
      </c>
      <c r="P40" s="73">
        <f t="shared" si="6"/>
        <v>601775.50378586131</v>
      </c>
      <c r="R40" s="18">
        <f>+H35-R38</f>
        <v>1602.6830361781031</v>
      </c>
      <c r="S40" s="18"/>
    </row>
    <row r="41" spans="3:20">
      <c r="C41" s="24" t="s">
        <v>41</v>
      </c>
      <c r="D41" s="74">
        <v>29272.657413044501</v>
      </c>
      <c r="E41" s="42">
        <v>19489.2502619816</v>
      </c>
      <c r="F41" s="17">
        <v>22711.8586532921</v>
      </c>
      <c r="G41" s="18">
        <v>46974.9319478533</v>
      </c>
      <c r="H41" s="42">
        <v>53403.568026368099</v>
      </c>
      <c r="I41" s="42">
        <v>55895.141435801597</v>
      </c>
      <c r="J41" s="42">
        <v>67141.649617397503</v>
      </c>
      <c r="K41" s="42">
        <v>65521.446783838102</v>
      </c>
      <c r="L41" s="42">
        <v>54886.925967109797</v>
      </c>
      <c r="M41" s="42">
        <v>64405.1120180488</v>
      </c>
      <c r="N41" s="42">
        <v>59448.79</v>
      </c>
      <c r="O41" s="44">
        <v>62624.171661125802</v>
      </c>
      <c r="P41" s="60">
        <f t="shared" si="6"/>
        <v>601775.50378586131</v>
      </c>
      <c r="Q41" s="18"/>
      <c r="R41" s="18"/>
    </row>
    <row r="42" spans="3:20" hidden="1">
      <c r="C42" s="24" t="s">
        <v>45</v>
      </c>
      <c r="D42" s="74">
        <v>0</v>
      </c>
      <c r="E42" s="42">
        <v>0</v>
      </c>
      <c r="F42" s="18">
        <v>0</v>
      </c>
      <c r="G42" s="98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4"/>
      <c r="P42" s="60">
        <f t="shared" si="6"/>
        <v>0</v>
      </c>
      <c r="Q42" s="18"/>
      <c r="R42" s="18"/>
    </row>
    <row r="43" spans="3:20" ht="15">
      <c r="C43" s="27" t="s">
        <v>42</v>
      </c>
      <c r="D43" s="79">
        <f t="shared" ref="D43:O43" si="13">SUM(D44:D52)</f>
        <v>65811.090370000005</v>
      </c>
      <c r="E43" s="72">
        <f t="shared" si="13"/>
        <v>62374.74412000001</v>
      </c>
      <c r="F43" s="71">
        <f t="shared" si="13"/>
        <v>68078.409179999988</v>
      </c>
      <c r="G43" s="99">
        <f t="shared" si="13"/>
        <v>62932.900630000004</v>
      </c>
      <c r="H43" s="71">
        <f>(SUM(H44:H52))</f>
        <v>63751.119650000008</v>
      </c>
      <c r="I43" s="71">
        <f t="shared" si="13"/>
        <v>60092.319639999994</v>
      </c>
      <c r="J43" s="71">
        <f t="shared" si="13"/>
        <v>61088.622949999997</v>
      </c>
      <c r="K43" s="71">
        <f t="shared" si="13"/>
        <v>62096.121030000009</v>
      </c>
      <c r="L43" s="71">
        <f t="shared" si="13"/>
        <v>60457.349449999994</v>
      </c>
      <c r="M43" s="71">
        <f t="shared" si="13"/>
        <v>61036.382939999996</v>
      </c>
      <c r="N43" s="97">
        <f t="shared" si="13"/>
        <v>58888.856459999995</v>
      </c>
      <c r="O43" s="97">
        <f t="shared" si="13"/>
        <v>60752.804080000002</v>
      </c>
      <c r="P43" s="73">
        <f t="shared" si="6"/>
        <v>747360.72050000005</v>
      </c>
      <c r="R43" s="18"/>
    </row>
    <row r="44" spans="3:20">
      <c r="C44" s="24" t="s">
        <v>47</v>
      </c>
      <c r="D44" s="74">
        <v>12538.445739999999</v>
      </c>
      <c r="E44" s="105">
        <v>11744.084699999999</v>
      </c>
      <c r="F44" s="42">
        <v>12472.108829999999</v>
      </c>
      <c r="G44" s="98">
        <v>11537.995919999998</v>
      </c>
      <c r="H44" s="42">
        <v>11933.225039999999</v>
      </c>
      <c r="I44" s="42">
        <v>11142.879269999999</v>
      </c>
      <c r="J44" s="42">
        <v>11718.09281</v>
      </c>
      <c r="K44" s="42">
        <v>11885.652990000001</v>
      </c>
      <c r="L44" s="42">
        <v>11737.94536</v>
      </c>
      <c r="M44" s="42">
        <v>11966.413140000001</v>
      </c>
      <c r="N44" s="42">
        <v>11382.165199999999</v>
      </c>
      <c r="O44" s="44">
        <v>12090.232249999999</v>
      </c>
      <c r="P44" s="60">
        <f t="shared" si="6"/>
        <v>142149.24124999999</v>
      </c>
      <c r="R44" s="18"/>
    </row>
    <row r="45" spans="3:20">
      <c r="C45" s="24" t="s">
        <v>48</v>
      </c>
      <c r="D45" s="74">
        <v>45691.871200000001</v>
      </c>
      <c r="E45" s="105">
        <v>43405.982280000004</v>
      </c>
      <c r="F45" s="43">
        <v>47742.976920000001</v>
      </c>
      <c r="G45" s="98">
        <v>43509.733840000001</v>
      </c>
      <c r="H45" s="42">
        <v>43819.932640000006</v>
      </c>
      <c r="I45" s="42">
        <v>41212.927309999992</v>
      </c>
      <c r="J45" s="42">
        <v>41168.37427</v>
      </c>
      <c r="K45" s="42">
        <v>41886.841820000001</v>
      </c>
      <c r="L45" s="42">
        <v>40820.252459999996</v>
      </c>
      <c r="M45" s="42">
        <v>41903.160020000003</v>
      </c>
      <c r="N45" s="42">
        <v>40948.670530000003</v>
      </c>
      <c r="O45" s="44">
        <v>42015.270640000002</v>
      </c>
      <c r="P45" s="60">
        <f t="shared" ref="P45:P52" si="14">SUM(D45:O45)</f>
        <v>514125.99392999994</v>
      </c>
      <c r="R45" s="18"/>
    </row>
    <row r="46" spans="3:20">
      <c r="C46" s="24" t="s">
        <v>49</v>
      </c>
      <c r="D46" s="74">
        <v>701.51241000000005</v>
      </c>
      <c r="E46" s="105">
        <v>685.35765000000004</v>
      </c>
      <c r="F46" s="43">
        <v>755.34198000000004</v>
      </c>
      <c r="G46" s="98">
        <v>670.98206000000005</v>
      </c>
      <c r="H46" s="42">
        <v>635.68631999999991</v>
      </c>
      <c r="I46" s="42">
        <v>579.70069999999998</v>
      </c>
      <c r="J46" s="42">
        <v>609.49804000000006</v>
      </c>
      <c r="K46" s="42">
        <v>609.09028999999987</v>
      </c>
      <c r="L46" s="42">
        <v>593.40009999999995</v>
      </c>
      <c r="M46" s="42">
        <v>596.38426000000004</v>
      </c>
      <c r="N46" s="42">
        <v>602.41690000000006</v>
      </c>
      <c r="O46" s="44">
        <v>652.35199000000011</v>
      </c>
      <c r="P46" s="60">
        <f t="shared" si="14"/>
        <v>7691.7227000000003</v>
      </c>
      <c r="R46" s="18"/>
    </row>
    <row r="47" spans="3:20">
      <c r="C47" s="24" t="s">
        <v>50</v>
      </c>
      <c r="D47" s="74">
        <f>1346734.02/1000</f>
        <v>1346.7340200000001</v>
      </c>
      <c r="E47" s="105">
        <v>1248.8314399999999</v>
      </c>
      <c r="F47" s="101">
        <v>1373.2502899999997</v>
      </c>
      <c r="G47" s="98">
        <f>1244646.67/1000</f>
        <v>1244.6466699999999</v>
      </c>
      <c r="H47" s="42">
        <v>1217.8301000000001</v>
      </c>
      <c r="I47" s="42">
        <v>1166.5842200000002</v>
      </c>
      <c r="J47" s="42">
        <v>1151.8261</v>
      </c>
      <c r="K47" s="42">
        <v>1154.21615</v>
      </c>
      <c r="L47" s="42">
        <v>1126.0251400000002</v>
      </c>
      <c r="M47" s="42">
        <v>1192.43696</v>
      </c>
      <c r="N47" s="42">
        <v>1165.2149999999999</v>
      </c>
      <c r="O47" s="44">
        <v>1238.1784399999999</v>
      </c>
      <c r="P47" s="60">
        <f t="shared" si="14"/>
        <v>14625.774529999999</v>
      </c>
      <c r="R47" s="18"/>
    </row>
    <row r="48" spans="3:20">
      <c r="C48" s="24" t="s">
        <v>51</v>
      </c>
      <c r="D48" s="74">
        <v>946.98109999999986</v>
      </c>
      <c r="E48" s="105">
        <v>852.57803999999987</v>
      </c>
      <c r="F48" s="101">
        <v>967.79113000000007</v>
      </c>
      <c r="G48" s="98">
        <v>957.32345999999973</v>
      </c>
      <c r="H48" s="42">
        <v>1005.9666199999999</v>
      </c>
      <c r="I48" s="42">
        <v>972.86137999999994</v>
      </c>
      <c r="J48" s="42">
        <v>1003.8378399999998</v>
      </c>
      <c r="K48" s="42">
        <v>1047.7417100000002</v>
      </c>
      <c r="L48" s="42">
        <v>1022.43174</v>
      </c>
      <c r="M48" s="42">
        <v>1038.6787600000002</v>
      </c>
      <c r="N48" s="42">
        <v>994.19534999999985</v>
      </c>
      <c r="O48" s="44">
        <v>979.73808999999983</v>
      </c>
      <c r="P48" s="60">
        <f t="shared" si="14"/>
        <v>11790.125220000002</v>
      </c>
      <c r="R48" s="18"/>
    </row>
    <row r="49" spans="1:256">
      <c r="C49" s="24" t="s">
        <v>52</v>
      </c>
      <c r="D49" s="74">
        <v>817.04521</v>
      </c>
      <c r="E49" s="105">
        <v>829.67458999999997</v>
      </c>
      <c r="F49" s="101">
        <v>852.79243000000008</v>
      </c>
      <c r="G49" s="98">
        <v>871.87142999999992</v>
      </c>
      <c r="H49" s="42">
        <v>871.29813000000001</v>
      </c>
      <c r="I49" s="42">
        <v>886.30020999999999</v>
      </c>
      <c r="J49" s="42">
        <v>941.25543000000005</v>
      </c>
      <c r="K49" s="42">
        <v>920.09702000000004</v>
      </c>
      <c r="L49" s="42">
        <v>921.32483999999999</v>
      </c>
      <c r="M49" s="42">
        <v>928.80054000000007</v>
      </c>
      <c r="N49" s="42">
        <v>860.14202</v>
      </c>
      <c r="O49" s="44">
        <v>871.37450000000013</v>
      </c>
      <c r="P49" s="60">
        <f t="shared" si="14"/>
        <v>10571.976349999999</v>
      </c>
      <c r="R49" s="18"/>
    </row>
    <row r="50" spans="1:256">
      <c r="C50" s="24" t="s">
        <v>55</v>
      </c>
      <c r="D50" s="74">
        <v>1672.1711600000001</v>
      </c>
      <c r="E50" s="105">
        <v>1517.2814099999998</v>
      </c>
      <c r="F50" s="43">
        <v>1683.5569600000001</v>
      </c>
      <c r="G50" s="98">
        <v>1585.5529299999996</v>
      </c>
      <c r="H50" s="42">
        <v>1655.8581200000001</v>
      </c>
      <c r="I50" s="42">
        <v>1592.1630500000001</v>
      </c>
      <c r="J50" s="42">
        <v>1608.0708999999999</v>
      </c>
      <c r="K50" s="42">
        <v>1619.85832</v>
      </c>
      <c r="L50" s="42">
        <v>1587.0476899999999</v>
      </c>
      <c r="M50" s="42">
        <v>1642.9312699999998</v>
      </c>
      <c r="N50" s="42">
        <v>1600.6064199999998</v>
      </c>
      <c r="O50" s="44">
        <v>1661.6877999999999</v>
      </c>
      <c r="P50" s="60">
        <f t="shared" si="14"/>
        <v>19426.786029999999</v>
      </c>
      <c r="R50" s="18">
        <v>1000</v>
      </c>
    </row>
    <row r="51" spans="1:256">
      <c r="C51" s="24" t="s">
        <v>53</v>
      </c>
      <c r="D51" s="74">
        <v>2056.16039</v>
      </c>
      <c r="E51" s="105">
        <v>2054.1244499999998</v>
      </c>
      <c r="F51" s="43">
        <v>2191.7805099999996</v>
      </c>
      <c r="G51" s="98">
        <v>2512.4715499999998</v>
      </c>
      <c r="H51" s="42">
        <v>2563.2504400000003</v>
      </c>
      <c r="I51" s="42">
        <v>2492.2628400000003</v>
      </c>
      <c r="J51" s="42">
        <v>2839.2510600000005</v>
      </c>
      <c r="K51" s="42">
        <v>2924.9811100000002</v>
      </c>
      <c r="L51" s="42">
        <v>2599.8439499999995</v>
      </c>
      <c r="M51" s="42">
        <v>1720.2982500000001</v>
      </c>
      <c r="N51" s="42">
        <v>1287.5523799999999</v>
      </c>
      <c r="O51" s="44">
        <v>1193.9516799999999</v>
      </c>
      <c r="P51" s="60">
        <f t="shared" si="14"/>
        <v>26435.928609999999</v>
      </c>
      <c r="R51" s="18"/>
    </row>
    <row r="52" spans="1:256">
      <c r="C52" s="24" t="s">
        <v>54</v>
      </c>
      <c r="D52" s="74">
        <v>40.169139999999999</v>
      </c>
      <c r="E52" s="105">
        <v>36.829560000000001</v>
      </c>
      <c r="F52" s="43">
        <v>38.810130000000008</v>
      </c>
      <c r="G52" s="98">
        <v>42.322770000000006</v>
      </c>
      <c r="H52" s="42">
        <v>48.072240000000001</v>
      </c>
      <c r="I52" s="42">
        <v>46.640660000000004</v>
      </c>
      <c r="J52" s="42">
        <v>48.416499999999999</v>
      </c>
      <c r="K52" s="42">
        <v>47.641620000000003</v>
      </c>
      <c r="L52" s="42">
        <v>49.078170000000007</v>
      </c>
      <c r="M52" s="42">
        <v>47.279740000000004</v>
      </c>
      <c r="N52" s="42">
        <v>47.892660000000006</v>
      </c>
      <c r="O52" s="44">
        <v>50.018690000000007</v>
      </c>
      <c r="P52" s="60">
        <f t="shared" si="14"/>
        <v>543.17187999999999</v>
      </c>
      <c r="R52" s="18"/>
    </row>
    <row r="53" spans="1:256" ht="15">
      <c r="C53" s="27" t="s">
        <v>43</v>
      </c>
      <c r="D53" s="79">
        <f>+D54+D55</f>
        <v>1924.5027599999999</v>
      </c>
      <c r="E53" s="71">
        <f t="shared" ref="E53:O53" si="15">+E54+E55</f>
        <v>2141.78179</v>
      </c>
      <c r="F53" s="90">
        <f t="shared" si="15"/>
        <v>2528.8138800000002</v>
      </c>
      <c r="G53" s="71">
        <f t="shared" si="15"/>
        <v>2470.6383900000001</v>
      </c>
      <c r="H53" s="71">
        <f t="shared" si="15"/>
        <v>2599.0297</v>
      </c>
      <c r="I53" s="71">
        <f t="shared" si="15"/>
        <v>2722.3865000000001</v>
      </c>
      <c r="J53" s="71">
        <f t="shared" si="15"/>
        <v>2361.4383900000003</v>
      </c>
      <c r="K53" s="71">
        <f t="shared" si="15"/>
        <v>2433.2540899999999</v>
      </c>
      <c r="L53" s="71">
        <f t="shared" si="15"/>
        <v>2576.74397</v>
      </c>
      <c r="M53" s="71">
        <f t="shared" si="15"/>
        <v>2737.2479300000005</v>
      </c>
      <c r="N53" s="71">
        <f t="shared" si="15"/>
        <v>2649.85493</v>
      </c>
      <c r="O53" s="72">
        <f t="shared" si="15"/>
        <v>2543.8290900000002</v>
      </c>
      <c r="P53" s="73">
        <f>SUM(D53:O53)</f>
        <v>29689.521420000001</v>
      </c>
      <c r="R53" s="18"/>
    </row>
    <row r="54" spans="1:256" ht="15">
      <c r="C54" s="107" t="s">
        <v>59</v>
      </c>
      <c r="D54" s="58">
        <v>1082.6054799999999</v>
      </c>
      <c r="E54" s="59">
        <v>1214.4757500000001</v>
      </c>
      <c r="F54" s="103">
        <v>1485.7235000000001</v>
      </c>
      <c r="G54" s="59">
        <v>1367.56503</v>
      </c>
      <c r="H54" s="59">
        <v>1477.2889300000002</v>
      </c>
      <c r="I54" s="59">
        <v>1475.1914300000001</v>
      </c>
      <c r="J54" s="42">
        <v>1292.5748100000001</v>
      </c>
      <c r="K54" s="42">
        <v>1320.0596800000001</v>
      </c>
      <c r="L54" s="59">
        <v>1330.38627</v>
      </c>
      <c r="M54" s="59">
        <v>1452.7919100000001</v>
      </c>
      <c r="N54" s="59">
        <v>1455.60169</v>
      </c>
      <c r="O54" s="104">
        <v>1311.1586600000001</v>
      </c>
      <c r="P54" s="73">
        <f>SUM(D54:O54)</f>
        <v>16265.423140000003</v>
      </c>
      <c r="R54" s="18"/>
    </row>
    <row r="55" spans="1:256" ht="15" thickBot="1">
      <c r="C55" s="108" t="s">
        <v>56</v>
      </c>
      <c r="D55" s="83">
        <v>841.89728000000002</v>
      </c>
      <c r="E55" s="84">
        <v>927.30604000000005</v>
      </c>
      <c r="F55" s="84">
        <v>1043.0903800000001</v>
      </c>
      <c r="G55" s="84">
        <v>1103.0733600000001</v>
      </c>
      <c r="H55" s="84">
        <v>1121.7407700000001</v>
      </c>
      <c r="I55" s="84">
        <v>1247.19507</v>
      </c>
      <c r="J55" s="85">
        <v>1068.8635800000002</v>
      </c>
      <c r="K55" s="85">
        <v>1113.1944099999998</v>
      </c>
      <c r="L55" s="84">
        <v>1246.3577</v>
      </c>
      <c r="M55" s="84">
        <v>1284.4560200000001</v>
      </c>
      <c r="N55" s="84">
        <v>1194.25324</v>
      </c>
      <c r="O55" s="86">
        <v>1232.6704300000001</v>
      </c>
      <c r="P55" s="87">
        <f>SUM(D55:O55)</f>
        <v>13424.09828</v>
      </c>
      <c r="R55" s="18">
        <f>P43/7</f>
        <v>106765.81721428572</v>
      </c>
    </row>
    <row r="56" spans="1:256" ht="15" thickTop="1">
      <c r="D56" s="35"/>
      <c r="E56" s="39"/>
      <c r="F56" s="35"/>
      <c r="G56" s="35"/>
      <c r="H56" s="35"/>
      <c r="L56" s="18"/>
      <c r="M56" s="18"/>
      <c r="R56" s="109">
        <f>R55*12</f>
        <v>1281189.8065714287</v>
      </c>
    </row>
    <row r="57" spans="1:256" s="11" customFormat="1">
      <c r="A57" s="3"/>
      <c r="B57" s="3"/>
      <c r="C57" s="409" t="s">
        <v>158</v>
      </c>
      <c r="D57" s="410">
        <f>+D43+D53</f>
        <v>67735.593130000008</v>
      </c>
      <c r="E57" s="410">
        <f t="shared" ref="E57:P57" si="16">+E43+E53</f>
        <v>64516.525910000011</v>
      </c>
      <c r="F57" s="410">
        <f t="shared" si="16"/>
        <v>70607.223059999989</v>
      </c>
      <c r="G57" s="410">
        <f t="shared" si="16"/>
        <v>65403.539020000004</v>
      </c>
      <c r="H57" s="410">
        <f t="shared" si="16"/>
        <v>66350.149350000007</v>
      </c>
      <c r="I57" s="410">
        <f t="shared" si="16"/>
        <v>62814.706139999995</v>
      </c>
      <c r="J57" s="410">
        <f t="shared" si="16"/>
        <v>63450.06134</v>
      </c>
      <c r="K57" s="410">
        <f t="shared" si="16"/>
        <v>64529.375120000012</v>
      </c>
      <c r="L57" s="410">
        <f t="shared" si="16"/>
        <v>63034.093419999997</v>
      </c>
      <c r="M57" s="410">
        <f t="shared" si="16"/>
        <v>63773.630869999994</v>
      </c>
      <c r="N57" s="410">
        <f t="shared" si="16"/>
        <v>61538.711389999997</v>
      </c>
      <c r="O57" s="410">
        <f t="shared" si="16"/>
        <v>63296.633170000001</v>
      </c>
      <c r="P57" s="411">
        <f t="shared" si="16"/>
        <v>777050.24192000006</v>
      </c>
      <c r="R57" s="11">
        <f>794000</f>
        <v>794000</v>
      </c>
    </row>
    <row r="58" spans="1:256"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11"/>
      <c r="Q58" s="11"/>
      <c r="R58" s="11">
        <f>R57/R56</f>
        <v>0.61973643243760312</v>
      </c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</row>
    <row r="59" spans="1:256" ht="15">
      <c r="D59" s="89">
        <f t="shared" ref="D59:O59" si="17">+D38-D39</f>
        <v>0</v>
      </c>
      <c r="E59" s="89">
        <f t="shared" si="17"/>
        <v>0</v>
      </c>
      <c r="F59" s="89">
        <f t="shared" si="17"/>
        <v>0</v>
      </c>
      <c r="G59" s="89">
        <f t="shared" si="17"/>
        <v>0</v>
      </c>
      <c r="H59" s="89">
        <f t="shared" si="17"/>
        <v>0</v>
      </c>
      <c r="I59" s="89">
        <f t="shared" si="17"/>
        <v>0</v>
      </c>
      <c r="J59" s="89">
        <f>+J38-J39</f>
        <v>0</v>
      </c>
      <c r="K59" s="89">
        <f t="shared" si="17"/>
        <v>0</v>
      </c>
      <c r="L59" s="89">
        <f t="shared" si="17"/>
        <v>0</v>
      </c>
      <c r="M59" s="89">
        <f t="shared" si="17"/>
        <v>0</v>
      </c>
      <c r="N59" s="89">
        <f t="shared" si="17"/>
        <v>0</v>
      </c>
      <c r="O59" s="89">
        <f t="shared" si="17"/>
        <v>0</v>
      </c>
      <c r="P59" s="89"/>
      <c r="R59" s="90"/>
    </row>
    <row r="60" spans="1:256">
      <c r="D60" s="89">
        <f t="shared" ref="D60:O60" si="18">+D59*0.4</f>
        <v>0</v>
      </c>
      <c r="E60" s="89">
        <f t="shared" si="18"/>
        <v>0</v>
      </c>
      <c r="F60" s="89">
        <f t="shared" si="18"/>
        <v>0</v>
      </c>
      <c r="G60" s="89">
        <f t="shared" si="18"/>
        <v>0</v>
      </c>
      <c r="H60" s="89">
        <f t="shared" si="18"/>
        <v>0</v>
      </c>
      <c r="I60" s="89">
        <f>+I59*0.4</f>
        <v>0</v>
      </c>
      <c r="J60" s="89">
        <f t="shared" si="18"/>
        <v>0</v>
      </c>
      <c r="K60" s="89">
        <f t="shared" si="18"/>
        <v>0</v>
      </c>
      <c r="L60" s="89">
        <f t="shared" si="18"/>
        <v>0</v>
      </c>
      <c r="M60" s="89">
        <f t="shared" si="18"/>
        <v>0</v>
      </c>
      <c r="N60" s="89">
        <f t="shared" si="18"/>
        <v>0</v>
      </c>
      <c r="O60" s="89">
        <f t="shared" si="18"/>
        <v>0</v>
      </c>
      <c r="P60" s="89"/>
    </row>
    <row r="61" spans="1:256">
      <c r="D61" s="89">
        <f t="shared" ref="D61:O61" si="19">+D59*0.6</f>
        <v>0</v>
      </c>
      <c r="E61" s="89">
        <f t="shared" si="19"/>
        <v>0</v>
      </c>
      <c r="F61" s="89">
        <f t="shared" si="19"/>
        <v>0</v>
      </c>
      <c r="G61" s="89">
        <f t="shared" si="19"/>
        <v>0</v>
      </c>
      <c r="H61" s="89">
        <f t="shared" si="19"/>
        <v>0</v>
      </c>
      <c r="I61" s="89">
        <f>+I59*0.6</f>
        <v>0</v>
      </c>
      <c r="J61" s="89">
        <f t="shared" si="19"/>
        <v>0</v>
      </c>
      <c r="K61" s="89">
        <f t="shared" si="19"/>
        <v>0</v>
      </c>
      <c r="L61" s="89">
        <f t="shared" si="19"/>
        <v>0</v>
      </c>
      <c r="M61" s="89">
        <f t="shared" si="19"/>
        <v>0</v>
      </c>
      <c r="N61" s="89">
        <f t="shared" si="19"/>
        <v>0</v>
      </c>
      <c r="O61" s="89">
        <f t="shared" si="19"/>
        <v>0</v>
      </c>
      <c r="P61" s="89"/>
    </row>
    <row r="62" spans="1:256"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89"/>
      <c r="P62" s="89"/>
    </row>
    <row r="63" spans="1:256" ht="15">
      <c r="D63" s="94">
        <f t="shared" ref="D63:O63" si="20">D35/D27</f>
        <v>1.4546490946715616E-2</v>
      </c>
      <c r="E63" s="94">
        <f t="shared" si="20"/>
        <v>1.3930248019797118E-2</v>
      </c>
      <c r="F63" s="94">
        <f t="shared" si="20"/>
        <v>1.3463375608137328E-2</v>
      </c>
      <c r="G63" s="94">
        <f t="shared" si="20"/>
        <v>1.2510185969977255E-2</v>
      </c>
      <c r="H63" s="94">
        <f t="shared" si="20"/>
        <v>1.3082032576380617E-2</v>
      </c>
      <c r="I63" s="94">
        <f t="shared" si="20"/>
        <v>1.2592730040653956E-2</v>
      </c>
      <c r="J63" s="94">
        <f t="shared" si="20"/>
        <v>1.198934217347559E-2</v>
      </c>
      <c r="K63" s="94">
        <f t="shared" si="20"/>
        <v>1.11399669837202E-2</v>
      </c>
      <c r="L63" s="94">
        <f t="shared" si="20"/>
        <v>1.3408247620524404E-2</v>
      </c>
      <c r="M63" s="94">
        <f t="shared" si="20"/>
        <v>1.1261171098482452E-2</v>
      </c>
      <c r="N63" s="94">
        <f t="shared" si="20"/>
        <v>1.1180225964278484E-2</v>
      </c>
      <c r="O63" s="94">
        <f t="shared" si="20"/>
        <v>9.1144227236144692E-3</v>
      </c>
    </row>
    <row r="64" spans="1:256">
      <c r="D64" s="18"/>
      <c r="E64" s="18"/>
      <c r="F64" s="18"/>
      <c r="G64" s="18"/>
      <c r="H64" s="18"/>
      <c r="I64" s="18"/>
      <c r="J64" s="18"/>
      <c r="K64" s="95"/>
      <c r="L64" s="18"/>
      <c r="M64" s="18"/>
      <c r="N64" s="18"/>
      <c r="O64" s="18"/>
    </row>
    <row r="65" spans="2:16">
      <c r="D65" s="43">
        <f>+D53+D43</f>
        <v>67735.593130000008</v>
      </c>
      <c r="E65" s="43">
        <f t="shared" ref="E65:O65" si="21">+E53+E43</f>
        <v>64516.525910000011</v>
      </c>
      <c r="F65" s="43">
        <f t="shared" si="21"/>
        <v>70607.223059999989</v>
      </c>
      <c r="G65" s="43">
        <f t="shared" si="21"/>
        <v>65403.539020000004</v>
      </c>
      <c r="H65" s="43">
        <f t="shared" si="21"/>
        <v>66350.149350000007</v>
      </c>
      <c r="I65" s="43">
        <f t="shared" si="21"/>
        <v>62814.706139999995</v>
      </c>
      <c r="J65" s="43">
        <f t="shared" si="21"/>
        <v>63450.06134</v>
      </c>
      <c r="K65" s="43">
        <f t="shared" si="21"/>
        <v>64529.375120000012</v>
      </c>
      <c r="L65" s="43">
        <f t="shared" si="21"/>
        <v>63034.093419999997</v>
      </c>
      <c r="M65" s="43">
        <f t="shared" si="21"/>
        <v>63773.630869999994</v>
      </c>
      <c r="N65" s="43">
        <f t="shared" si="21"/>
        <v>61538.711389999997</v>
      </c>
      <c r="O65" s="43">
        <f t="shared" si="21"/>
        <v>63296.633170000001</v>
      </c>
    </row>
    <row r="66" spans="2:16">
      <c r="J66" s="36"/>
    </row>
    <row r="67" spans="2:16">
      <c r="D67" s="18"/>
      <c r="E67" s="18"/>
      <c r="F67" s="18"/>
      <c r="G67" s="18"/>
      <c r="H67" s="18"/>
      <c r="I67" s="18"/>
      <c r="J67" s="18"/>
      <c r="K67" s="18"/>
      <c r="M67" s="18"/>
      <c r="N67" s="18"/>
    </row>
    <row r="68" spans="2:16">
      <c r="D68" s="18"/>
      <c r="E68" s="18"/>
    </row>
    <row r="69" spans="2:16">
      <c r="B69" s="110" t="s">
        <v>62</v>
      </c>
      <c r="C69" s="110" t="s">
        <v>69</v>
      </c>
      <c r="D69" s="123" t="str">
        <f t="shared" ref="D69:P69" si="22">+D26</f>
        <v>Enero</v>
      </c>
      <c r="E69" s="123" t="str">
        <f t="shared" si="22"/>
        <v>Febrero</v>
      </c>
      <c r="F69" s="123" t="str">
        <f t="shared" si="22"/>
        <v>Marzo</v>
      </c>
      <c r="G69" s="123" t="str">
        <f t="shared" si="22"/>
        <v>Abril</v>
      </c>
      <c r="H69" s="123" t="str">
        <f t="shared" si="22"/>
        <v>Mayo</v>
      </c>
      <c r="I69" s="123" t="str">
        <f t="shared" si="22"/>
        <v>Junio</v>
      </c>
      <c r="J69" s="123" t="str">
        <f t="shared" si="22"/>
        <v>Julio</v>
      </c>
      <c r="K69" s="123" t="str">
        <f t="shared" si="22"/>
        <v>Agosto</v>
      </c>
      <c r="L69" s="123" t="str">
        <f t="shared" si="22"/>
        <v>Septiembre</v>
      </c>
      <c r="M69" s="123" t="str">
        <f t="shared" si="22"/>
        <v>Octubre</v>
      </c>
      <c r="N69" s="123" t="str">
        <f t="shared" si="22"/>
        <v>Noviembre</v>
      </c>
      <c r="O69" s="123" t="str">
        <f t="shared" si="22"/>
        <v>Diciembre</v>
      </c>
      <c r="P69" s="123" t="str">
        <f t="shared" si="22"/>
        <v>Acumulado</v>
      </c>
    </row>
    <row r="70" spans="2:16" ht="15">
      <c r="B70" s="112" t="s">
        <v>16</v>
      </c>
      <c r="C70" s="124" t="s">
        <v>75</v>
      </c>
      <c r="D70" s="114"/>
      <c r="E70" s="114"/>
      <c r="F70" s="114"/>
      <c r="G70" s="114"/>
      <c r="H70" s="114"/>
      <c r="I70" s="115"/>
      <c r="J70" s="141"/>
      <c r="K70" s="115">
        <v>8814.7263067960739</v>
      </c>
      <c r="L70" s="114"/>
      <c r="M70" s="114"/>
      <c r="N70" s="114"/>
      <c r="O70" s="114"/>
      <c r="P70" s="114"/>
    </row>
    <row r="71" spans="2:16" ht="15">
      <c r="B71" s="112" t="s">
        <v>17</v>
      </c>
      <c r="C71" s="124" t="s">
        <v>76</v>
      </c>
      <c r="D71" s="112"/>
      <c r="E71" s="112"/>
      <c r="F71" s="112"/>
      <c r="G71" s="112"/>
      <c r="H71" s="112"/>
      <c r="I71" s="116"/>
      <c r="J71" s="142"/>
      <c r="K71" s="116">
        <v>1527.9247015118599</v>
      </c>
      <c r="L71" s="112"/>
      <c r="M71" s="112"/>
      <c r="N71" s="112"/>
      <c r="O71" s="112"/>
      <c r="P71" s="112"/>
    </row>
    <row r="72" spans="2:16">
      <c r="B72" s="441" t="s">
        <v>18</v>
      </c>
      <c r="C72" s="114" t="s">
        <v>70</v>
      </c>
      <c r="D72" s="114"/>
      <c r="E72" s="114"/>
      <c r="F72" s="114"/>
      <c r="G72" s="114"/>
      <c r="H72" s="114"/>
      <c r="I72" s="130"/>
      <c r="J72" s="115"/>
      <c r="K72" s="115">
        <v>1305.436933785677</v>
      </c>
      <c r="L72" s="114"/>
      <c r="M72" s="114"/>
      <c r="N72" s="114"/>
      <c r="O72" s="114"/>
      <c r="P72" s="114"/>
    </row>
    <row r="73" spans="2:16">
      <c r="B73" s="442"/>
      <c r="C73" s="112" t="s">
        <v>71</v>
      </c>
      <c r="D73" s="112"/>
      <c r="E73" s="112"/>
      <c r="F73" s="112"/>
      <c r="G73" s="112"/>
      <c r="H73" s="112"/>
      <c r="I73" s="117"/>
      <c r="J73" s="116"/>
      <c r="K73" s="116">
        <v>4572.8952873498201</v>
      </c>
      <c r="L73" s="112"/>
      <c r="M73" s="112"/>
      <c r="N73" s="112"/>
      <c r="O73" s="112"/>
      <c r="P73" s="112"/>
    </row>
    <row r="74" spans="2:16">
      <c r="B74" s="442"/>
      <c r="C74" s="112" t="s">
        <v>72</v>
      </c>
      <c r="D74" s="112"/>
      <c r="E74" s="112"/>
      <c r="F74" s="112"/>
      <c r="G74" s="112"/>
      <c r="H74" s="112"/>
      <c r="I74" s="117"/>
      <c r="J74" s="116"/>
      <c r="K74" s="116">
        <v>1555.9969090908792</v>
      </c>
      <c r="L74" s="112"/>
      <c r="M74" s="112"/>
      <c r="N74" s="112"/>
      <c r="O74" s="112"/>
      <c r="P74" s="112"/>
    </row>
    <row r="75" spans="2:16" ht="15">
      <c r="B75" s="443"/>
      <c r="C75" s="131" t="s">
        <v>77</v>
      </c>
      <c r="D75" s="131"/>
      <c r="E75" s="131"/>
      <c r="F75" s="131"/>
      <c r="G75" s="131"/>
      <c r="H75" s="131"/>
      <c r="I75" s="132"/>
      <c r="J75" s="133"/>
      <c r="K75" s="133">
        <f>+K72+K73-K74</f>
        <v>4322.3353120446181</v>
      </c>
      <c r="L75" s="131"/>
      <c r="M75" s="131"/>
      <c r="N75" s="131"/>
      <c r="O75" s="131"/>
      <c r="P75" s="131"/>
    </row>
    <row r="76" spans="2:16" ht="15">
      <c r="B76" s="112" t="s">
        <v>19</v>
      </c>
      <c r="C76" s="124" t="s">
        <v>78</v>
      </c>
      <c r="D76" s="112"/>
      <c r="E76" s="112"/>
      <c r="F76" s="112"/>
      <c r="G76" s="112"/>
      <c r="H76" s="112"/>
      <c r="I76" s="116"/>
      <c r="J76" s="142"/>
      <c r="K76" s="116">
        <v>6657.2091844081879</v>
      </c>
      <c r="L76" s="112"/>
      <c r="M76" s="112"/>
      <c r="N76" s="112"/>
      <c r="O76" s="112"/>
      <c r="P76" s="112"/>
    </row>
    <row r="77" spans="2:16">
      <c r="B77" s="444" t="s">
        <v>20</v>
      </c>
      <c r="C77" s="114" t="s">
        <v>73</v>
      </c>
      <c r="D77" s="125"/>
      <c r="E77" s="126"/>
      <c r="F77" s="127"/>
      <c r="G77" s="127"/>
      <c r="H77" s="127"/>
      <c r="I77" s="128"/>
      <c r="J77" s="128"/>
      <c r="K77" s="115">
        <v>52409.603130340576</v>
      </c>
      <c r="L77" s="129"/>
      <c r="M77" s="114"/>
      <c r="N77" s="114"/>
      <c r="O77" s="114"/>
      <c r="P77" s="114"/>
    </row>
    <row r="78" spans="2:16">
      <c r="B78" s="445"/>
      <c r="C78" s="112" t="s">
        <v>74</v>
      </c>
      <c r="D78" s="122"/>
      <c r="E78" s="118"/>
      <c r="F78" s="119"/>
      <c r="G78" s="119"/>
      <c r="H78" s="119"/>
      <c r="I78" s="120"/>
      <c r="J78" s="120"/>
      <c r="K78" s="116">
        <v>224943.27942657471</v>
      </c>
      <c r="L78" s="112"/>
      <c r="M78" s="112"/>
      <c r="N78" s="112"/>
      <c r="O78" s="112"/>
      <c r="P78" s="112"/>
    </row>
    <row r="79" spans="2:16">
      <c r="B79" s="445"/>
      <c r="C79" s="112" t="s">
        <v>63</v>
      </c>
      <c r="D79" s="122"/>
      <c r="E79" s="118"/>
      <c r="F79" s="119"/>
      <c r="G79" s="119"/>
      <c r="H79" s="119"/>
      <c r="I79" s="120"/>
      <c r="J79" s="120"/>
      <c r="K79" s="116">
        <v>7661.912095785141</v>
      </c>
      <c r="L79" s="112"/>
      <c r="M79" s="112"/>
      <c r="N79" s="112"/>
      <c r="O79" s="112"/>
      <c r="P79" s="112"/>
    </row>
    <row r="80" spans="2:16">
      <c r="B80" s="445"/>
      <c r="C80" s="112" t="s">
        <v>81</v>
      </c>
      <c r="D80" s="122"/>
      <c r="E80" s="118"/>
      <c r="F80" s="119"/>
      <c r="G80" s="119"/>
      <c r="H80" s="119"/>
      <c r="I80" s="120"/>
      <c r="J80" s="120"/>
      <c r="K80" s="116">
        <v>2310.6453409090896</v>
      </c>
      <c r="L80" s="112"/>
      <c r="M80" s="112"/>
      <c r="N80" s="112"/>
      <c r="O80" s="112"/>
      <c r="P80" s="112"/>
    </row>
    <row r="81" spans="2:16" ht="15">
      <c r="B81" s="446"/>
      <c r="C81" s="131" t="s">
        <v>79</v>
      </c>
      <c r="D81" s="134"/>
      <c r="E81" s="135"/>
      <c r="F81" s="136"/>
      <c r="G81" s="136"/>
      <c r="H81" s="136"/>
      <c r="I81" s="137"/>
      <c r="J81" s="139"/>
      <c r="K81" s="139">
        <f>+K77+K78-K79-K80</f>
        <v>267380.32512022107</v>
      </c>
      <c r="L81" s="138"/>
      <c r="M81" s="138"/>
      <c r="N81" s="138"/>
      <c r="O81" s="138"/>
      <c r="P81" s="138"/>
    </row>
    <row r="82" spans="2:16" ht="15">
      <c r="B82" s="112" t="s">
        <v>21</v>
      </c>
      <c r="C82" s="124" t="s">
        <v>80</v>
      </c>
      <c r="D82" s="112"/>
      <c r="E82" s="112"/>
      <c r="F82" s="112"/>
      <c r="G82" s="112"/>
      <c r="H82" s="112"/>
      <c r="I82" s="121"/>
      <c r="J82" s="140"/>
      <c r="K82" s="121">
        <v>15086.135074496269</v>
      </c>
      <c r="L82" s="112"/>
      <c r="M82" s="112"/>
      <c r="N82" s="112"/>
      <c r="O82" s="112"/>
      <c r="P82" s="112"/>
    </row>
    <row r="83" spans="2:16">
      <c r="B83" s="110" t="s">
        <v>64</v>
      </c>
      <c r="C83" s="110" t="s">
        <v>64</v>
      </c>
      <c r="D83" s="110"/>
      <c r="E83" s="110"/>
      <c r="F83" s="110"/>
      <c r="G83" s="110"/>
      <c r="H83" s="110"/>
      <c r="I83" s="111"/>
      <c r="J83" s="113"/>
      <c r="K83" s="113">
        <f>+K70+K71+K75+K76+K81+K82</f>
        <v>303788.65569947805</v>
      </c>
      <c r="L83" s="113" t="e">
        <f>+#REF!-#REF!</f>
        <v>#REF!</v>
      </c>
      <c r="M83" s="113" t="e">
        <f>+#REF!-#REF!</f>
        <v>#REF!</v>
      </c>
      <c r="N83" s="113" t="e">
        <f>+#REF!-#REF!</f>
        <v>#REF!</v>
      </c>
      <c r="O83" s="113" t="e">
        <f>+#REF!-#REF!</f>
        <v>#REF!</v>
      </c>
      <c r="P83" s="113" t="e">
        <f>+#REF!-#REF!</f>
        <v>#REF!</v>
      </c>
    </row>
    <row r="84" spans="2:16">
      <c r="B84" s="112"/>
      <c r="C84" s="112"/>
      <c r="D84" s="112"/>
      <c r="E84" s="112"/>
      <c r="F84" s="112"/>
      <c r="G84" s="112"/>
      <c r="H84" s="112"/>
      <c r="I84" s="112"/>
      <c r="J84" s="112"/>
      <c r="K84" s="121"/>
      <c r="L84" s="112"/>
      <c r="M84" s="112"/>
      <c r="N84" s="112"/>
      <c r="O84" s="112"/>
      <c r="P84" s="112"/>
    </row>
    <row r="85" spans="2:16">
      <c r="B85" s="442" t="s">
        <v>82</v>
      </c>
      <c r="C85" s="112" t="s">
        <v>83</v>
      </c>
      <c r="D85" s="112"/>
      <c r="E85" s="112"/>
      <c r="F85" s="112"/>
      <c r="G85" s="112"/>
      <c r="H85" s="112"/>
      <c r="I85" s="121"/>
      <c r="J85" s="112"/>
      <c r="K85" s="121">
        <v>1032.4929688125849</v>
      </c>
      <c r="L85" s="112"/>
      <c r="M85" s="112"/>
      <c r="N85" s="112"/>
      <c r="O85" s="112"/>
      <c r="P85" s="112"/>
    </row>
    <row r="86" spans="2:16">
      <c r="B86" s="442"/>
      <c r="C86" s="112" t="s">
        <v>87</v>
      </c>
      <c r="D86" s="112"/>
      <c r="E86" s="112"/>
      <c r="F86" s="112"/>
      <c r="G86" s="112"/>
      <c r="H86" s="112"/>
      <c r="I86" s="121"/>
      <c r="J86" s="112"/>
      <c r="K86" s="121">
        <v>43862.024162769318</v>
      </c>
      <c r="L86" s="112"/>
      <c r="M86" s="112"/>
      <c r="N86" s="112"/>
      <c r="O86" s="112"/>
      <c r="P86" s="112"/>
    </row>
    <row r="87" spans="2:16">
      <c r="B87" s="442"/>
      <c r="C87" s="112" t="s">
        <v>84</v>
      </c>
      <c r="D87" s="112"/>
      <c r="E87" s="112"/>
      <c r="F87" s="112"/>
      <c r="G87" s="112"/>
      <c r="H87" s="112"/>
      <c r="I87" s="121"/>
      <c r="J87" s="112"/>
      <c r="K87" s="121">
        <v>421682.454349518</v>
      </c>
      <c r="L87" s="112"/>
      <c r="M87" s="112"/>
      <c r="N87" s="112"/>
      <c r="O87" s="112"/>
      <c r="P87" s="112"/>
    </row>
    <row r="88" spans="2:16">
      <c r="B88" s="112" t="s">
        <v>86</v>
      </c>
      <c r="C88" s="112" t="s">
        <v>88</v>
      </c>
      <c r="D88" s="112"/>
      <c r="E88" s="112"/>
      <c r="F88" s="112"/>
      <c r="G88" s="112"/>
      <c r="H88" s="112"/>
      <c r="I88" s="121"/>
      <c r="J88" s="112"/>
      <c r="K88" s="121">
        <v>122453.65970063658</v>
      </c>
      <c r="L88" s="112"/>
      <c r="M88" s="112"/>
      <c r="N88" s="112"/>
      <c r="O88" s="112"/>
      <c r="P88" s="112"/>
    </row>
    <row r="89" spans="2:16">
      <c r="B89" s="442" t="s">
        <v>85</v>
      </c>
      <c r="C89" s="112" t="s">
        <v>65</v>
      </c>
      <c r="D89" s="112"/>
      <c r="E89" s="112"/>
      <c r="F89" s="112"/>
      <c r="G89" s="112"/>
      <c r="H89" s="112"/>
      <c r="I89" s="121"/>
      <c r="J89" s="112"/>
      <c r="K89" s="121">
        <v>62101.576821313611</v>
      </c>
      <c r="L89" s="112"/>
      <c r="M89" s="112"/>
      <c r="N89" s="112"/>
      <c r="O89" s="112"/>
      <c r="P89" s="112"/>
    </row>
    <row r="90" spans="2:16">
      <c r="B90" s="442"/>
      <c r="C90" s="112" t="s">
        <v>66</v>
      </c>
      <c r="D90" s="112"/>
      <c r="E90" s="112"/>
      <c r="F90" s="112"/>
      <c r="G90" s="112"/>
      <c r="H90" s="112"/>
      <c r="I90" s="121"/>
      <c r="J90" s="112"/>
      <c r="K90" s="121">
        <v>61463.83224773407</v>
      </c>
      <c r="L90" s="112"/>
      <c r="M90" s="112"/>
      <c r="N90" s="112"/>
      <c r="O90" s="112"/>
      <c r="P90" s="112"/>
    </row>
    <row r="91" spans="2:16">
      <c r="B91" s="443"/>
      <c r="C91" s="112" t="s">
        <v>68</v>
      </c>
      <c r="D91" s="112"/>
      <c r="E91" s="112"/>
      <c r="F91" s="112"/>
      <c r="G91" s="112"/>
      <c r="H91" s="112"/>
      <c r="I91" s="121"/>
      <c r="J91" s="112"/>
      <c r="K91" s="121">
        <v>74372.498108408763</v>
      </c>
      <c r="L91" s="112"/>
      <c r="M91" s="112"/>
      <c r="N91" s="112"/>
      <c r="O91" s="112"/>
      <c r="P91" s="112"/>
    </row>
    <row r="92" spans="2:16">
      <c r="B92" s="110" t="s">
        <v>67</v>
      </c>
      <c r="C92" s="110" t="s">
        <v>67</v>
      </c>
      <c r="D92" s="110"/>
      <c r="E92" s="110"/>
      <c r="F92" s="110"/>
      <c r="G92" s="110"/>
      <c r="H92" s="110"/>
      <c r="I92" s="111"/>
      <c r="J92" s="110"/>
      <c r="K92" s="113">
        <f t="shared" ref="K92:P92" si="23">+SUM(K85:K91)</f>
        <v>786968.5383591929</v>
      </c>
      <c r="L92" s="113">
        <f t="shared" si="23"/>
        <v>0</v>
      </c>
      <c r="M92" s="113">
        <f t="shared" si="23"/>
        <v>0</v>
      </c>
      <c r="N92" s="113">
        <f t="shared" si="23"/>
        <v>0</v>
      </c>
      <c r="O92" s="113">
        <f t="shared" si="23"/>
        <v>0</v>
      </c>
      <c r="P92" s="113">
        <f t="shared" si="23"/>
        <v>0</v>
      </c>
    </row>
    <row r="94" spans="2:16">
      <c r="I94" s="109">
        <f>+I92/1000</f>
        <v>0</v>
      </c>
    </row>
    <row r="96" spans="2:16">
      <c r="I96" s="18">
        <f>+I34</f>
        <v>574.79861150796842</v>
      </c>
    </row>
  </sheetData>
  <mergeCells count="4">
    <mergeCell ref="B72:B75"/>
    <mergeCell ref="B77:B81"/>
    <mergeCell ref="B85:B87"/>
    <mergeCell ref="B89:B91"/>
  </mergeCells>
  <printOptions horizontalCentered="1"/>
  <pageMargins left="0.39370078740157483" right="0.39370078740157483" top="1.3779527559055118" bottom="1" header="0" footer="0"/>
  <pageSetup paperSize="9" scale="59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514D-88A0-4E90-8307-5FA618521C63}">
  <sheetPr codeName="Sheet3">
    <pageSetUpPr fitToPage="1"/>
  </sheetPr>
  <dimension ref="A1:IV108"/>
  <sheetViews>
    <sheetView view="pageBreakPreview" topLeftCell="A24" zoomScale="70" zoomScaleNormal="80" zoomScaleSheetLayoutView="70" workbookViewId="0">
      <pane xSplit="3" ySplit="3" topLeftCell="D27" activePane="bottomRight" state="frozen"/>
      <selection activeCell="A24" sqref="A24"/>
      <selection pane="topRight" activeCell="C24" sqref="C24"/>
      <selection pane="bottomLeft" activeCell="A27" sqref="A27"/>
      <selection pane="bottomRight" activeCell="D61" sqref="D61"/>
    </sheetView>
  </sheetViews>
  <sheetFormatPr baseColWidth="10" defaultColWidth="9" defaultRowHeight="14.25"/>
  <cols>
    <col min="1" max="1" width="3" style="3" customWidth="1"/>
    <col min="2" max="2" width="15.140625" style="3" customWidth="1"/>
    <col min="3" max="3" width="41.5703125" style="3" bestFit="1" customWidth="1"/>
    <col min="4" max="5" width="18.7109375" style="3" customWidth="1"/>
    <col min="6" max="6" width="15.42578125" style="3" bestFit="1" customWidth="1"/>
    <col min="7" max="7" width="14.85546875" style="3" bestFit="1" customWidth="1"/>
    <col min="8" max="8" width="18.7109375" style="3" bestFit="1" customWidth="1"/>
    <col min="9" max="10" width="18.7109375" style="3" customWidth="1"/>
    <col min="11" max="11" width="14.85546875" style="3" customWidth="1"/>
    <col min="12" max="12" width="18.7109375" style="3" bestFit="1" customWidth="1"/>
    <col min="13" max="13" width="18.7109375" style="3" customWidth="1"/>
    <col min="14" max="14" width="20.140625" style="3" bestFit="1" customWidth="1"/>
    <col min="15" max="15" width="18.42578125" style="3" customWidth="1"/>
    <col min="16" max="16" width="21.85546875" style="3" customWidth="1"/>
    <col min="17" max="17" width="13.28515625" style="3" customWidth="1"/>
    <col min="18" max="18" width="15.7109375" style="3" customWidth="1"/>
    <col min="19" max="16384" width="9" style="3"/>
  </cols>
  <sheetData>
    <row r="1" spans="3:16" hidden="1"/>
    <row r="2" spans="3:16" hidden="1"/>
    <row r="3" spans="3:16" ht="15" hidden="1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3:16" ht="15" hidden="1">
      <c r="C4" s="1" t="s">
        <v>61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3:16" hidden="1"/>
    <row r="6" spans="3:16" ht="15.75" hidden="1" thickTop="1">
      <c r="C6" s="4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6" t="s">
        <v>13</v>
      </c>
      <c r="P6" s="7" t="s">
        <v>14</v>
      </c>
    </row>
    <row r="7" spans="3:16" ht="15" hidden="1">
      <c r="C7" s="8" t="s">
        <v>15</v>
      </c>
      <c r="D7" s="9"/>
      <c r="E7" s="9"/>
      <c r="F7" s="10"/>
      <c r="G7" s="10"/>
      <c r="H7" s="10"/>
      <c r="I7" s="10"/>
      <c r="J7" s="10"/>
      <c r="K7" s="11"/>
      <c r="L7" s="10"/>
      <c r="M7" s="10"/>
      <c r="N7" s="10"/>
      <c r="O7" s="12"/>
      <c r="P7" s="13"/>
    </row>
    <row r="8" spans="3:16" hidden="1">
      <c r="C8" s="14" t="s">
        <v>16</v>
      </c>
      <c r="D8" s="41">
        <v>1131.6971148209116</v>
      </c>
      <c r="E8" s="41"/>
      <c r="F8" s="42"/>
      <c r="G8" s="42"/>
      <c r="H8" s="42"/>
      <c r="I8" s="42"/>
      <c r="J8" s="42"/>
      <c r="K8" s="43"/>
      <c r="L8" s="42"/>
      <c r="M8" s="42"/>
      <c r="N8" s="42"/>
      <c r="O8" s="44"/>
      <c r="P8" s="45">
        <f t="shared" ref="P8:P14" si="0">+SUM(D8:O8)</f>
        <v>1131.6971148209116</v>
      </c>
    </row>
    <row r="9" spans="3:16" hidden="1">
      <c r="C9" s="14" t="s">
        <v>17</v>
      </c>
      <c r="D9" s="41">
        <v>404.734522462212</v>
      </c>
      <c r="E9" s="41"/>
      <c r="F9" s="42"/>
      <c r="G9" s="42"/>
      <c r="H9" s="42"/>
      <c r="I9" s="42"/>
      <c r="J9" s="42"/>
      <c r="K9" s="43"/>
      <c r="L9" s="42"/>
      <c r="M9" s="42"/>
      <c r="N9" s="42"/>
      <c r="O9" s="44"/>
      <c r="P9" s="45">
        <f t="shared" si="0"/>
        <v>404.734522462212</v>
      </c>
    </row>
    <row r="10" spans="3:16" hidden="1">
      <c r="C10" s="14" t="s">
        <v>18</v>
      </c>
      <c r="D10" s="41">
        <v>3164.3521362183096</v>
      </c>
      <c r="E10" s="41"/>
      <c r="F10" s="42"/>
      <c r="G10" s="42"/>
      <c r="H10" s="42"/>
      <c r="I10" s="42"/>
      <c r="J10" s="42"/>
      <c r="K10" s="43"/>
      <c r="L10" s="42"/>
      <c r="M10" s="42"/>
      <c r="N10" s="42"/>
      <c r="O10" s="44"/>
      <c r="P10" s="45">
        <f t="shared" si="0"/>
        <v>3164.3521362183096</v>
      </c>
    </row>
    <row r="11" spans="3:16" hidden="1">
      <c r="C11" s="14" t="s">
        <v>19</v>
      </c>
      <c r="D11" s="41">
        <v>7358.1596698372414</v>
      </c>
      <c r="E11" s="41"/>
      <c r="F11" s="42"/>
      <c r="G11" s="42"/>
      <c r="H11" s="42"/>
      <c r="I11" s="42"/>
      <c r="J11" s="42"/>
      <c r="K11" s="43"/>
      <c r="L11" s="42"/>
      <c r="M11" s="42"/>
      <c r="N11" s="42"/>
      <c r="O11" s="44"/>
      <c r="P11" s="45">
        <f t="shared" si="0"/>
        <v>7358.1596698372414</v>
      </c>
    </row>
    <row r="12" spans="3:16" hidden="1">
      <c r="C12" s="14" t="s">
        <v>20</v>
      </c>
      <c r="D12" s="41">
        <v>44993.962609077455</v>
      </c>
      <c r="E12" s="41"/>
      <c r="F12" s="42"/>
      <c r="G12" s="42"/>
      <c r="H12" s="42"/>
      <c r="I12" s="42"/>
      <c r="J12" s="42"/>
      <c r="K12" s="43"/>
      <c r="L12" s="42"/>
      <c r="M12" s="42"/>
      <c r="N12" s="42"/>
      <c r="O12" s="44"/>
      <c r="P12" s="45">
        <f t="shared" si="0"/>
        <v>44993.962609077455</v>
      </c>
    </row>
    <row r="13" spans="3:16" hidden="1">
      <c r="C13" s="14" t="s">
        <v>21</v>
      </c>
      <c r="D13" s="41">
        <v>4089.3768671579624</v>
      </c>
      <c r="E13" s="41"/>
      <c r="F13" s="42"/>
      <c r="G13" s="42"/>
      <c r="H13" s="42"/>
      <c r="I13" s="42"/>
      <c r="J13" s="42"/>
      <c r="K13" s="43"/>
      <c r="L13" s="42"/>
      <c r="M13" s="42"/>
      <c r="N13" s="42"/>
      <c r="O13" s="44"/>
      <c r="P13" s="45">
        <f t="shared" si="0"/>
        <v>4089.3768671579624</v>
      </c>
    </row>
    <row r="14" spans="3:16" ht="15" hidden="1">
      <c r="C14" s="15" t="s">
        <v>22</v>
      </c>
      <c r="D14" s="46">
        <f t="shared" ref="D14:O14" si="1">SUM(D8:D13)</f>
        <v>61142.282919574092</v>
      </c>
      <c r="E14" s="46">
        <f t="shared" si="1"/>
        <v>0</v>
      </c>
      <c r="F14" s="46">
        <f t="shared" si="1"/>
        <v>0</v>
      </c>
      <c r="G14" s="46">
        <f t="shared" si="1"/>
        <v>0</v>
      </c>
      <c r="H14" s="46">
        <f t="shared" si="1"/>
        <v>0</v>
      </c>
      <c r="I14" s="46">
        <f t="shared" si="1"/>
        <v>0</v>
      </c>
      <c r="J14" s="46">
        <f t="shared" si="1"/>
        <v>0</v>
      </c>
      <c r="K14" s="46">
        <f t="shared" si="1"/>
        <v>0</v>
      </c>
      <c r="L14" s="46">
        <f t="shared" si="1"/>
        <v>0</v>
      </c>
      <c r="M14" s="46">
        <f t="shared" si="1"/>
        <v>0</v>
      </c>
      <c r="N14" s="46">
        <f t="shared" si="1"/>
        <v>0</v>
      </c>
      <c r="O14" s="47">
        <f t="shared" si="1"/>
        <v>0</v>
      </c>
      <c r="P14" s="48">
        <f t="shared" si="0"/>
        <v>61142.282919574092</v>
      </c>
    </row>
    <row r="15" spans="3:16" ht="15" hidden="1">
      <c r="C15" s="8" t="s">
        <v>23</v>
      </c>
      <c r="D15" s="16"/>
      <c r="E15" s="16"/>
      <c r="F15" s="17"/>
      <c r="G15" s="17"/>
      <c r="H15" s="17"/>
      <c r="I15" s="17"/>
      <c r="J15" s="17"/>
      <c r="K15" s="18"/>
      <c r="L15" s="42"/>
      <c r="M15" s="42"/>
      <c r="N15" s="42"/>
      <c r="O15" s="44"/>
      <c r="P15" s="19"/>
    </row>
    <row r="16" spans="3:16" hidden="1">
      <c r="C16" s="20" t="s">
        <v>24</v>
      </c>
      <c r="D16" s="41">
        <v>0</v>
      </c>
      <c r="E16" s="41"/>
      <c r="F16" s="42"/>
      <c r="G16" s="42"/>
      <c r="H16" s="42"/>
      <c r="I16" s="42"/>
      <c r="J16" s="42"/>
      <c r="K16" s="43"/>
      <c r="L16" s="42"/>
      <c r="M16" s="42"/>
      <c r="N16" s="42"/>
      <c r="O16" s="44"/>
      <c r="P16" s="45">
        <f t="shared" ref="P16:P22" si="2">+SUM(D16:O16)</f>
        <v>0</v>
      </c>
    </row>
    <row r="17" spans="3:18" hidden="1">
      <c r="C17" s="14" t="s">
        <v>25</v>
      </c>
      <c r="D17" s="41">
        <v>11.521423099517822</v>
      </c>
      <c r="E17" s="41"/>
      <c r="F17" s="42"/>
      <c r="G17" s="42"/>
      <c r="H17" s="42"/>
      <c r="I17" s="42"/>
      <c r="J17" s="42"/>
      <c r="K17" s="43"/>
      <c r="L17" s="42"/>
      <c r="M17" s="42"/>
      <c r="N17" s="42"/>
      <c r="O17" s="44"/>
      <c r="P17" s="45">
        <f t="shared" si="2"/>
        <v>11.521423099517822</v>
      </c>
    </row>
    <row r="18" spans="3:18" hidden="1">
      <c r="C18" s="20" t="s">
        <v>26</v>
      </c>
      <c r="D18" s="41">
        <v>701.38252152369171</v>
      </c>
      <c r="E18" s="41"/>
      <c r="F18" s="42"/>
      <c r="G18" s="42"/>
      <c r="H18" s="42"/>
      <c r="I18" s="42"/>
      <c r="J18" s="42"/>
      <c r="K18" s="43"/>
      <c r="L18" s="42"/>
      <c r="M18" s="42"/>
      <c r="N18" s="42"/>
      <c r="O18" s="44"/>
      <c r="P18" s="45">
        <f t="shared" si="2"/>
        <v>701.38252152369171</v>
      </c>
      <c r="Q18" s="21"/>
    </row>
    <row r="19" spans="3:18" hidden="1">
      <c r="C19" s="20" t="s">
        <v>27</v>
      </c>
      <c r="D19" s="41">
        <v>1338.8287362799645</v>
      </c>
      <c r="E19" s="41"/>
      <c r="F19" s="42"/>
      <c r="G19" s="42"/>
      <c r="H19" s="42"/>
      <c r="I19" s="42"/>
      <c r="J19" s="42"/>
      <c r="K19" s="43"/>
      <c r="L19" s="42"/>
      <c r="M19" s="42"/>
      <c r="N19" s="42"/>
      <c r="O19" s="44"/>
      <c r="P19" s="45">
        <f t="shared" si="2"/>
        <v>1338.8287362799645</v>
      </c>
      <c r="Q19" s="21"/>
    </row>
    <row r="20" spans="3:18" hidden="1">
      <c r="C20" s="40" t="s">
        <v>46</v>
      </c>
      <c r="D20" s="41">
        <v>35832.494704200879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3"/>
      <c r="P20" s="45">
        <f t="shared" si="2"/>
        <v>35832.494704200879</v>
      </c>
      <c r="Q20" s="21"/>
    </row>
    <row r="21" spans="3:18" ht="15" hidden="1">
      <c r="C21" s="15" t="s">
        <v>28</v>
      </c>
      <c r="D21" s="46">
        <f t="shared" ref="D21:O21" si="3">SUM(D16:D20)</f>
        <v>37884.227385104052</v>
      </c>
      <c r="E21" s="46">
        <f t="shared" si="3"/>
        <v>0</v>
      </c>
      <c r="F21" s="46">
        <f t="shared" si="3"/>
        <v>0</v>
      </c>
      <c r="G21" s="46">
        <f t="shared" si="3"/>
        <v>0</v>
      </c>
      <c r="H21" s="46">
        <f t="shared" si="3"/>
        <v>0</v>
      </c>
      <c r="I21" s="46">
        <f t="shared" si="3"/>
        <v>0</v>
      </c>
      <c r="J21" s="46">
        <f t="shared" si="3"/>
        <v>0</v>
      </c>
      <c r="K21" s="46">
        <f t="shared" si="3"/>
        <v>0</v>
      </c>
      <c r="L21" s="46">
        <f t="shared" si="3"/>
        <v>0</v>
      </c>
      <c r="M21" s="46">
        <f t="shared" si="3"/>
        <v>0</v>
      </c>
      <c r="N21" s="46">
        <f t="shared" si="3"/>
        <v>0</v>
      </c>
      <c r="O21" s="47">
        <f t="shared" si="3"/>
        <v>0</v>
      </c>
      <c r="P21" s="48">
        <f t="shared" si="2"/>
        <v>37884.227385104052</v>
      </c>
    </row>
    <row r="22" spans="3:18" ht="15.75" hidden="1" thickBot="1">
      <c r="C22" s="22" t="s">
        <v>29</v>
      </c>
      <c r="D22" s="49">
        <f t="shared" ref="D22:O22" si="4">+D14+D21</f>
        <v>99026.510304678144</v>
      </c>
      <c r="E22" s="49">
        <f t="shared" si="4"/>
        <v>0</v>
      </c>
      <c r="F22" s="49">
        <f t="shared" si="4"/>
        <v>0</v>
      </c>
      <c r="G22" s="49">
        <f t="shared" si="4"/>
        <v>0</v>
      </c>
      <c r="H22" s="49">
        <f t="shared" si="4"/>
        <v>0</v>
      </c>
      <c r="I22" s="49">
        <f t="shared" si="4"/>
        <v>0</v>
      </c>
      <c r="J22" s="49">
        <f t="shared" si="4"/>
        <v>0</v>
      </c>
      <c r="K22" s="49">
        <f t="shared" si="4"/>
        <v>0</v>
      </c>
      <c r="L22" s="49">
        <f t="shared" si="4"/>
        <v>0</v>
      </c>
      <c r="M22" s="49">
        <f t="shared" si="4"/>
        <v>0</v>
      </c>
      <c r="N22" s="49">
        <f t="shared" si="4"/>
        <v>0</v>
      </c>
      <c r="O22" s="50">
        <f t="shared" si="4"/>
        <v>0</v>
      </c>
      <c r="P22" s="51">
        <f t="shared" si="2"/>
        <v>99026.510304678144</v>
      </c>
    </row>
    <row r="23" spans="3:18" ht="15" hidden="1" customHeight="1" thickTop="1">
      <c r="Q23" s="3">
        <v>1000</v>
      </c>
    </row>
    <row r="24" spans="3:18" ht="15">
      <c r="C24" s="1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3:18" ht="15" thickBot="1"/>
    <row r="26" spans="3:18" ht="15.75" thickTop="1">
      <c r="C26" s="29" t="s">
        <v>30</v>
      </c>
      <c r="D26" s="30" t="s">
        <v>2</v>
      </c>
      <c r="E26" s="31" t="s">
        <v>3</v>
      </c>
      <c r="F26" s="31" t="s">
        <v>4</v>
      </c>
      <c r="G26" s="31" t="s">
        <v>5</v>
      </c>
      <c r="H26" s="31" t="s">
        <v>6</v>
      </c>
      <c r="I26" s="31" t="s">
        <v>7</v>
      </c>
      <c r="J26" s="31" t="s">
        <v>8</v>
      </c>
      <c r="K26" s="31" t="s">
        <v>9</v>
      </c>
      <c r="L26" s="31" t="s">
        <v>10</v>
      </c>
      <c r="M26" s="31" t="s">
        <v>11</v>
      </c>
      <c r="N26" s="31" t="s">
        <v>12</v>
      </c>
      <c r="O26" s="32" t="s">
        <v>13</v>
      </c>
      <c r="P26" s="33" t="s">
        <v>14</v>
      </c>
    </row>
    <row r="27" spans="3:18" ht="15">
      <c r="C27" s="23" t="s">
        <v>31</v>
      </c>
      <c r="D27" s="152">
        <f t="shared" ref="D27:O27" si="5">+D28+D29</f>
        <v>116590.34011497381</v>
      </c>
      <c r="E27" s="153">
        <f t="shared" si="5"/>
        <v>102739.2984992072</v>
      </c>
      <c r="F27" s="154">
        <f t="shared" si="5"/>
        <v>115111.36833162002</v>
      </c>
      <c r="G27" s="154">
        <f t="shared" si="5"/>
        <v>86446.7888491021</v>
      </c>
      <c r="H27" s="154">
        <f t="shared" si="5"/>
        <v>73820.185504576628</v>
      </c>
      <c r="I27" s="154">
        <f t="shared" si="5"/>
        <v>70980.623729870495</v>
      </c>
      <c r="J27" s="141">
        <f t="shared" si="5"/>
        <v>75723.572991480818</v>
      </c>
      <c r="K27" s="154">
        <f t="shared" si="5"/>
        <v>75196.365572417912</v>
      </c>
      <c r="L27" s="154">
        <f t="shared" si="5"/>
        <v>70811.768303133897</v>
      </c>
      <c r="M27" s="154">
        <f t="shared" si="5"/>
        <v>80122.485692376504</v>
      </c>
      <c r="N27" s="154">
        <f t="shared" si="5"/>
        <v>82960.242751254496</v>
      </c>
      <c r="O27" s="155">
        <f t="shared" si="5"/>
        <v>91081.006936696518</v>
      </c>
      <c r="P27" s="156">
        <f>SUM(D27:O27)</f>
        <v>1041584.0472767104</v>
      </c>
      <c r="R27" s="18"/>
    </row>
    <row r="28" spans="3:18">
      <c r="C28" s="24" t="s">
        <v>32</v>
      </c>
      <c r="D28" s="157">
        <v>89076.605471086194</v>
      </c>
      <c r="E28" s="121">
        <v>91831.452207269569</v>
      </c>
      <c r="F28" s="121">
        <v>108580.26092508776</v>
      </c>
      <c r="G28" s="121">
        <v>82397.809313021266</v>
      </c>
      <c r="H28" s="121">
        <v>67084.678381771839</v>
      </c>
      <c r="I28" s="121">
        <v>67034.987540106478</v>
      </c>
      <c r="J28" s="121">
        <v>74143.987693792267</v>
      </c>
      <c r="K28" s="121">
        <v>73728.608470644642</v>
      </c>
      <c r="L28" s="121">
        <v>70018.54223898628</v>
      </c>
      <c r="M28" s="121">
        <v>78763.008259738999</v>
      </c>
      <c r="N28" s="121">
        <f>74636334.9403163/1000</f>
        <v>74636.334940316301</v>
      </c>
      <c r="O28" s="121">
        <v>78264.530889224043</v>
      </c>
      <c r="P28" s="158">
        <f t="shared" ref="P28:P57" si="6">SUM(D28:O28)</f>
        <v>955560.80633104558</v>
      </c>
      <c r="R28" s="18"/>
    </row>
    <row r="29" spans="3:18">
      <c r="C29" s="25" t="s">
        <v>33</v>
      </c>
      <c r="D29" s="159">
        <v>27513.734643887612</v>
      </c>
      <c r="E29" s="160">
        <v>10907.846291937627</v>
      </c>
      <c r="F29" s="160">
        <v>6531.1074065322582</v>
      </c>
      <c r="G29" s="160">
        <v>4048.9795360808389</v>
      </c>
      <c r="H29" s="160">
        <v>6735.5071228047909</v>
      </c>
      <c r="I29" s="160">
        <v>3945.6361897640227</v>
      </c>
      <c r="J29" s="160">
        <v>1579.5852976885576</v>
      </c>
      <c r="K29" s="160">
        <v>1467.7571017732648</v>
      </c>
      <c r="L29" s="160">
        <v>793.22606414761776</v>
      </c>
      <c r="M29" s="160">
        <v>1359.4774326375104</v>
      </c>
      <c r="N29" s="160">
        <f>8323907.8109382/1000</f>
        <v>8323.9078109382008</v>
      </c>
      <c r="O29" s="160">
        <v>12816.476047472481</v>
      </c>
      <c r="P29" s="161">
        <f t="shared" si="6"/>
        <v>86023.240945664773</v>
      </c>
      <c r="R29" s="18"/>
    </row>
    <row r="30" spans="3:18" ht="15">
      <c r="C30" s="23" t="s">
        <v>34</v>
      </c>
      <c r="D30" s="162">
        <f t="shared" ref="D30:O30" si="7">+D31</f>
        <v>0</v>
      </c>
      <c r="E30" s="141">
        <f t="shared" si="7"/>
        <v>0</v>
      </c>
      <c r="F30" s="141">
        <f t="shared" si="7"/>
        <v>0</v>
      </c>
      <c r="G30" s="141">
        <f t="shared" si="7"/>
        <v>0</v>
      </c>
      <c r="H30" s="154">
        <f t="shared" si="7"/>
        <v>0</v>
      </c>
      <c r="I30" s="154">
        <f t="shared" si="7"/>
        <v>0</v>
      </c>
      <c r="J30" s="141">
        <f t="shared" si="7"/>
        <v>4111.8636101969005</v>
      </c>
      <c r="K30" s="141">
        <f t="shared" si="7"/>
        <v>1905.4540713962001</v>
      </c>
      <c r="L30" s="141">
        <f t="shared" si="7"/>
        <v>0</v>
      </c>
      <c r="M30" s="141">
        <f t="shared" si="7"/>
        <v>1662.0305691945</v>
      </c>
      <c r="N30" s="141">
        <f t="shared" si="7"/>
        <v>0</v>
      </c>
      <c r="O30" s="155">
        <f t="shared" si="7"/>
        <v>0</v>
      </c>
      <c r="P30" s="156">
        <f t="shared" si="6"/>
        <v>7679.3482507875997</v>
      </c>
      <c r="R30" s="18"/>
    </row>
    <row r="31" spans="3:18">
      <c r="C31" s="24" t="s">
        <v>41</v>
      </c>
      <c r="D31" s="163">
        <v>0</v>
      </c>
      <c r="E31" s="164">
        <v>0</v>
      </c>
      <c r="F31" s="164">
        <v>0</v>
      </c>
      <c r="G31" s="164">
        <v>0</v>
      </c>
      <c r="H31" s="121">
        <v>0</v>
      </c>
      <c r="I31" s="121">
        <v>0</v>
      </c>
      <c r="J31" s="116">
        <v>4111.8636101969005</v>
      </c>
      <c r="K31" s="116">
        <v>1905.4540713962001</v>
      </c>
      <c r="L31" s="116">
        <v>0</v>
      </c>
      <c r="M31" s="116">
        <v>1662.0305691945</v>
      </c>
      <c r="N31" s="116">
        <v>0</v>
      </c>
      <c r="O31" s="165"/>
      <c r="P31" s="158">
        <f t="shared" si="6"/>
        <v>7679.3482507875997</v>
      </c>
      <c r="R31" s="18"/>
    </row>
    <row r="32" spans="3:18" ht="15">
      <c r="C32" s="23" t="s">
        <v>35</v>
      </c>
      <c r="D32" s="152">
        <f>+D33+D34</f>
        <v>425.41875159954196</v>
      </c>
      <c r="E32" s="154">
        <f t="shared" ref="E32:O32" si="8">+E33+E34</f>
        <v>392.1048405559568</v>
      </c>
      <c r="F32" s="154">
        <f t="shared" si="8"/>
        <v>367.90234176099398</v>
      </c>
      <c r="G32" s="154">
        <f t="shared" si="8"/>
        <v>330.86296204615644</v>
      </c>
      <c r="H32" s="154">
        <f t="shared" si="8"/>
        <v>332.21454926909001</v>
      </c>
      <c r="I32" s="154">
        <f t="shared" si="8"/>
        <v>497.07395891947101</v>
      </c>
      <c r="J32" s="154">
        <f t="shared" si="8"/>
        <v>461.6601876705534</v>
      </c>
      <c r="K32" s="154">
        <f t="shared" si="8"/>
        <v>319.34972072250991</v>
      </c>
      <c r="L32" s="154">
        <f t="shared" si="8"/>
        <v>302.32378722556319</v>
      </c>
      <c r="M32" s="154">
        <f t="shared" si="8"/>
        <v>311.45074504138222</v>
      </c>
      <c r="N32" s="154">
        <f t="shared" si="8"/>
        <v>329.91676006962211</v>
      </c>
      <c r="O32" s="166">
        <f t="shared" si="8"/>
        <v>321.19503839440415</v>
      </c>
      <c r="P32" s="156">
        <f t="shared" si="6"/>
        <v>4391.4736432752452</v>
      </c>
      <c r="R32" s="18"/>
    </row>
    <row r="33" spans="2:20">
      <c r="C33" s="24" t="s">
        <v>32</v>
      </c>
      <c r="D33" s="163">
        <v>319.19512285443824</v>
      </c>
      <c r="E33" s="116">
        <v>304.26569136008214</v>
      </c>
      <c r="F33" s="116">
        <v>343.00387522286979</v>
      </c>
      <c r="G33" s="116">
        <v>314.31736468000537</v>
      </c>
      <c r="H33" s="116">
        <v>304.53581959973212</v>
      </c>
      <c r="I33" s="116">
        <v>304.3345056955032</v>
      </c>
      <c r="J33" s="116">
        <v>310.33158670738032</v>
      </c>
      <c r="K33" s="116">
        <v>302.59469708083361</v>
      </c>
      <c r="L33" s="116">
        <v>299.11276273125043</v>
      </c>
      <c r="M33" s="116">
        <v>307.57254327107569</v>
      </c>
      <c r="N33" s="116">
        <v>295.35651057060284</v>
      </c>
      <c r="O33" s="165">
        <f>289.454726041317-5.79740113270283</f>
        <v>283.65732490861416</v>
      </c>
      <c r="P33" s="158">
        <f t="shared" si="6"/>
        <v>3688.2778046823878</v>
      </c>
      <c r="R33" s="18"/>
    </row>
    <row r="34" spans="2:20">
      <c r="C34" s="26" t="s">
        <v>33</v>
      </c>
      <c r="D34" s="167">
        <v>106.22362874510372</v>
      </c>
      <c r="E34" s="164">
        <v>87.839149195874683</v>
      </c>
      <c r="F34" s="164">
        <v>24.898466538124179</v>
      </c>
      <c r="G34" s="164">
        <v>16.545597366151082</v>
      </c>
      <c r="H34" s="164">
        <v>27.678729669357885</v>
      </c>
      <c r="I34" s="164">
        <v>192.73945322396784</v>
      </c>
      <c r="J34" s="164">
        <v>151.32860096317307</v>
      </c>
      <c r="K34" s="164">
        <v>16.755023641676328</v>
      </c>
      <c r="L34" s="164">
        <v>3.2110244943127806</v>
      </c>
      <c r="M34" s="116">
        <v>3.8782017703065383</v>
      </c>
      <c r="N34" s="164">
        <v>34.560249499019292</v>
      </c>
      <c r="O34" s="182">
        <v>37.537713485790022</v>
      </c>
      <c r="P34" s="161">
        <f t="shared" si="6"/>
        <v>703.19583859285751</v>
      </c>
      <c r="R34" s="18"/>
    </row>
    <row r="35" spans="2:20" ht="15">
      <c r="C35" s="27" t="s">
        <v>36</v>
      </c>
      <c r="D35" s="168">
        <f t="shared" ref="D35:O35" si="9">+D36+D37</f>
        <v>1513.9179833742674</v>
      </c>
      <c r="E35" s="140">
        <f t="shared" si="9"/>
        <v>1308.8408881651558</v>
      </c>
      <c r="F35" s="140">
        <f t="shared" si="9"/>
        <v>895.09963163155771</v>
      </c>
      <c r="G35" s="140">
        <f t="shared" si="9"/>
        <v>1267.1498050331429</v>
      </c>
      <c r="H35" s="140">
        <f t="shared" si="9"/>
        <v>1122.7229007619462</v>
      </c>
      <c r="I35" s="140">
        <f t="shared" si="9"/>
        <v>881.15667215232679</v>
      </c>
      <c r="J35" s="142">
        <f t="shared" si="9"/>
        <v>503.5193174254382</v>
      </c>
      <c r="K35" s="142">
        <f t="shared" si="9"/>
        <v>946.3839204301039</v>
      </c>
      <c r="L35" s="142">
        <f t="shared" si="9"/>
        <v>901.21441103682446</v>
      </c>
      <c r="M35" s="141">
        <f t="shared" si="9"/>
        <v>2092.1925281926233</v>
      </c>
      <c r="N35" s="142">
        <f t="shared" si="9"/>
        <v>2442.9301351801696</v>
      </c>
      <c r="O35" s="148">
        <f t="shared" si="9"/>
        <v>1112.492585441054</v>
      </c>
      <c r="P35" s="169">
        <f t="shared" si="6"/>
        <v>14987.62077882461</v>
      </c>
      <c r="R35" s="18"/>
    </row>
    <row r="36" spans="2:20">
      <c r="C36" s="24" t="s">
        <v>37</v>
      </c>
      <c r="D36" s="163">
        <v>605.56719334970694</v>
      </c>
      <c r="E36" s="116">
        <v>523.53635526606229</v>
      </c>
      <c r="F36" s="116">
        <v>358.0398526526231</v>
      </c>
      <c r="G36" s="116">
        <v>506.85992201325718</v>
      </c>
      <c r="H36" s="116">
        <v>449.08916030477849</v>
      </c>
      <c r="I36" s="116">
        <v>352.46266886093076</v>
      </c>
      <c r="J36" s="116">
        <v>201.4077269701753</v>
      </c>
      <c r="K36" s="116">
        <v>378.55356817204159</v>
      </c>
      <c r="L36" s="116">
        <v>360.48576441472983</v>
      </c>
      <c r="M36" s="116">
        <v>836.87701127704941</v>
      </c>
      <c r="N36" s="116">
        <v>977.17205407206791</v>
      </c>
      <c r="O36" s="116">
        <v>444.99703417642161</v>
      </c>
      <c r="P36" s="158">
        <f t="shared" si="6"/>
        <v>5995.0483115298439</v>
      </c>
      <c r="R36" s="18"/>
      <c r="T36" s="18"/>
    </row>
    <row r="37" spans="2:20">
      <c r="C37" s="24" t="s">
        <v>38</v>
      </c>
      <c r="D37" s="163">
        <v>908.35079002456041</v>
      </c>
      <c r="E37" s="116">
        <v>785.30453289909349</v>
      </c>
      <c r="F37" s="116">
        <v>537.05977897893456</v>
      </c>
      <c r="G37" s="116">
        <v>760.28988301988568</v>
      </c>
      <c r="H37" s="116">
        <v>673.63374045716773</v>
      </c>
      <c r="I37" s="116">
        <v>528.69400329139603</v>
      </c>
      <c r="J37" s="116">
        <v>302.1115904552629</v>
      </c>
      <c r="K37" s="164">
        <v>567.83035225806236</v>
      </c>
      <c r="L37" s="164">
        <v>540.72864662209463</v>
      </c>
      <c r="M37" s="164">
        <v>1255.3155169155739</v>
      </c>
      <c r="N37" s="164">
        <v>1465.7580811081018</v>
      </c>
      <c r="O37" s="164">
        <v>667.49555126463235</v>
      </c>
      <c r="P37" s="158">
        <f t="shared" si="6"/>
        <v>8992.5724672947654</v>
      </c>
      <c r="S37" s="18"/>
      <c r="T37" s="18"/>
    </row>
    <row r="38" spans="2:20" ht="15">
      <c r="B38" s="145"/>
      <c r="C38" s="34" t="s">
        <v>39</v>
      </c>
      <c r="D38" s="170">
        <f t="shared" ref="D38:O38" si="10">+D27+D30-D32-D35</f>
        <v>114651.00337999999</v>
      </c>
      <c r="E38" s="146">
        <f t="shared" si="10"/>
        <v>101038.35277048609</v>
      </c>
      <c r="F38" s="146">
        <f t="shared" si="10"/>
        <v>113848.36635822746</v>
      </c>
      <c r="G38" s="146">
        <f t="shared" si="10"/>
        <v>84848.7760820228</v>
      </c>
      <c r="H38" s="146">
        <f t="shared" si="10"/>
        <v>72365.248054545591</v>
      </c>
      <c r="I38" s="146">
        <f t="shared" si="10"/>
        <v>69602.393098798697</v>
      </c>
      <c r="J38" s="146">
        <f t="shared" si="10"/>
        <v>78870.257096581729</v>
      </c>
      <c r="K38" s="146">
        <f t="shared" si="10"/>
        <v>75836.086002661497</v>
      </c>
      <c r="L38" s="146">
        <f t="shared" si="10"/>
        <v>69608.230104871502</v>
      </c>
      <c r="M38" s="146">
        <f t="shared" si="10"/>
        <v>79380.872988336996</v>
      </c>
      <c r="N38" s="146">
        <f t="shared" si="10"/>
        <v>80187.395856004703</v>
      </c>
      <c r="O38" s="171">
        <f t="shared" si="10"/>
        <v>89647.319312861058</v>
      </c>
      <c r="P38" s="172">
        <f t="shared" si="6"/>
        <v>1029884.3011053981</v>
      </c>
      <c r="R38" s="18"/>
    </row>
    <row r="39" spans="2:20" ht="15">
      <c r="C39" s="34" t="s">
        <v>40</v>
      </c>
      <c r="D39" s="170">
        <f t="shared" ref="D39:O39" si="11">+D40+D43+D54</f>
        <v>114651.00337999999</v>
      </c>
      <c r="E39" s="146">
        <f t="shared" si="11"/>
        <v>101038.35277048609</v>
      </c>
      <c r="F39" s="146">
        <f t="shared" si="11"/>
        <v>113848.36635822746</v>
      </c>
      <c r="G39" s="146">
        <f t="shared" si="11"/>
        <v>84848.7760820228</v>
      </c>
      <c r="H39" s="146">
        <f t="shared" si="11"/>
        <v>72365.248054545591</v>
      </c>
      <c r="I39" s="146">
        <f t="shared" si="11"/>
        <v>69602.393098798697</v>
      </c>
      <c r="J39" s="146">
        <f t="shared" si="11"/>
        <v>78870.257096595727</v>
      </c>
      <c r="K39" s="146">
        <f t="shared" si="11"/>
        <v>75836.086002661497</v>
      </c>
      <c r="L39" s="146">
        <f t="shared" si="11"/>
        <v>69608.230104871502</v>
      </c>
      <c r="M39" s="146">
        <f t="shared" si="11"/>
        <v>79380.872988336996</v>
      </c>
      <c r="N39" s="146">
        <f t="shared" si="11"/>
        <v>80187.395856004703</v>
      </c>
      <c r="O39" s="171">
        <f t="shared" si="11"/>
        <v>89647.319312861058</v>
      </c>
      <c r="P39" s="172">
        <f t="shared" si="6"/>
        <v>1029884.3011054121</v>
      </c>
      <c r="R39" s="18"/>
    </row>
    <row r="40" spans="2:20" ht="15">
      <c r="C40" s="27" t="s">
        <v>44</v>
      </c>
      <c r="D40" s="149">
        <f t="shared" ref="D40:O40" si="12">+D41+D42</f>
        <v>56927.839999999997</v>
      </c>
      <c r="E40" s="142">
        <f t="shared" si="12"/>
        <v>46159.397980486101</v>
      </c>
      <c r="F40" s="142">
        <f>+F41+F42</f>
        <v>55089.72061822746</v>
      </c>
      <c r="G40" s="142">
        <f t="shared" si="12"/>
        <v>26944.7445420228</v>
      </c>
      <c r="H40" s="142">
        <f t="shared" si="12"/>
        <v>14637.5730145456</v>
      </c>
      <c r="I40" s="142">
        <f t="shared" si="12"/>
        <v>14444.3739587987</v>
      </c>
      <c r="J40" s="142">
        <f t="shared" si="12"/>
        <v>22422.158206595701</v>
      </c>
      <c r="K40" s="142">
        <f t="shared" si="12"/>
        <v>19364.858742661501</v>
      </c>
      <c r="L40" s="142">
        <f t="shared" si="12"/>
        <v>14685.295224871508</v>
      </c>
      <c r="M40" s="140">
        <f t="shared" si="12"/>
        <v>23227.619618337001</v>
      </c>
      <c r="N40" s="140">
        <f t="shared" si="12"/>
        <v>24394.4763160047</v>
      </c>
      <c r="O40" s="173">
        <f t="shared" si="12"/>
        <v>32152.650942861073</v>
      </c>
      <c r="P40" s="169">
        <f t="shared" si="6"/>
        <v>350450.70916541212</v>
      </c>
      <c r="R40" s="18"/>
      <c r="S40" s="18"/>
    </row>
    <row r="41" spans="2:20">
      <c r="C41" s="24" t="s">
        <v>41</v>
      </c>
      <c r="D41" s="163">
        <v>56927.839999999997</v>
      </c>
      <c r="E41" s="116">
        <v>46159.397980486101</v>
      </c>
      <c r="F41" s="116">
        <v>55089.72061822746</v>
      </c>
      <c r="G41" s="147">
        <v>26944.7445420228</v>
      </c>
      <c r="H41" s="116">
        <v>14637.5730145456</v>
      </c>
      <c r="I41" s="116">
        <v>14444.3739587987</v>
      </c>
      <c r="J41" s="116">
        <v>22422.158206595701</v>
      </c>
      <c r="K41" s="116">
        <v>19364.858742661501</v>
      </c>
      <c r="L41" s="116">
        <v>14685.295224871508</v>
      </c>
      <c r="M41" s="116">
        <v>23227.619618337001</v>
      </c>
      <c r="N41" s="116">
        <v>24394.4763160047</v>
      </c>
      <c r="O41" s="165">
        <v>32152.650942861073</v>
      </c>
      <c r="P41" s="158">
        <f t="shared" si="6"/>
        <v>350450.70916541212</v>
      </c>
      <c r="Q41" s="18"/>
      <c r="R41" s="18"/>
    </row>
    <row r="42" spans="2:20" hidden="1">
      <c r="C42" s="24" t="s">
        <v>45</v>
      </c>
      <c r="D42" s="163">
        <v>0</v>
      </c>
      <c r="E42" s="116">
        <v>0</v>
      </c>
      <c r="F42" s="147">
        <v>0</v>
      </c>
      <c r="G42" s="116">
        <v>0</v>
      </c>
      <c r="H42" s="116">
        <v>0</v>
      </c>
      <c r="I42" s="116">
        <v>0</v>
      </c>
      <c r="J42" s="116">
        <v>0</v>
      </c>
      <c r="K42" s="116">
        <v>0</v>
      </c>
      <c r="L42" s="116">
        <v>0</v>
      </c>
      <c r="M42" s="116">
        <v>0</v>
      </c>
      <c r="N42" s="116">
        <v>0</v>
      </c>
      <c r="O42" s="165"/>
      <c r="P42" s="158">
        <f t="shared" si="6"/>
        <v>0</v>
      </c>
      <c r="Q42" s="18"/>
      <c r="R42" s="18"/>
    </row>
    <row r="43" spans="2:20" ht="15">
      <c r="C43" s="27" t="s">
        <v>42</v>
      </c>
      <c r="D43" s="149">
        <f>SUM(D44:D52)</f>
        <v>54830.899760000008</v>
      </c>
      <c r="E43" s="148">
        <f>SUM(E44:E52)</f>
        <v>52239.070209999991</v>
      </c>
      <c r="F43" s="148">
        <f>SUM(F44:F52)</f>
        <v>55735.654289999999</v>
      </c>
      <c r="G43" s="142">
        <f>SUM(G44:G53)</f>
        <v>55075.945670000001</v>
      </c>
      <c r="H43" s="142">
        <f t="shared" ref="H43:P43" si="13">SUM(H44:H53)</f>
        <v>54587.34175</v>
      </c>
      <c r="I43" s="142">
        <f t="shared" si="13"/>
        <v>52199.136519999993</v>
      </c>
      <c r="J43" s="142">
        <f t="shared" si="13"/>
        <v>53331.173450000017</v>
      </c>
      <c r="K43" s="142">
        <f t="shared" si="13"/>
        <v>53704.336389999997</v>
      </c>
      <c r="L43" s="142">
        <f t="shared" si="13"/>
        <v>52262.628279999997</v>
      </c>
      <c r="M43" s="142">
        <f t="shared" si="13"/>
        <v>53513.974779999997</v>
      </c>
      <c r="N43" s="142">
        <f t="shared" si="13"/>
        <v>53176.670689999992</v>
      </c>
      <c r="O43" s="142">
        <f t="shared" si="13"/>
        <v>55205.174039999991</v>
      </c>
      <c r="P43" s="142">
        <f t="shared" si="13"/>
        <v>645862.00583000004</v>
      </c>
      <c r="R43" s="18"/>
    </row>
    <row r="44" spans="2:20">
      <c r="C44" s="24" t="s">
        <v>47</v>
      </c>
      <c r="D44" s="163">
        <v>12092.203049999998</v>
      </c>
      <c r="E44" s="174">
        <v>11329.898130000003</v>
      </c>
      <c r="F44" s="116">
        <v>12293.932279999999</v>
      </c>
      <c r="G44" s="116">
        <v>11811.545869999998</v>
      </c>
      <c r="H44" s="116">
        <v>11678.863210000001</v>
      </c>
      <c r="I44" s="116">
        <v>11183.291809999999</v>
      </c>
      <c r="J44" s="116">
        <v>11369.88818</v>
      </c>
      <c r="K44" s="116">
        <v>11358.021340000001</v>
      </c>
      <c r="L44" s="116">
        <v>10996.76066</v>
      </c>
      <c r="M44" s="116">
        <v>11516.385850000002</v>
      </c>
      <c r="N44" s="116">
        <v>11381.286930000002</v>
      </c>
      <c r="O44" s="165">
        <v>11909.133259999999</v>
      </c>
      <c r="P44" s="158">
        <f t="shared" si="6"/>
        <v>138921.21057</v>
      </c>
      <c r="Q44" s="109"/>
      <c r="R44" s="18"/>
    </row>
    <row r="45" spans="2:20">
      <c r="C45" s="24" t="s">
        <v>48</v>
      </c>
      <c r="D45" s="163">
        <v>36140.873720000003</v>
      </c>
      <c r="E45" s="174">
        <v>34176.202749999997</v>
      </c>
      <c r="F45" s="147">
        <v>36875.445329999995</v>
      </c>
      <c r="G45" s="116">
        <v>35040.426230000005</v>
      </c>
      <c r="H45" s="116">
        <v>34619.318479999994</v>
      </c>
      <c r="I45" s="116">
        <v>33164.132139999994</v>
      </c>
      <c r="J45" s="116">
        <v>33427.862150000001</v>
      </c>
      <c r="K45" s="116">
        <v>33415.17972</v>
      </c>
      <c r="L45" s="116">
        <v>32089.38694</v>
      </c>
      <c r="M45" s="116">
        <v>33410.705030000005</v>
      </c>
      <c r="N45" s="116">
        <v>33071.723929999993</v>
      </c>
      <c r="O45" s="165">
        <v>33197.63276</v>
      </c>
      <c r="P45" s="158">
        <f t="shared" si="6"/>
        <v>408628.88918</v>
      </c>
      <c r="Q45" s="109"/>
      <c r="R45" s="18"/>
    </row>
    <row r="46" spans="2:20">
      <c r="C46" s="24" t="s">
        <v>49</v>
      </c>
      <c r="D46" s="163">
        <v>588.39278999999999</v>
      </c>
      <c r="E46" s="174">
        <v>536.36628999999994</v>
      </c>
      <c r="F46" s="147">
        <v>606.09712000000002</v>
      </c>
      <c r="G46" s="116">
        <v>564.01937999999996</v>
      </c>
      <c r="H46" s="116">
        <v>549.73437000000001</v>
      </c>
      <c r="I46" s="116">
        <v>508.47030999999993</v>
      </c>
      <c r="J46" s="116">
        <v>529.16399999999999</v>
      </c>
      <c r="K46" s="116">
        <v>521.58836999999994</v>
      </c>
      <c r="L46" s="116">
        <v>496.76963000000001</v>
      </c>
      <c r="M46" s="116">
        <v>527.14210000000003</v>
      </c>
      <c r="N46" s="116">
        <v>525.20128</v>
      </c>
      <c r="O46" s="165">
        <v>574.57210000000009</v>
      </c>
      <c r="P46" s="158">
        <f t="shared" si="6"/>
        <v>6527.5177399999993</v>
      </c>
      <c r="Q46" s="109"/>
      <c r="R46" s="18"/>
    </row>
    <row r="47" spans="2:20">
      <c r="C47" s="24" t="s">
        <v>50</v>
      </c>
      <c r="D47" s="163">
        <v>1290.4922400000003</v>
      </c>
      <c r="E47" s="174">
        <v>1263.85337</v>
      </c>
      <c r="F47" s="147">
        <v>1311.5347199999999</v>
      </c>
      <c r="G47" s="116">
        <v>1222.2812099999999</v>
      </c>
      <c r="H47" s="116">
        <v>1220.3276000000001</v>
      </c>
      <c r="I47" s="116">
        <v>1180.2344399999999</v>
      </c>
      <c r="J47" s="116">
        <v>1186.49459</v>
      </c>
      <c r="K47" s="116">
        <v>1146.12517</v>
      </c>
      <c r="L47" s="116">
        <v>1130.63635</v>
      </c>
      <c r="M47" s="116">
        <v>1210.8368499999999</v>
      </c>
      <c r="N47" s="116">
        <v>1212.6666099999998</v>
      </c>
      <c r="O47" s="165">
        <v>1259.67796</v>
      </c>
      <c r="P47" s="158">
        <f t="shared" si="6"/>
        <v>14635.161110000001</v>
      </c>
      <c r="Q47" s="109"/>
      <c r="R47" s="18"/>
    </row>
    <row r="48" spans="2:20">
      <c r="C48" s="24" t="s">
        <v>51</v>
      </c>
      <c r="D48" s="163">
        <v>880.79773000000012</v>
      </c>
      <c r="E48" s="174">
        <v>799.14483999999993</v>
      </c>
      <c r="F48" s="147">
        <v>915.66387999999995</v>
      </c>
      <c r="G48" s="116">
        <v>907.74940000000004</v>
      </c>
      <c r="H48" s="116">
        <v>959.15319999999997</v>
      </c>
      <c r="I48" s="116">
        <v>948.50869999999998</v>
      </c>
      <c r="J48" s="116">
        <v>1021.4782800000003</v>
      </c>
      <c r="K48" s="116">
        <v>1019.9542700000001</v>
      </c>
      <c r="L48" s="116">
        <f>987282.6/1000</f>
        <v>987.2826</v>
      </c>
      <c r="M48" s="116">
        <v>1023.19891</v>
      </c>
      <c r="N48" s="116">
        <f>957910.55/1000</f>
        <v>957.91055000000006</v>
      </c>
      <c r="O48" s="165">
        <v>989.06925000000012</v>
      </c>
      <c r="P48" s="158">
        <f t="shared" si="6"/>
        <v>11409.911610000001</v>
      </c>
      <c r="Q48" s="109"/>
      <c r="R48" s="18"/>
    </row>
    <row r="49" spans="1:256">
      <c r="C49" s="24" t="s">
        <v>52</v>
      </c>
      <c r="D49" s="163">
        <v>799.89579000000003</v>
      </c>
      <c r="E49" s="174">
        <v>740.6644399999999</v>
      </c>
      <c r="F49" s="147">
        <v>869.02832000000012</v>
      </c>
      <c r="G49" s="116">
        <v>837.19207999999992</v>
      </c>
      <c r="H49" s="116">
        <v>854.80138999999986</v>
      </c>
      <c r="I49" s="116">
        <v>873.25083999999993</v>
      </c>
      <c r="J49" s="116">
        <v>914.45120000000009</v>
      </c>
      <c r="K49" s="116">
        <v>858.01192999999989</v>
      </c>
      <c r="L49" s="116">
        <v>862.90315999999996</v>
      </c>
      <c r="M49" s="116">
        <v>883.20700999999997</v>
      </c>
      <c r="N49" s="116">
        <v>805.02893000000017</v>
      </c>
      <c r="O49" s="165">
        <v>846.72786000000008</v>
      </c>
      <c r="P49" s="158">
        <f t="shared" si="6"/>
        <v>10145.16295</v>
      </c>
      <c r="Q49" s="109"/>
      <c r="R49" s="18"/>
    </row>
    <row r="50" spans="1:256">
      <c r="C50" s="24" t="s">
        <v>90</v>
      </c>
      <c r="D50" s="163">
        <v>1564.35212</v>
      </c>
      <c r="E50" s="174">
        <v>1396.7154399999999</v>
      </c>
      <c r="F50" s="147">
        <v>1586.2700799999998</v>
      </c>
      <c r="G50" s="116">
        <v>1520.1463100000001</v>
      </c>
      <c r="H50" s="116">
        <v>1553.7063799999999</v>
      </c>
      <c r="I50" s="116">
        <v>1521.61815</v>
      </c>
      <c r="J50" s="116">
        <v>1548.65237</v>
      </c>
      <c r="K50" s="116">
        <v>1563.92004</v>
      </c>
      <c r="L50" s="116">
        <v>1549.1567</v>
      </c>
      <c r="M50" s="116">
        <v>1634.38375</v>
      </c>
      <c r="N50" s="116">
        <v>1605.8136300000001</v>
      </c>
      <c r="O50" s="165">
        <v>1655.10051</v>
      </c>
      <c r="P50" s="158">
        <f t="shared" si="6"/>
        <v>18699.835480000002</v>
      </c>
      <c r="Q50" s="109"/>
      <c r="R50" s="18"/>
    </row>
    <row r="51" spans="1:256">
      <c r="C51" s="24" t="s">
        <v>53</v>
      </c>
      <c r="D51" s="163">
        <v>1427.2919199999999</v>
      </c>
      <c r="E51" s="174">
        <v>1954.65895</v>
      </c>
      <c r="F51" s="147">
        <v>1226.7278499999998</v>
      </c>
      <c r="G51" s="116">
        <v>1287.0481000000002</v>
      </c>
      <c r="H51" s="116">
        <v>1337.0474999999999</v>
      </c>
      <c r="I51" s="116">
        <v>1416.4151899999999</v>
      </c>
      <c r="J51" s="116">
        <v>1784.3707099999999</v>
      </c>
      <c r="K51" s="116">
        <v>1855.7593100000001</v>
      </c>
      <c r="L51" s="116">
        <f>2058254.25/1000</f>
        <v>2058.25425</v>
      </c>
      <c r="M51" s="116">
        <v>729.87338</v>
      </c>
      <c r="N51" s="116">
        <v>846.25376999999992</v>
      </c>
      <c r="O51" s="165">
        <v>1573.94651</v>
      </c>
      <c r="P51" s="158">
        <f t="shared" si="6"/>
        <v>17497.647440000001</v>
      </c>
      <c r="Q51" s="109"/>
      <c r="R51" s="18"/>
    </row>
    <row r="52" spans="1:256">
      <c r="C52" s="24" t="s">
        <v>54</v>
      </c>
      <c r="D52" s="163">
        <v>46.600399999999993</v>
      </c>
      <c r="E52" s="174">
        <v>41.566000000000003</v>
      </c>
      <c r="F52" s="147">
        <v>50.954710000000006</v>
      </c>
      <c r="G52" s="116">
        <v>50.738150000000005</v>
      </c>
      <c r="H52" s="116">
        <v>53.635300000000001</v>
      </c>
      <c r="I52" s="116">
        <v>53.690290000000012</v>
      </c>
      <c r="J52" s="116">
        <v>54.779089999999997</v>
      </c>
      <c r="K52" s="116">
        <v>54.67257</v>
      </c>
      <c r="L52" s="116">
        <v>51.837350000000001</v>
      </c>
      <c r="M52" s="116">
        <v>54.454889999999999</v>
      </c>
      <c r="N52" s="116">
        <v>51.19209</v>
      </c>
      <c r="O52" s="165">
        <v>52.539089999999995</v>
      </c>
      <c r="P52" s="158">
        <f t="shared" si="6"/>
        <v>616.65993000000003</v>
      </c>
      <c r="Q52" s="109"/>
      <c r="R52" s="18"/>
    </row>
    <row r="53" spans="1:256">
      <c r="C53" s="107" t="s">
        <v>93</v>
      </c>
      <c r="D53" s="157">
        <v>0</v>
      </c>
      <c r="E53" s="121">
        <v>0</v>
      </c>
      <c r="F53" s="121">
        <v>0</v>
      </c>
      <c r="G53" s="121">
        <v>1834.7989399999999</v>
      </c>
      <c r="H53" s="121">
        <v>1760.7543199999998</v>
      </c>
      <c r="I53" s="121">
        <v>1349.5246499999998</v>
      </c>
      <c r="J53" s="116">
        <v>1494.03288</v>
      </c>
      <c r="K53" s="116">
        <v>1911.10367</v>
      </c>
      <c r="L53" s="121">
        <v>2039.6406400000001</v>
      </c>
      <c r="M53" s="121">
        <v>2523.7870099999996</v>
      </c>
      <c r="N53" s="121">
        <v>2719.5929700000002</v>
      </c>
      <c r="O53" s="175">
        <v>3146.7747400000003</v>
      </c>
      <c r="P53" s="158">
        <f>SUM(D53:O53)</f>
        <v>18780.009819999999</v>
      </c>
      <c r="Q53" s="109"/>
      <c r="R53" s="18"/>
    </row>
    <row r="54" spans="1:256" ht="15">
      <c r="C54" s="27" t="s">
        <v>43</v>
      </c>
      <c r="D54" s="180">
        <f t="shared" ref="D54:P54" si="14">+SUM(D55:D57)</f>
        <v>2892.2636200000002</v>
      </c>
      <c r="E54" s="142">
        <f t="shared" si="14"/>
        <v>2639.8845800000004</v>
      </c>
      <c r="F54" s="142">
        <f t="shared" si="14"/>
        <v>3022.9914499999995</v>
      </c>
      <c r="G54" s="142">
        <f t="shared" si="14"/>
        <v>2828.0858700000003</v>
      </c>
      <c r="H54" s="142">
        <f t="shared" si="14"/>
        <v>3140.3332899999996</v>
      </c>
      <c r="I54" s="142">
        <f t="shared" si="14"/>
        <v>2958.8826199999999</v>
      </c>
      <c r="J54" s="142">
        <f t="shared" si="14"/>
        <v>3116.92544</v>
      </c>
      <c r="K54" s="142">
        <f t="shared" si="14"/>
        <v>2766.8908700000006</v>
      </c>
      <c r="L54" s="142">
        <f t="shared" si="14"/>
        <v>2660.3065999999999</v>
      </c>
      <c r="M54" s="142">
        <f t="shared" si="14"/>
        <v>2639.2785900000003</v>
      </c>
      <c r="N54" s="142">
        <f t="shared" si="14"/>
        <v>2616.2488500000004</v>
      </c>
      <c r="O54" s="148">
        <f t="shared" si="14"/>
        <v>2289.49433</v>
      </c>
      <c r="P54" s="169">
        <f t="shared" si="14"/>
        <v>33571.586110000004</v>
      </c>
      <c r="Q54" s="109"/>
      <c r="R54" s="18"/>
    </row>
    <row r="55" spans="1:256">
      <c r="C55" s="107" t="s">
        <v>59</v>
      </c>
      <c r="D55" s="157">
        <v>1440.1263300000001</v>
      </c>
      <c r="E55" s="121">
        <v>1435.9344300000002</v>
      </c>
      <c r="F55" s="150">
        <v>1533.9428199999998</v>
      </c>
      <c r="G55" s="121">
        <v>1524.7065100000002</v>
      </c>
      <c r="H55" s="121">
        <v>1626.9699800000001</v>
      </c>
      <c r="I55" s="121">
        <v>1562.2956200000001</v>
      </c>
      <c r="J55" s="116">
        <v>1456.0698399999999</v>
      </c>
      <c r="K55" s="116">
        <v>1332.0992200000003</v>
      </c>
      <c r="L55" s="121">
        <v>1259.2010700000001</v>
      </c>
      <c r="M55" s="121">
        <v>1277.2473200000002</v>
      </c>
      <c r="N55" s="121">
        <v>1286.8729900000001</v>
      </c>
      <c r="O55" s="175">
        <v>826.36954999999989</v>
      </c>
      <c r="P55" s="158">
        <f t="shared" si="6"/>
        <v>16561.835680000004</v>
      </c>
      <c r="Q55" s="109"/>
      <c r="R55" s="18"/>
    </row>
    <row r="56" spans="1:256">
      <c r="C56" s="107" t="s">
        <v>56</v>
      </c>
      <c r="D56" s="157">
        <v>1184.74578</v>
      </c>
      <c r="E56" s="121">
        <v>988.86301000000003</v>
      </c>
      <c r="F56" s="150">
        <v>1237.1513399999999</v>
      </c>
      <c r="G56" s="121">
        <v>1076.62796</v>
      </c>
      <c r="H56" s="121">
        <v>1287.1673399999997</v>
      </c>
      <c r="I56" s="121">
        <v>1165.1049499999999</v>
      </c>
      <c r="J56" s="116">
        <v>1440.91471</v>
      </c>
      <c r="K56" s="116">
        <v>1210.6631800000002</v>
      </c>
      <c r="L56" s="121">
        <v>1181.05258</v>
      </c>
      <c r="M56" s="121">
        <v>1132.2702400000001</v>
      </c>
      <c r="N56" s="121">
        <v>1121.63474</v>
      </c>
      <c r="O56" s="175">
        <v>1259.52575</v>
      </c>
      <c r="P56" s="158">
        <f t="shared" si="6"/>
        <v>14285.721579999999</v>
      </c>
      <c r="Q56" s="109"/>
      <c r="R56" s="18"/>
    </row>
    <row r="57" spans="1:256" ht="15" thickBot="1">
      <c r="C57" s="108" t="s">
        <v>89</v>
      </c>
      <c r="D57" s="176">
        <v>267.39150999999998</v>
      </c>
      <c r="E57" s="151">
        <v>215.08713999999998</v>
      </c>
      <c r="F57" s="151">
        <v>251.89729</v>
      </c>
      <c r="G57" s="151">
        <v>226.75140000000002</v>
      </c>
      <c r="H57" s="151">
        <v>226.19596999999999</v>
      </c>
      <c r="I57" s="151">
        <v>231.48204999999999</v>
      </c>
      <c r="J57" s="177">
        <v>219.94089000000002</v>
      </c>
      <c r="K57" s="177">
        <v>224.12847000000002</v>
      </c>
      <c r="L57" s="151">
        <v>220.05294999999998</v>
      </c>
      <c r="M57" s="151">
        <v>229.76103000000001</v>
      </c>
      <c r="N57" s="151">
        <f>207741.12/1000</f>
        <v>207.74112</v>
      </c>
      <c r="O57" s="178">
        <v>203.59903</v>
      </c>
      <c r="P57" s="179">
        <f t="shared" si="6"/>
        <v>2724.0288500000001</v>
      </c>
      <c r="Q57" s="109"/>
      <c r="R57" s="18"/>
    </row>
    <row r="58" spans="1:256" ht="15" thickTop="1">
      <c r="R58" s="18"/>
    </row>
    <row r="59" spans="1:256">
      <c r="D59" s="35"/>
      <c r="E59" s="39"/>
      <c r="F59" s="35"/>
      <c r="G59" s="35"/>
      <c r="H59" s="35"/>
      <c r="L59" s="18"/>
      <c r="M59" s="18"/>
      <c r="R59" s="109"/>
    </row>
    <row r="60" spans="1:256">
      <c r="C60" s="3" t="s">
        <v>92</v>
      </c>
      <c r="D60" s="35"/>
      <c r="E60" s="39"/>
      <c r="F60" s="35"/>
      <c r="G60" s="35"/>
      <c r="H60" s="35"/>
      <c r="L60" s="18"/>
      <c r="M60" s="18"/>
      <c r="R60" s="109"/>
    </row>
    <row r="61" spans="1:256" s="11" customFormat="1">
      <c r="A61" s="3"/>
      <c r="B61" s="3"/>
      <c r="C61" s="3"/>
      <c r="D61" s="106">
        <f t="shared" ref="D61:O61" si="15">D39-D40</f>
        <v>57723.163379999998</v>
      </c>
      <c r="E61" s="106">
        <f t="shared" si="15"/>
        <v>54878.954789999989</v>
      </c>
      <c r="F61" s="106">
        <f t="shared" si="15"/>
        <v>58758.64574</v>
      </c>
      <c r="G61" s="106">
        <f t="shared" si="15"/>
        <v>57904.031539999996</v>
      </c>
      <c r="H61" s="106">
        <f t="shared" si="15"/>
        <v>57727.675039999987</v>
      </c>
      <c r="I61" s="106">
        <f t="shared" si="15"/>
        <v>55158.019139999997</v>
      </c>
      <c r="J61" s="106">
        <f t="shared" si="15"/>
        <v>56448.098890000023</v>
      </c>
      <c r="K61" s="106">
        <f t="shared" si="15"/>
        <v>56471.22726</v>
      </c>
      <c r="L61" s="106">
        <f t="shared" si="15"/>
        <v>54922.934879999993</v>
      </c>
      <c r="M61" s="106">
        <f t="shared" si="15"/>
        <v>56153.253369999991</v>
      </c>
      <c r="N61" s="106">
        <f t="shared" si="15"/>
        <v>55792.919540000003</v>
      </c>
      <c r="O61" s="106">
        <f t="shared" si="15"/>
        <v>57494.668369999985</v>
      </c>
    </row>
    <row r="62" spans="1:256"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</row>
    <row r="63" spans="1:256" ht="15">
      <c r="D63" s="89">
        <f t="shared" ref="D63:O63" si="16">+D38-D39</f>
        <v>0</v>
      </c>
      <c r="E63" s="89">
        <f t="shared" si="16"/>
        <v>0</v>
      </c>
      <c r="F63" s="89">
        <f t="shared" si="16"/>
        <v>0</v>
      </c>
      <c r="G63" s="89">
        <f t="shared" si="16"/>
        <v>0</v>
      </c>
      <c r="H63" s="89">
        <f t="shared" si="16"/>
        <v>0</v>
      </c>
      <c r="I63" s="89">
        <f t="shared" si="16"/>
        <v>0</v>
      </c>
      <c r="J63" s="89">
        <f t="shared" si="16"/>
        <v>-1.3998942449688911E-8</v>
      </c>
      <c r="K63" s="89">
        <f t="shared" si="16"/>
        <v>0</v>
      </c>
      <c r="L63" s="89">
        <f t="shared" si="16"/>
        <v>0</v>
      </c>
      <c r="M63" s="89">
        <f t="shared" si="16"/>
        <v>0</v>
      </c>
      <c r="N63" s="89">
        <f t="shared" si="16"/>
        <v>0</v>
      </c>
      <c r="O63" s="89">
        <f t="shared" si="16"/>
        <v>0</v>
      </c>
      <c r="P63" s="89"/>
      <c r="R63" s="90"/>
    </row>
    <row r="64" spans="1:256">
      <c r="D64" s="89">
        <f t="shared" ref="D64:O64" si="17">+D63*0.4</f>
        <v>0</v>
      </c>
      <c r="E64" s="89">
        <f t="shared" si="17"/>
        <v>0</v>
      </c>
      <c r="F64" s="89">
        <f t="shared" si="17"/>
        <v>0</v>
      </c>
      <c r="G64" s="89">
        <f t="shared" si="17"/>
        <v>0</v>
      </c>
      <c r="H64" s="89">
        <f t="shared" si="17"/>
        <v>0</v>
      </c>
      <c r="I64" s="89">
        <f>+I63*0.4</f>
        <v>0</v>
      </c>
      <c r="J64" s="89">
        <f t="shared" si="17"/>
        <v>-5.5995769798755647E-9</v>
      </c>
      <c r="K64" s="89">
        <f t="shared" si="17"/>
        <v>0</v>
      </c>
      <c r="L64" s="89">
        <f t="shared" si="17"/>
        <v>0</v>
      </c>
      <c r="M64" s="89">
        <f t="shared" si="17"/>
        <v>0</v>
      </c>
      <c r="N64" s="89">
        <f t="shared" si="17"/>
        <v>0</v>
      </c>
      <c r="O64" s="89">
        <f t="shared" si="17"/>
        <v>0</v>
      </c>
      <c r="P64" s="89"/>
    </row>
    <row r="65" spans="2:16">
      <c r="D65" s="89">
        <f t="shared" ref="D65:O65" si="18">+D63*0.6</f>
        <v>0</v>
      </c>
      <c r="E65" s="89">
        <f t="shared" si="18"/>
        <v>0</v>
      </c>
      <c r="F65" s="89">
        <f t="shared" si="18"/>
        <v>0</v>
      </c>
      <c r="G65" s="89">
        <f t="shared" si="18"/>
        <v>0</v>
      </c>
      <c r="H65" s="89">
        <f t="shared" si="18"/>
        <v>0</v>
      </c>
      <c r="I65" s="89">
        <f>+I63*0.6</f>
        <v>0</v>
      </c>
      <c r="J65" s="89">
        <f t="shared" si="18"/>
        <v>-8.3993654698133459E-9</v>
      </c>
      <c r="K65" s="89">
        <f t="shared" si="18"/>
        <v>0</v>
      </c>
      <c r="L65" s="89">
        <f t="shared" si="18"/>
        <v>0</v>
      </c>
      <c r="M65" s="89">
        <f t="shared" si="18"/>
        <v>0</v>
      </c>
      <c r="N65" s="89">
        <f t="shared" si="18"/>
        <v>0</v>
      </c>
      <c r="O65" s="89">
        <f t="shared" si="18"/>
        <v>0</v>
      </c>
      <c r="P65" s="89"/>
    </row>
    <row r="66" spans="2:16"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89"/>
      <c r="P66" s="89"/>
    </row>
    <row r="67" spans="2:16" ht="15">
      <c r="D67" s="94">
        <f t="shared" ref="D67:O67" si="19">D35/D27</f>
        <v>1.298493496014627E-2</v>
      </c>
      <c r="E67" s="94">
        <f t="shared" si="19"/>
        <v>1.2739437657103095E-2</v>
      </c>
      <c r="F67" s="94">
        <f t="shared" si="19"/>
        <v>7.7759446751853286E-3</v>
      </c>
      <c r="G67" s="94">
        <f t="shared" si="19"/>
        <v>1.4658147768160905E-2</v>
      </c>
      <c r="H67" s="94">
        <f t="shared" si="19"/>
        <v>1.5208887556809794E-2</v>
      </c>
      <c r="I67" s="94">
        <f t="shared" si="19"/>
        <v>1.2414045211912009E-2</v>
      </c>
      <c r="J67" s="94">
        <f t="shared" si="19"/>
        <v>6.6494395012512949E-3</v>
      </c>
      <c r="K67" s="94">
        <f t="shared" si="19"/>
        <v>1.2585500818103878E-2</v>
      </c>
      <c r="L67" s="94">
        <f t="shared" si="19"/>
        <v>1.2726901652545509E-2</v>
      </c>
      <c r="M67" s="94">
        <f t="shared" si="19"/>
        <v>2.6112426619231702E-2</v>
      </c>
      <c r="N67" s="94">
        <f t="shared" si="19"/>
        <v>2.9446998395423914E-2</v>
      </c>
      <c r="O67" s="94">
        <f t="shared" si="19"/>
        <v>1.2214320228302515E-2</v>
      </c>
    </row>
    <row r="68" spans="2:16">
      <c r="D68" s="18"/>
      <c r="E68" s="18"/>
      <c r="F68" s="18"/>
      <c r="G68" s="18"/>
      <c r="H68" s="18"/>
      <c r="I68" s="18"/>
      <c r="J68" s="18"/>
      <c r="K68" s="95"/>
      <c r="L68" s="18"/>
      <c r="M68" s="18"/>
      <c r="N68" s="18"/>
      <c r="O68" s="18"/>
    </row>
    <row r="69" spans="2:16">
      <c r="D69" s="43"/>
      <c r="E69" s="43"/>
      <c r="F69" s="18"/>
      <c r="G69" s="43"/>
      <c r="H69" s="43"/>
      <c r="I69" s="43">
        <f>2000*10*3.3/12</f>
        <v>5500</v>
      </c>
      <c r="J69" s="43"/>
      <c r="K69" s="43"/>
      <c r="L69" s="43"/>
      <c r="M69" s="43"/>
      <c r="N69" s="43"/>
      <c r="O69" s="43"/>
    </row>
    <row r="70" spans="2:16">
      <c r="I70" s="181"/>
      <c r="J70" s="36"/>
    </row>
    <row r="71" spans="2:16">
      <c r="D71" s="18"/>
      <c r="E71" s="18"/>
      <c r="F71" s="18"/>
      <c r="G71" s="18"/>
      <c r="H71" s="18"/>
      <c r="I71" s="18"/>
      <c r="J71" s="18"/>
      <c r="K71" s="18"/>
      <c r="M71" s="18"/>
      <c r="N71" s="18"/>
    </row>
    <row r="72" spans="2:16">
      <c r="D72" s="18"/>
      <c r="E72" s="18"/>
    </row>
    <row r="73" spans="2:16">
      <c r="B73" s="110" t="s">
        <v>62</v>
      </c>
      <c r="C73" s="110" t="s">
        <v>69</v>
      </c>
      <c r="D73" s="123" t="str">
        <f t="shared" ref="D73:P73" si="20">+D26</f>
        <v>Enero</v>
      </c>
      <c r="E73" s="123" t="str">
        <f t="shared" si="20"/>
        <v>Febrero</v>
      </c>
      <c r="F73" s="123" t="str">
        <f t="shared" si="20"/>
        <v>Marzo</v>
      </c>
      <c r="G73" s="123" t="str">
        <f t="shared" si="20"/>
        <v>Abril</v>
      </c>
      <c r="H73" s="123" t="str">
        <f t="shared" si="20"/>
        <v>Mayo</v>
      </c>
      <c r="I73" s="123" t="str">
        <f t="shared" si="20"/>
        <v>Junio</v>
      </c>
      <c r="J73" s="123" t="str">
        <f t="shared" si="20"/>
        <v>Julio</v>
      </c>
      <c r="K73" s="123" t="str">
        <f t="shared" si="20"/>
        <v>Agosto</v>
      </c>
      <c r="L73" s="123" t="str">
        <f t="shared" si="20"/>
        <v>Septiembre</v>
      </c>
      <c r="M73" s="123" t="str">
        <f t="shared" si="20"/>
        <v>Octubre</v>
      </c>
      <c r="N73" s="123" t="str">
        <f t="shared" si="20"/>
        <v>Noviembre</v>
      </c>
      <c r="O73" s="123" t="str">
        <f t="shared" si="20"/>
        <v>Diciembre</v>
      </c>
      <c r="P73" s="123" t="str">
        <f t="shared" si="20"/>
        <v>Acumulado</v>
      </c>
    </row>
    <row r="74" spans="2:16" ht="15">
      <c r="B74" s="112" t="s">
        <v>16</v>
      </c>
      <c r="C74" s="124" t="s">
        <v>75</v>
      </c>
      <c r="D74" s="114"/>
      <c r="E74" s="114"/>
      <c r="F74" s="114"/>
      <c r="G74" s="114"/>
      <c r="H74" s="114"/>
      <c r="I74" s="115"/>
      <c r="J74" s="141"/>
      <c r="K74" s="115">
        <v>8814.7263067960739</v>
      </c>
      <c r="L74" s="114"/>
      <c r="M74" s="114"/>
      <c r="N74" s="114"/>
      <c r="O74" s="114"/>
      <c r="P74" s="114"/>
    </row>
    <row r="75" spans="2:16" ht="15">
      <c r="B75" s="112" t="s">
        <v>17</v>
      </c>
      <c r="C75" s="124" t="s">
        <v>76</v>
      </c>
      <c r="D75" s="112"/>
      <c r="E75" s="112"/>
      <c r="F75" s="112"/>
      <c r="G75" s="112"/>
      <c r="H75" s="112"/>
      <c r="I75" s="116"/>
      <c r="J75" s="142"/>
      <c r="K75" s="116">
        <v>1527.9247015118599</v>
      </c>
      <c r="L75" s="112"/>
      <c r="M75" s="112"/>
      <c r="N75" s="112"/>
      <c r="O75" s="112"/>
      <c r="P75" s="112"/>
    </row>
    <row r="76" spans="2:16">
      <c r="B76" s="441" t="s">
        <v>18</v>
      </c>
      <c r="C76" s="114" t="s">
        <v>70</v>
      </c>
      <c r="D76" s="114"/>
      <c r="E76" s="114"/>
      <c r="F76" s="114"/>
      <c r="G76" s="114"/>
      <c r="H76" s="114"/>
      <c r="I76" s="130"/>
      <c r="J76" s="115"/>
      <c r="K76" s="115">
        <v>1305.436933785677</v>
      </c>
      <c r="L76" s="114"/>
      <c r="M76" s="114"/>
      <c r="N76" s="114"/>
      <c r="O76" s="114"/>
      <c r="P76" s="114"/>
    </row>
    <row r="77" spans="2:16">
      <c r="B77" s="442"/>
      <c r="C77" s="112" t="s">
        <v>71</v>
      </c>
      <c r="D77" s="112"/>
      <c r="E77" s="112"/>
      <c r="F77" s="112"/>
      <c r="G77" s="112"/>
      <c r="H77" s="112"/>
      <c r="I77" s="117"/>
      <c r="J77" s="116"/>
      <c r="K77" s="116">
        <v>4572.8952873498201</v>
      </c>
      <c r="L77" s="112"/>
      <c r="M77" s="112"/>
      <c r="N77" s="112"/>
      <c r="O77" s="112"/>
      <c r="P77" s="112"/>
    </row>
    <row r="78" spans="2:16">
      <c r="B78" s="442"/>
      <c r="C78" s="112" t="s">
        <v>72</v>
      </c>
      <c r="D78" s="112"/>
      <c r="E78" s="112"/>
      <c r="F78" s="112"/>
      <c r="G78" s="112"/>
      <c r="H78" s="112"/>
      <c r="I78" s="117"/>
      <c r="J78" s="116"/>
      <c r="K78" s="116">
        <v>1555.9969090908792</v>
      </c>
      <c r="L78" s="112"/>
      <c r="M78" s="112"/>
      <c r="N78" s="112"/>
      <c r="O78" s="112"/>
      <c r="P78" s="112"/>
    </row>
    <row r="79" spans="2:16" ht="15">
      <c r="B79" s="443"/>
      <c r="C79" s="131" t="s">
        <v>77</v>
      </c>
      <c r="D79" s="131"/>
      <c r="E79" s="131"/>
      <c r="F79" s="131"/>
      <c r="G79" s="131"/>
      <c r="H79" s="131"/>
      <c r="I79" s="132"/>
      <c r="J79" s="133"/>
      <c r="K79" s="133">
        <f>+K76+K77-K78</f>
        <v>4322.3353120446181</v>
      </c>
      <c r="L79" s="131"/>
      <c r="M79" s="131"/>
      <c r="N79" s="131"/>
      <c r="O79" s="131"/>
      <c r="P79" s="131"/>
    </row>
    <row r="80" spans="2:16" ht="15">
      <c r="B80" s="112" t="s">
        <v>19</v>
      </c>
      <c r="C80" s="124" t="s">
        <v>78</v>
      </c>
      <c r="D80" s="112"/>
      <c r="E80" s="112"/>
      <c r="F80" s="112"/>
      <c r="G80" s="112"/>
      <c r="H80" s="112"/>
      <c r="I80" s="116"/>
      <c r="J80" s="142"/>
      <c r="K80" s="116">
        <v>6657.2091844081879</v>
      </c>
      <c r="L80" s="112"/>
      <c r="M80" s="112"/>
      <c r="N80" s="112"/>
      <c r="O80" s="112"/>
      <c r="P80" s="112"/>
    </row>
    <row r="81" spans="2:16">
      <c r="B81" s="444" t="s">
        <v>20</v>
      </c>
      <c r="C81" s="114" t="s">
        <v>73</v>
      </c>
      <c r="D81" s="125"/>
      <c r="E81" s="126"/>
      <c r="F81" s="127"/>
      <c r="G81" s="127"/>
      <c r="H81" s="127"/>
      <c r="I81" s="128"/>
      <c r="J81" s="128"/>
      <c r="K81" s="115">
        <v>52409.603130340576</v>
      </c>
      <c r="L81" s="129"/>
      <c r="M81" s="114"/>
      <c r="N81" s="114"/>
      <c r="O81" s="114"/>
      <c r="P81" s="114"/>
    </row>
    <row r="82" spans="2:16">
      <c r="B82" s="445"/>
      <c r="C82" s="112" t="s">
        <v>74</v>
      </c>
      <c r="D82" s="122"/>
      <c r="E82" s="118"/>
      <c r="F82" s="119"/>
      <c r="G82" s="119"/>
      <c r="H82" s="119"/>
      <c r="I82" s="120"/>
      <c r="J82" s="120"/>
      <c r="K82" s="116">
        <v>224943.27942657471</v>
      </c>
      <c r="L82" s="112"/>
      <c r="M82" s="112"/>
      <c r="N82" s="112"/>
      <c r="O82" s="112"/>
      <c r="P82" s="112"/>
    </row>
    <row r="83" spans="2:16">
      <c r="B83" s="445"/>
      <c r="C83" s="112" t="s">
        <v>63</v>
      </c>
      <c r="D83" s="122"/>
      <c r="E83" s="118"/>
      <c r="F83" s="119"/>
      <c r="G83" s="119"/>
      <c r="H83" s="119"/>
      <c r="I83" s="120"/>
      <c r="J83" s="120"/>
      <c r="K83" s="116">
        <v>7661.912095785141</v>
      </c>
      <c r="L83" s="112"/>
      <c r="M83" s="112"/>
      <c r="N83" s="112"/>
      <c r="O83" s="112"/>
      <c r="P83" s="112"/>
    </row>
    <row r="84" spans="2:16">
      <c r="B84" s="445"/>
      <c r="C84" s="112" t="s">
        <v>81</v>
      </c>
      <c r="D84" s="122"/>
      <c r="E84" s="118"/>
      <c r="F84" s="119"/>
      <c r="G84" s="119"/>
      <c r="H84" s="119"/>
      <c r="I84" s="120"/>
      <c r="J84" s="120"/>
      <c r="K84" s="116">
        <v>2310.6453409090896</v>
      </c>
      <c r="L84" s="112"/>
      <c r="M84" s="112"/>
      <c r="N84" s="112"/>
      <c r="O84" s="112"/>
      <c r="P84" s="112"/>
    </row>
    <row r="85" spans="2:16" ht="15">
      <c r="B85" s="446"/>
      <c r="C85" s="131" t="s">
        <v>79</v>
      </c>
      <c r="D85" s="134"/>
      <c r="E85" s="135"/>
      <c r="F85" s="136"/>
      <c r="G85" s="136"/>
      <c r="H85" s="136"/>
      <c r="I85" s="137"/>
      <c r="J85" s="139"/>
      <c r="K85" s="139">
        <f>+K81+K82-K83-K84</f>
        <v>267380.32512022107</v>
      </c>
      <c r="L85" s="138"/>
      <c r="M85" s="138"/>
      <c r="N85" s="138"/>
      <c r="O85" s="138"/>
      <c r="P85" s="138"/>
    </row>
    <row r="86" spans="2:16" ht="15">
      <c r="B86" s="112" t="s">
        <v>21</v>
      </c>
      <c r="C86" s="124" t="s">
        <v>80</v>
      </c>
      <c r="D86" s="112"/>
      <c r="E86" s="112"/>
      <c r="F86" s="112"/>
      <c r="G86" s="112"/>
      <c r="H86" s="112"/>
      <c r="I86" s="121"/>
      <c r="J86" s="140"/>
      <c r="K86" s="121">
        <v>15086.135074496269</v>
      </c>
      <c r="L86" s="112"/>
      <c r="M86" s="112"/>
      <c r="N86" s="112"/>
      <c r="O86" s="112"/>
      <c r="P86" s="112"/>
    </row>
    <row r="87" spans="2:16">
      <c r="B87" s="110" t="s">
        <v>64</v>
      </c>
      <c r="C87" s="110" t="s">
        <v>64</v>
      </c>
      <c r="D87" s="110"/>
      <c r="E87" s="110"/>
      <c r="F87" s="110"/>
      <c r="G87" s="110"/>
      <c r="H87" s="110"/>
      <c r="I87" s="111"/>
      <c r="J87" s="113"/>
      <c r="K87" s="113">
        <f>+K74+K75+K79+K80+K85+K86</f>
        <v>303788.65569947805</v>
      </c>
      <c r="L87" s="113" t="e">
        <f>+#REF!-#REF!</f>
        <v>#REF!</v>
      </c>
      <c r="M87" s="113" t="e">
        <f>+#REF!-#REF!</f>
        <v>#REF!</v>
      </c>
      <c r="N87" s="113" t="e">
        <f>+#REF!-#REF!</f>
        <v>#REF!</v>
      </c>
      <c r="O87" s="113" t="e">
        <f>+#REF!-#REF!</f>
        <v>#REF!</v>
      </c>
      <c r="P87" s="113" t="e">
        <f>+#REF!-#REF!</f>
        <v>#REF!</v>
      </c>
    </row>
    <row r="88" spans="2:16">
      <c r="B88" s="112"/>
      <c r="C88" s="112"/>
      <c r="D88" s="112"/>
      <c r="E88" s="112"/>
      <c r="F88" s="112"/>
      <c r="G88" s="112"/>
      <c r="H88" s="112"/>
      <c r="I88" s="112"/>
      <c r="J88" s="112"/>
      <c r="K88" s="121"/>
      <c r="L88" s="112"/>
      <c r="M88" s="112"/>
      <c r="N88" s="112"/>
      <c r="O88" s="112"/>
      <c r="P88" s="112"/>
    </row>
    <row r="89" spans="2:16">
      <c r="B89" s="442" t="s">
        <v>82</v>
      </c>
      <c r="C89" s="112" t="s">
        <v>83</v>
      </c>
      <c r="D89" s="112"/>
      <c r="E89" s="112"/>
      <c r="F89" s="112"/>
      <c r="G89" s="112"/>
      <c r="H89" s="112"/>
      <c r="I89" s="121"/>
      <c r="J89" s="112"/>
      <c r="K89" s="121">
        <v>1032.4929688125849</v>
      </c>
      <c r="L89" s="112"/>
      <c r="M89" s="112"/>
      <c r="N89" s="112"/>
      <c r="O89" s="112"/>
      <c r="P89" s="112"/>
    </row>
    <row r="90" spans="2:16">
      <c r="B90" s="442"/>
      <c r="C90" s="112" t="s">
        <v>87</v>
      </c>
      <c r="D90" s="112"/>
      <c r="E90" s="112"/>
      <c r="F90" s="112"/>
      <c r="G90" s="112"/>
      <c r="H90" s="112"/>
      <c r="I90" s="121"/>
      <c r="J90" s="112"/>
      <c r="K90" s="121">
        <v>43862.024162769318</v>
      </c>
      <c r="L90" s="112"/>
      <c r="M90" s="112"/>
      <c r="N90" s="112"/>
      <c r="O90" s="112"/>
      <c r="P90" s="112"/>
    </row>
    <row r="91" spans="2:16">
      <c r="B91" s="442"/>
      <c r="C91" s="112" t="s">
        <v>84</v>
      </c>
      <c r="D91" s="112"/>
      <c r="E91" s="112"/>
      <c r="F91" s="112"/>
      <c r="G91" s="112"/>
      <c r="H91" s="112"/>
      <c r="I91" s="121"/>
      <c r="J91" s="112"/>
      <c r="K91" s="121">
        <v>421682.454349518</v>
      </c>
      <c r="L91" s="112"/>
      <c r="M91" s="112"/>
      <c r="N91" s="112"/>
      <c r="O91" s="112"/>
      <c r="P91" s="112"/>
    </row>
    <row r="92" spans="2:16">
      <c r="B92" s="112" t="s">
        <v>86</v>
      </c>
      <c r="C92" s="112" t="s">
        <v>88</v>
      </c>
      <c r="D92" s="112"/>
      <c r="E92" s="112"/>
      <c r="F92" s="112"/>
      <c r="G92" s="112"/>
      <c r="H92" s="112"/>
      <c r="I92" s="121"/>
      <c r="J92" s="112"/>
      <c r="K92" s="121">
        <v>122453.65970063658</v>
      </c>
      <c r="L92" s="112"/>
      <c r="M92" s="112"/>
      <c r="N92" s="112"/>
      <c r="O92" s="112"/>
      <c r="P92" s="112"/>
    </row>
    <row r="93" spans="2:16">
      <c r="B93" s="442" t="s">
        <v>85</v>
      </c>
      <c r="C93" s="112" t="s">
        <v>65</v>
      </c>
      <c r="D93" s="112"/>
      <c r="E93" s="112"/>
      <c r="F93" s="112"/>
      <c r="G93" s="112"/>
      <c r="H93" s="112"/>
      <c r="I93" s="121"/>
      <c r="J93" s="112"/>
      <c r="K93" s="121">
        <v>62101.576821313611</v>
      </c>
      <c r="L93" s="112"/>
      <c r="M93" s="112"/>
      <c r="N93" s="112"/>
      <c r="O93" s="112"/>
      <c r="P93" s="112"/>
    </row>
    <row r="94" spans="2:16">
      <c r="B94" s="442"/>
      <c r="C94" s="112" t="s">
        <v>66</v>
      </c>
      <c r="D94" s="112"/>
      <c r="E94" s="112"/>
      <c r="F94" s="112"/>
      <c r="G94" s="112"/>
      <c r="H94" s="112"/>
      <c r="I94" s="121"/>
      <c r="J94" s="112"/>
      <c r="K94" s="121">
        <v>61463.83224773407</v>
      </c>
      <c r="L94" s="112"/>
      <c r="M94" s="112"/>
      <c r="N94" s="112"/>
      <c r="O94" s="112"/>
      <c r="P94" s="112"/>
    </row>
    <row r="95" spans="2:16">
      <c r="B95" s="443"/>
      <c r="C95" s="112" t="s">
        <v>68</v>
      </c>
      <c r="D95" s="112"/>
      <c r="E95" s="112"/>
      <c r="F95" s="112"/>
      <c r="G95" s="112"/>
      <c r="H95" s="112"/>
      <c r="I95" s="121"/>
      <c r="J95" s="112"/>
      <c r="K95" s="121">
        <v>74372.498108408763</v>
      </c>
      <c r="L95" s="112"/>
      <c r="M95" s="112"/>
      <c r="N95" s="112"/>
      <c r="O95" s="112"/>
      <c r="P95" s="112"/>
    </row>
    <row r="96" spans="2:16">
      <c r="B96" s="110" t="s">
        <v>67</v>
      </c>
      <c r="C96" s="110" t="s">
        <v>67</v>
      </c>
      <c r="D96" s="110"/>
      <c r="E96" s="110"/>
      <c r="F96" s="110"/>
      <c r="G96" s="110"/>
      <c r="H96" s="110"/>
      <c r="I96" s="111"/>
      <c r="J96" s="110"/>
      <c r="K96" s="113">
        <f t="shared" ref="K96:P96" si="21">+SUM(K89:K95)</f>
        <v>786968.5383591929</v>
      </c>
      <c r="L96" s="113">
        <f t="shared" si="21"/>
        <v>0</v>
      </c>
      <c r="M96" s="113">
        <f t="shared" si="21"/>
        <v>0</v>
      </c>
      <c r="N96" s="113">
        <f t="shared" si="21"/>
        <v>0</v>
      </c>
      <c r="O96" s="113">
        <f t="shared" si="21"/>
        <v>0</v>
      </c>
      <c r="P96" s="113">
        <f t="shared" si="21"/>
        <v>0</v>
      </c>
    </row>
    <row r="98" spans="9:10">
      <c r="I98" s="109">
        <f>+I96/1000</f>
        <v>0</v>
      </c>
    </row>
    <row r="100" spans="9:10">
      <c r="I100" s="18">
        <f>+I34</f>
        <v>192.73945322396784</v>
      </c>
    </row>
    <row r="107" spans="9:10">
      <c r="I107" s="109">
        <v>33164.132139999994</v>
      </c>
    </row>
    <row r="108" spans="9:10">
      <c r="I108" s="109">
        <v>33210.250880553096</v>
      </c>
      <c r="J108" s="109">
        <f>+I107-I108</f>
        <v>-46.118740553101816</v>
      </c>
    </row>
  </sheetData>
  <mergeCells count="4">
    <mergeCell ref="B76:B79"/>
    <mergeCell ref="B81:B85"/>
    <mergeCell ref="B89:B91"/>
    <mergeCell ref="B93:B95"/>
  </mergeCells>
  <printOptions horizontalCentered="1"/>
  <pageMargins left="0.39370078740157483" right="0.39370078740157483" top="1.3779527559055118" bottom="1" header="0" footer="0"/>
  <pageSetup paperSize="9" scale="51" orientation="landscape" horizontalDpi="4294967295" verticalDpi="4294967295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BD85-FBDB-42A9-9C1A-6F59E6A065DA}">
  <sheetPr codeName="Sheet4">
    <pageSetUpPr fitToPage="1"/>
  </sheetPr>
  <dimension ref="A1:IV108"/>
  <sheetViews>
    <sheetView view="pageBreakPreview" topLeftCell="A24" zoomScale="70" zoomScaleNormal="80" zoomScaleSheetLayoutView="70" workbookViewId="0">
      <pane xSplit="3" ySplit="3" topLeftCell="D27" activePane="bottomRight" state="frozen"/>
      <selection activeCell="C27" sqref="C27"/>
      <selection pane="topRight" activeCell="C27" sqref="C27"/>
      <selection pane="bottomLeft" activeCell="C27" sqref="C27"/>
      <selection pane="bottomRight" activeCell="C27" sqref="C27"/>
    </sheetView>
  </sheetViews>
  <sheetFormatPr baseColWidth="10" defaultColWidth="9" defaultRowHeight="14.25"/>
  <cols>
    <col min="1" max="1" width="3" style="3" customWidth="1"/>
    <col min="2" max="2" width="15.140625" style="3" customWidth="1"/>
    <col min="3" max="3" width="41.5703125" style="3" bestFit="1" customWidth="1"/>
    <col min="4" max="5" width="18.7109375" style="3" customWidth="1"/>
    <col min="6" max="6" width="15.42578125" style="3" bestFit="1" customWidth="1"/>
    <col min="7" max="7" width="23.5703125" style="3" customWidth="1"/>
    <col min="8" max="8" width="18.7109375" style="3" bestFit="1" customWidth="1"/>
    <col min="9" max="10" width="18.7109375" style="3" customWidth="1"/>
    <col min="11" max="11" width="14.85546875" style="3" customWidth="1"/>
    <col min="12" max="12" width="18.7109375" style="3" bestFit="1" customWidth="1"/>
    <col min="13" max="13" width="18.7109375" style="3" customWidth="1"/>
    <col min="14" max="14" width="20.140625" style="3" bestFit="1" customWidth="1"/>
    <col min="15" max="15" width="18.42578125" style="3" customWidth="1"/>
    <col min="16" max="16" width="21.85546875" style="3" customWidth="1"/>
    <col min="17" max="17" width="13.28515625" style="3" customWidth="1"/>
    <col min="18" max="18" width="15.7109375" style="3" customWidth="1"/>
    <col min="19" max="16384" width="9" style="3"/>
  </cols>
  <sheetData>
    <row r="1" spans="3:16" hidden="1"/>
    <row r="2" spans="3:16" hidden="1"/>
    <row r="3" spans="3:16" ht="15" hidden="1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3:16" ht="15" hidden="1">
      <c r="C4" s="1" t="s">
        <v>61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3:16" hidden="1"/>
    <row r="6" spans="3:16" ht="15.75" hidden="1" thickTop="1">
      <c r="C6" s="4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6" t="s">
        <v>13</v>
      </c>
      <c r="P6" s="7" t="s">
        <v>14</v>
      </c>
    </row>
    <row r="7" spans="3:16" ht="15" hidden="1">
      <c r="C7" s="8" t="s">
        <v>15</v>
      </c>
      <c r="D7" s="9"/>
      <c r="E7" s="9"/>
      <c r="F7" s="10"/>
      <c r="G7" s="10"/>
      <c r="H7" s="10"/>
      <c r="I7" s="10"/>
      <c r="J7" s="10"/>
      <c r="K7" s="11"/>
      <c r="L7" s="10"/>
      <c r="M7" s="10"/>
      <c r="N7" s="10"/>
      <c r="O7" s="12"/>
      <c r="P7" s="13"/>
    </row>
    <row r="8" spans="3:16" hidden="1">
      <c r="C8" s="14" t="s">
        <v>16</v>
      </c>
      <c r="D8" s="41">
        <v>1131.6971148209116</v>
      </c>
      <c r="E8" s="41"/>
      <c r="F8" s="42"/>
      <c r="G8" s="42"/>
      <c r="H8" s="42"/>
      <c r="I8" s="42"/>
      <c r="J8" s="42"/>
      <c r="K8" s="43"/>
      <c r="L8" s="42"/>
      <c r="M8" s="42"/>
      <c r="N8" s="42"/>
      <c r="O8" s="44"/>
      <c r="P8" s="45">
        <f t="shared" ref="P8:P14" si="0">+SUM(D8:O8)</f>
        <v>1131.6971148209116</v>
      </c>
    </row>
    <row r="9" spans="3:16" hidden="1">
      <c r="C9" s="14" t="s">
        <v>17</v>
      </c>
      <c r="D9" s="41">
        <v>404.734522462212</v>
      </c>
      <c r="E9" s="41"/>
      <c r="F9" s="42"/>
      <c r="G9" s="42"/>
      <c r="H9" s="42"/>
      <c r="I9" s="42"/>
      <c r="J9" s="42"/>
      <c r="K9" s="43"/>
      <c r="L9" s="42"/>
      <c r="M9" s="42"/>
      <c r="N9" s="42"/>
      <c r="O9" s="44"/>
      <c r="P9" s="45">
        <f t="shared" si="0"/>
        <v>404.734522462212</v>
      </c>
    </row>
    <row r="10" spans="3:16" hidden="1">
      <c r="C10" s="14" t="s">
        <v>18</v>
      </c>
      <c r="D10" s="41">
        <v>3164.3521362183096</v>
      </c>
      <c r="E10" s="41"/>
      <c r="F10" s="42"/>
      <c r="G10" s="42"/>
      <c r="H10" s="42"/>
      <c r="I10" s="42"/>
      <c r="J10" s="42"/>
      <c r="K10" s="43"/>
      <c r="L10" s="42"/>
      <c r="M10" s="42"/>
      <c r="N10" s="42"/>
      <c r="O10" s="44"/>
      <c r="P10" s="45">
        <f t="shared" si="0"/>
        <v>3164.3521362183096</v>
      </c>
    </row>
    <row r="11" spans="3:16" hidden="1">
      <c r="C11" s="14" t="s">
        <v>19</v>
      </c>
      <c r="D11" s="41">
        <v>7358.1596698372414</v>
      </c>
      <c r="E11" s="41"/>
      <c r="F11" s="42"/>
      <c r="G11" s="42"/>
      <c r="H11" s="42"/>
      <c r="I11" s="42"/>
      <c r="J11" s="42"/>
      <c r="K11" s="43"/>
      <c r="L11" s="42"/>
      <c r="M11" s="42"/>
      <c r="N11" s="42"/>
      <c r="O11" s="44"/>
      <c r="P11" s="45">
        <f t="shared" si="0"/>
        <v>7358.1596698372414</v>
      </c>
    </row>
    <row r="12" spans="3:16" hidden="1">
      <c r="C12" s="14" t="s">
        <v>20</v>
      </c>
      <c r="D12" s="41">
        <v>44993.962609077455</v>
      </c>
      <c r="E12" s="41"/>
      <c r="F12" s="42"/>
      <c r="G12" s="42"/>
      <c r="H12" s="42"/>
      <c r="I12" s="42"/>
      <c r="J12" s="42"/>
      <c r="K12" s="43"/>
      <c r="L12" s="42"/>
      <c r="M12" s="42"/>
      <c r="N12" s="42"/>
      <c r="O12" s="44"/>
      <c r="P12" s="45">
        <f t="shared" si="0"/>
        <v>44993.962609077455</v>
      </c>
    </row>
    <row r="13" spans="3:16" hidden="1">
      <c r="C13" s="14" t="s">
        <v>21</v>
      </c>
      <c r="D13" s="41">
        <v>4089.3768671579624</v>
      </c>
      <c r="E13" s="41"/>
      <c r="F13" s="42"/>
      <c r="G13" s="42"/>
      <c r="H13" s="42"/>
      <c r="I13" s="42"/>
      <c r="J13" s="42"/>
      <c r="K13" s="43"/>
      <c r="L13" s="42"/>
      <c r="M13" s="42"/>
      <c r="N13" s="42"/>
      <c r="O13" s="44"/>
      <c r="P13" s="45">
        <f t="shared" si="0"/>
        <v>4089.3768671579624</v>
      </c>
    </row>
    <row r="14" spans="3:16" ht="15" hidden="1">
      <c r="C14" s="15" t="s">
        <v>22</v>
      </c>
      <c r="D14" s="46">
        <f t="shared" ref="D14:O14" si="1">SUM(D8:D13)</f>
        <v>61142.282919574092</v>
      </c>
      <c r="E14" s="46">
        <f t="shared" si="1"/>
        <v>0</v>
      </c>
      <c r="F14" s="46">
        <f t="shared" si="1"/>
        <v>0</v>
      </c>
      <c r="G14" s="46">
        <f t="shared" si="1"/>
        <v>0</v>
      </c>
      <c r="H14" s="46">
        <f t="shared" si="1"/>
        <v>0</v>
      </c>
      <c r="I14" s="46">
        <f t="shared" si="1"/>
        <v>0</v>
      </c>
      <c r="J14" s="46">
        <f t="shared" si="1"/>
        <v>0</v>
      </c>
      <c r="K14" s="46">
        <f t="shared" si="1"/>
        <v>0</v>
      </c>
      <c r="L14" s="46">
        <f t="shared" si="1"/>
        <v>0</v>
      </c>
      <c r="M14" s="46">
        <f t="shared" si="1"/>
        <v>0</v>
      </c>
      <c r="N14" s="46">
        <f t="shared" si="1"/>
        <v>0</v>
      </c>
      <c r="O14" s="47">
        <f t="shared" si="1"/>
        <v>0</v>
      </c>
      <c r="P14" s="48">
        <f t="shared" si="0"/>
        <v>61142.282919574092</v>
      </c>
    </row>
    <row r="15" spans="3:16" ht="15" hidden="1">
      <c r="C15" s="8" t="s">
        <v>23</v>
      </c>
      <c r="D15" s="16"/>
      <c r="E15" s="16"/>
      <c r="F15" s="17"/>
      <c r="G15" s="17"/>
      <c r="H15" s="17"/>
      <c r="I15" s="17"/>
      <c r="J15" s="17"/>
      <c r="K15" s="18"/>
      <c r="L15" s="42"/>
      <c r="M15" s="42"/>
      <c r="N15" s="42"/>
      <c r="O15" s="44"/>
      <c r="P15" s="19"/>
    </row>
    <row r="16" spans="3:16" hidden="1">
      <c r="C16" s="20" t="s">
        <v>24</v>
      </c>
      <c r="D16" s="41">
        <v>0</v>
      </c>
      <c r="E16" s="41"/>
      <c r="F16" s="42"/>
      <c r="G16" s="42"/>
      <c r="H16" s="42"/>
      <c r="I16" s="42"/>
      <c r="J16" s="42"/>
      <c r="K16" s="43"/>
      <c r="L16" s="42"/>
      <c r="M16" s="42"/>
      <c r="N16" s="42"/>
      <c r="O16" s="44"/>
      <c r="P16" s="45">
        <f t="shared" ref="P16:P22" si="2">+SUM(D16:O16)</f>
        <v>0</v>
      </c>
    </row>
    <row r="17" spans="3:18" hidden="1">
      <c r="C17" s="14" t="s">
        <v>25</v>
      </c>
      <c r="D17" s="41">
        <v>11.521423099517822</v>
      </c>
      <c r="E17" s="41"/>
      <c r="F17" s="42"/>
      <c r="G17" s="42"/>
      <c r="H17" s="42"/>
      <c r="I17" s="42"/>
      <c r="J17" s="42"/>
      <c r="K17" s="43"/>
      <c r="L17" s="42"/>
      <c r="M17" s="42"/>
      <c r="N17" s="42"/>
      <c r="O17" s="44"/>
      <c r="P17" s="45">
        <f t="shared" si="2"/>
        <v>11.521423099517822</v>
      </c>
    </row>
    <row r="18" spans="3:18" hidden="1">
      <c r="C18" s="20" t="s">
        <v>26</v>
      </c>
      <c r="D18" s="41">
        <v>701.38252152369171</v>
      </c>
      <c r="E18" s="41"/>
      <c r="F18" s="42"/>
      <c r="G18" s="42"/>
      <c r="H18" s="42"/>
      <c r="I18" s="42"/>
      <c r="J18" s="42"/>
      <c r="K18" s="43"/>
      <c r="L18" s="42"/>
      <c r="M18" s="42"/>
      <c r="N18" s="42"/>
      <c r="O18" s="44"/>
      <c r="P18" s="45">
        <f t="shared" si="2"/>
        <v>701.38252152369171</v>
      </c>
      <c r="Q18" s="21"/>
    </row>
    <row r="19" spans="3:18" hidden="1">
      <c r="C19" s="20" t="s">
        <v>27</v>
      </c>
      <c r="D19" s="41">
        <v>1338.8287362799645</v>
      </c>
      <c r="E19" s="41"/>
      <c r="F19" s="42"/>
      <c r="G19" s="42"/>
      <c r="H19" s="42"/>
      <c r="I19" s="42"/>
      <c r="J19" s="42"/>
      <c r="K19" s="43"/>
      <c r="L19" s="42"/>
      <c r="M19" s="42"/>
      <c r="N19" s="42"/>
      <c r="O19" s="44"/>
      <c r="P19" s="45">
        <f t="shared" si="2"/>
        <v>1338.8287362799645</v>
      </c>
      <c r="Q19" s="21"/>
    </row>
    <row r="20" spans="3:18" hidden="1">
      <c r="C20" s="40" t="s">
        <v>46</v>
      </c>
      <c r="D20" s="41">
        <v>35832.494704200879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3"/>
      <c r="P20" s="45">
        <f t="shared" si="2"/>
        <v>35832.494704200879</v>
      </c>
      <c r="Q20" s="21"/>
    </row>
    <row r="21" spans="3:18" ht="15" hidden="1">
      <c r="C21" s="15" t="s">
        <v>28</v>
      </c>
      <c r="D21" s="46">
        <f t="shared" ref="D21:O21" si="3">SUM(D16:D20)</f>
        <v>37884.227385104052</v>
      </c>
      <c r="E21" s="46">
        <f t="shared" si="3"/>
        <v>0</v>
      </c>
      <c r="F21" s="46">
        <f t="shared" si="3"/>
        <v>0</v>
      </c>
      <c r="G21" s="46">
        <f t="shared" si="3"/>
        <v>0</v>
      </c>
      <c r="H21" s="46">
        <f t="shared" si="3"/>
        <v>0</v>
      </c>
      <c r="I21" s="46">
        <f t="shared" si="3"/>
        <v>0</v>
      </c>
      <c r="J21" s="46">
        <f t="shared" si="3"/>
        <v>0</v>
      </c>
      <c r="K21" s="46">
        <f t="shared" si="3"/>
        <v>0</v>
      </c>
      <c r="L21" s="46">
        <f t="shared" si="3"/>
        <v>0</v>
      </c>
      <c r="M21" s="46">
        <f t="shared" si="3"/>
        <v>0</v>
      </c>
      <c r="N21" s="46">
        <f t="shared" si="3"/>
        <v>0</v>
      </c>
      <c r="O21" s="47">
        <f t="shared" si="3"/>
        <v>0</v>
      </c>
      <c r="P21" s="48">
        <f t="shared" si="2"/>
        <v>37884.227385104052</v>
      </c>
    </row>
    <row r="22" spans="3:18" ht="15.75" hidden="1" thickBot="1">
      <c r="C22" s="22" t="s">
        <v>29</v>
      </c>
      <c r="D22" s="49">
        <f t="shared" ref="D22:O22" si="4">+D14+D21</f>
        <v>99026.510304678144</v>
      </c>
      <c r="E22" s="49">
        <f t="shared" si="4"/>
        <v>0</v>
      </c>
      <c r="F22" s="49">
        <f t="shared" si="4"/>
        <v>0</v>
      </c>
      <c r="G22" s="49">
        <f t="shared" si="4"/>
        <v>0</v>
      </c>
      <c r="H22" s="49">
        <f t="shared" si="4"/>
        <v>0</v>
      </c>
      <c r="I22" s="49">
        <f t="shared" si="4"/>
        <v>0</v>
      </c>
      <c r="J22" s="49">
        <f t="shared" si="4"/>
        <v>0</v>
      </c>
      <c r="K22" s="49">
        <f t="shared" si="4"/>
        <v>0</v>
      </c>
      <c r="L22" s="49">
        <f t="shared" si="4"/>
        <v>0</v>
      </c>
      <c r="M22" s="49">
        <f t="shared" si="4"/>
        <v>0</v>
      </c>
      <c r="N22" s="49">
        <f t="shared" si="4"/>
        <v>0</v>
      </c>
      <c r="O22" s="50">
        <f t="shared" si="4"/>
        <v>0</v>
      </c>
      <c r="P22" s="51">
        <f t="shared" si="2"/>
        <v>99026.510304678144</v>
      </c>
    </row>
    <row r="23" spans="3:18" ht="15" hidden="1" customHeight="1" thickTop="1">
      <c r="Q23" s="3">
        <v>1000</v>
      </c>
    </row>
    <row r="24" spans="3:18" ht="15">
      <c r="C24" s="1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3:18" ht="15" thickBot="1"/>
    <row r="26" spans="3:18" ht="15.75" thickTop="1">
      <c r="C26" s="29" t="s">
        <v>30</v>
      </c>
      <c r="D26" s="30" t="s">
        <v>2</v>
      </c>
      <c r="E26" s="31" t="s">
        <v>3</v>
      </c>
      <c r="F26" s="31" t="s">
        <v>4</v>
      </c>
      <c r="G26" s="31" t="s">
        <v>5</v>
      </c>
      <c r="H26" s="31" t="s">
        <v>6</v>
      </c>
      <c r="I26" s="31" t="s">
        <v>7</v>
      </c>
      <c r="J26" s="31" t="s">
        <v>8</v>
      </c>
      <c r="K26" s="31" t="s">
        <v>9</v>
      </c>
      <c r="L26" s="31" t="s">
        <v>10</v>
      </c>
      <c r="M26" s="31" t="s">
        <v>11</v>
      </c>
      <c r="N26" s="31" t="s">
        <v>12</v>
      </c>
      <c r="O26" s="32" t="s">
        <v>13</v>
      </c>
      <c r="P26" s="33" t="s">
        <v>14</v>
      </c>
    </row>
    <row r="27" spans="3:18" ht="15">
      <c r="C27" s="23" t="s">
        <v>31</v>
      </c>
      <c r="D27" s="152">
        <f t="shared" ref="D27:O27" si="5">+D28+D29</f>
        <v>116590.34011497381</v>
      </c>
      <c r="E27" s="153">
        <f t="shared" si="5"/>
        <v>102739.2984992072</v>
      </c>
      <c r="F27" s="154">
        <f t="shared" si="5"/>
        <v>115111.36833162002</v>
      </c>
      <c r="G27" s="154">
        <f t="shared" si="5"/>
        <v>86446.7888491021</v>
      </c>
      <c r="H27" s="154">
        <f t="shared" si="5"/>
        <v>73820.185504576628</v>
      </c>
      <c r="I27" s="154">
        <f t="shared" si="5"/>
        <v>70980.623729870495</v>
      </c>
      <c r="J27" s="141">
        <f t="shared" si="5"/>
        <v>75723.572991480818</v>
      </c>
      <c r="K27" s="154">
        <f t="shared" si="5"/>
        <v>75196.365572417912</v>
      </c>
      <c r="L27" s="154">
        <f t="shared" si="5"/>
        <v>70811.768303133897</v>
      </c>
      <c r="M27" s="154">
        <f t="shared" si="5"/>
        <v>80122.485692376504</v>
      </c>
      <c r="N27" s="154">
        <f t="shared" si="5"/>
        <v>82960.242751254496</v>
      </c>
      <c r="O27" s="155">
        <f t="shared" si="5"/>
        <v>91081.006936696518</v>
      </c>
      <c r="P27" s="156">
        <f>SUM(D27:O27)</f>
        <v>1041584.0472767104</v>
      </c>
      <c r="R27" s="18"/>
    </row>
    <row r="28" spans="3:18">
      <c r="C28" s="24" t="s">
        <v>32</v>
      </c>
      <c r="D28" s="157">
        <v>89076.605471086194</v>
      </c>
      <c r="E28" s="121">
        <v>91831.452207269569</v>
      </c>
      <c r="F28" s="121">
        <v>108580.26092508776</v>
      </c>
      <c r="G28" s="121">
        <v>82397.809313021266</v>
      </c>
      <c r="H28" s="121">
        <v>67084.678381771839</v>
      </c>
      <c r="I28" s="121">
        <v>67034.987540106478</v>
      </c>
      <c r="J28" s="121">
        <v>74143.987693792267</v>
      </c>
      <c r="K28" s="121">
        <v>73728.608470644642</v>
      </c>
      <c r="L28" s="121">
        <v>70018.54223898628</v>
      </c>
      <c r="M28" s="121">
        <v>78763.008259738999</v>
      </c>
      <c r="N28" s="121">
        <f>74636334.9403163/1000</f>
        <v>74636.334940316301</v>
      </c>
      <c r="O28" s="121">
        <v>78264.530889224043</v>
      </c>
      <c r="P28" s="158">
        <f t="shared" ref="P28:P57" si="6">SUM(D28:O28)</f>
        <v>955560.80633104558</v>
      </c>
      <c r="R28" s="18"/>
    </row>
    <row r="29" spans="3:18">
      <c r="C29" s="25" t="s">
        <v>33</v>
      </c>
      <c r="D29" s="159">
        <v>27513.734643887612</v>
      </c>
      <c r="E29" s="160">
        <v>10907.846291937627</v>
      </c>
      <c r="F29" s="160">
        <v>6531.1074065322582</v>
      </c>
      <c r="G29" s="160">
        <v>4048.9795360808389</v>
      </c>
      <c r="H29" s="160">
        <v>6735.5071228047909</v>
      </c>
      <c r="I29" s="160">
        <v>3945.6361897640227</v>
      </c>
      <c r="J29" s="160">
        <v>1579.5852976885576</v>
      </c>
      <c r="K29" s="160">
        <v>1467.7571017732648</v>
      </c>
      <c r="L29" s="160">
        <v>793.22606414761776</v>
      </c>
      <c r="M29" s="160">
        <v>1359.4774326375104</v>
      </c>
      <c r="N29" s="160">
        <f>8323907.8109382/1000</f>
        <v>8323.9078109382008</v>
      </c>
      <c r="O29" s="160">
        <v>12816.476047472481</v>
      </c>
      <c r="P29" s="161">
        <f t="shared" si="6"/>
        <v>86023.240945664773</v>
      </c>
      <c r="R29" s="18"/>
    </row>
    <row r="30" spans="3:18" ht="15">
      <c r="C30" s="23" t="s">
        <v>34</v>
      </c>
      <c r="D30" s="162">
        <f t="shared" ref="D30:O30" si="7">+D31</f>
        <v>0</v>
      </c>
      <c r="E30" s="141">
        <f t="shared" si="7"/>
        <v>0</v>
      </c>
      <c r="F30" s="141">
        <f t="shared" si="7"/>
        <v>0</v>
      </c>
      <c r="G30" s="141">
        <f t="shared" si="7"/>
        <v>0</v>
      </c>
      <c r="H30" s="154">
        <f t="shared" si="7"/>
        <v>0</v>
      </c>
      <c r="I30" s="154">
        <f t="shared" si="7"/>
        <v>0</v>
      </c>
      <c r="J30" s="141">
        <f t="shared" si="7"/>
        <v>4111.8636101969005</v>
      </c>
      <c r="K30" s="141">
        <f t="shared" si="7"/>
        <v>1905.4540713962001</v>
      </c>
      <c r="L30" s="141">
        <f t="shared" si="7"/>
        <v>0</v>
      </c>
      <c r="M30" s="141">
        <f t="shared" si="7"/>
        <v>1662.0305691945</v>
      </c>
      <c r="N30" s="141">
        <f t="shared" si="7"/>
        <v>0</v>
      </c>
      <c r="O30" s="155">
        <f t="shared" si="7"/>
        <v>0</v>
      </c>
      <c r="P30" s="156">
        <f t="shared" si="6"/>
        <v>7679.3482507875997</v>
      </c>
      <c r="R30" s="18"/>
    </row>
    <row r="31" spans="3:18">
      <c r="C31" s="24" t="s">
        <v>41</v>
      </c>
      <c r="D31" s="163">
        <v>0</v>
      </c>
      <c r="E31" s="164">
        <v>0</v>
      </c>
      <c r="F31" s="164">
        <v>0</v>
      </c>
      <c r="G31" s="164">
        <v>0</v>
      </c>
      <c r="H31" s="121">
        <v>0</v>
      </c>
      <c r="I31" s="121">
        <v>0</v>
      </c>
      <c r="J31" s="116">
        <v>4111.8636101969005</v>
      </c>
      <c r="K31" s="116">
        <v>1905.4540713962001</v>
      </c>
      <c r="L31" s="116">
        <v>0</v>
      </c>
      <c r="M31" s="116">
        <v>1662.0305691945</v>
      </c>
      <c r="N31" s="116">
        <v>0</v>
      </c>
      <c r="O31" s="165"/>
      <c r="P31" s="158">
        <f t="shared" si="6"/>
        <v>7679.3482507875997</v>
      </c>
      <c r="R31" s="18"/>
    </row>
    <row r="32" spans="3:18" ht="15">
      <c r="C32" s="23" t="s">
        <v>35</v>
      </c>
      <c r="D32" s="152">
        <f>+D33+D34</f>
        <v>425.41875159954196</v>
      </c>
      <c r="E32" s="154">
        <f t="shared" ref="E32:O32" si="8">+E33+E34</f>
        <v>392.1048405559568</v>
      </c>
      <c r="F32" s="154">
        <f t="shared" si="8"/>
        <v>367.90234176099398</v>
      </c>
      <c r="G32" s="154">
        <f t="shared" si="8"/>
        <v>330.86296204615644</v>
      </c>
      <c r="H32" s="154">
        <f t="shared" si="8"/>
        <v>332.21454926909001</v>
      </c>
      <c r="I32" s="154">
        <f t="shared" si="8"/>
        <v>497.07395891947101</v>
      </c>
      <c r="J32" s="154">
        <f t="shared" si="8"/>
        <v>461.6601876705534</v>
      </c>
      <c r="K32" s="154">
        <f t="shared" si="8"/>
        <v>319.34972072250991</v>
      </c>
      <c r="L32" s="154">
        <f t="shared" si="8"/>
        <v>302.32378722556319</v>
      </c>
      <c r="M32" s="154">
        <f t="shared" si="8"/>
        <v>311.45074504138222</v>
      </c>
      <c r="N32" s="154">
        <f t="shared" si="8"/>
        <v>329.91676006962211</v>
      </c>
      <c r="O32" s="166">
        <f t="shared" si="8"/>
        <v>321.19503839440415</v>
      </c>
      <c r="P32" s="156">
        <f t="shared" si="6"/>
        <v>4391.4736432752452</v>
      </c>
      <c r="R32" s="18"/>
    </row>
    <row r="33" spans="2:20">
      <c r="C33" s="24" t="s">
        <v>32</v>
      </c>
      <c r="D33" s="163">
        <v>319.19512285443824</v>
      </c>
      <c r="E33" s="116">
        <v>304.26569136008214</v>
      </c>
      <c r="F33" s="116">
        <v>343.00387522286979</v>
      </c>
      <c r="G33" s="116">
        <v>314.31736468000537</v>
      </c>
      <c r="H33" s="116">
        <v>304.53581959973212</v>
      </c>
      <c r="I33" s="116">
        <v>304.3345056955032</v>
      </c>
      <c r="J33" s="116">
        <v>310.33158670738032</v>
      </c>
      <c r="K33" s="116">
        <v>302.59469708083361</v>
      </c>
      <c r="L33" s="116">
        <v>299.11276273125043</v>
      </c>
      <c r="M33" s="116">
        <v>307.57254327107569</v>
      </c>
      <c r="N33" s="116">
        <v>295.35651057060284</v>
      </c>
      <c r="O33" s="165">
        <f>289.454726041317-5.79740113270283</f>
        <v>283.65732490861416</v>
      </c>
      <c r="P33" s="158">
        <f t="shared" si="6"/>
        <v>3688.2778046823878</v>
      </c>
      <c r="R33" s="18"/>
    </row>
    <row r="34" spans="2:20">
      <c r="C34" s="26" t="s">
        <v>33</v>
      </c>
      <c r="D34" s="167">
        <v>106.22362874510372</v>
      </c>
      <c r="E34" s="164">
        <v>87.839149195874683</v>
      </c>
      <c r="F34" s="164">
        <v>24.898466538124179</v>
      </c>
      <c r="G34" s="164">
        <v>16.545597366151082</v>
      </c>
      <c r="H34" s="164">
        <v>27.678729669357885</v>
      </c>
      <c r="I34" s="164">
        <v>192.73945322396784</v>
      </c>
      <c r="J34" s="164">
        <v>151.32860096317307</v>
      </c>
      <c r="K34" s="164">
        <v>16.755023641676328</v>
      </c>
      <c r="L34" s="164">
        <v>3.2110244943127806</v>
      </c>
      <c r="M34" s="116">
        <v>3.8782017703065383</v>
      </c>
      <c r="N34" s="164">
        <v>34.560249499019292</v>
      </c>
      <c r="O34" s="182">
        <v>37.537713485790022</v>
      </c>
      <c r="P34" s="161">
        <f t="shared" si="6"/>
        <v>703.19583859285751</v>
      </c>
      <c r="R34" s="18"/>
    </row>
    <row r="35" spans="2:20" ht="15">
      <c r="C35" s="27" t="s">
        <v>36</v>
      </c>
      <c r="D35" s="168">
        <f t="shared" ref="D35:O35" si="9">+D36+D37</f>
        <v>1513.9179833742674</v>
      </c>
      <c r="E35" s="140">
        <f t="shared" si="9"/>
        <v>1308.8408881651558</v>
      </c>
      <c r="F35" s="140">
        <f t="shared" si="9"/>
        <v>895.09963163155771</v>
      </c>
      <c r="G35" s="140">
        <f t="shared" si="9"/>
        <v>1267.1498050331429</v>
      </c>
      <c r="H35" s="140">
        <f t="shared" si="9"/>
        <v>1122.7229007619462</v>
      </c>
      <c r="I35" s="140">
        <f t="shared" si="9"/>
        <v>881.15667215232679</v>
      </c>
      <c r="J35" s="142">
        <f t="shared" si="9"/>
        <v>503.5193174254382</v>
      </c>
      <c r="K35" s="142">
        <f t="shared" si="9"/>
        <v>946.3839204301039</v>
      </c>
      <c r="L35" s="142">
        <f t="shared" si="9"/>
        <v>901.21441103682446</v>
      </c>
      <c r="M35" s="141">
        <f t="shared" si="9"/>
        <v>2092.1925281926233</v>
      </c>
      <c r="N35" s="142">
        <f t="shared" si="9"/>
        <v>2442.9301351801696</v>
      </c>
      <c r="O35" s="148">
        <f t="shared" si="9"/>
        <v>1105.1253654410393</v>
      </c>
      <c r="P35" s="169">
        <f t="shared" si="6"/>
        <v>14980.253558824596</v>
      </c>
      <c r="R35" s="18"/>
    </row>
    <row r="36" spans="2:20">
      <c r="C36" s="24" t="s">
        <v>37</v>
      </c>
      <c r="D36" s="163">
        <v>605.56719334970694</v>
      </c>
      <c r="E36" s="116">
        <v>523.53635526606229</v>
      </c>
      <c r="F36" s="116">
        <v>358.0398526526231</v>
      </c>
      <c r="G36" s="116">
        <v>506.85992201325718</v>
      </c>
      <c r="H36" s="116">
        <v>449.08916030477849</v>
      </c>
      <c r="I36" s="116">
        <v>352.46266886093076</v>
      </c>
      <c r="J36" s="116">
        <v>201.4077269701753</v>
      </c>
      <c r="K36" s="116">
        <v>378.55356817204159</v>
      </c>
      <c r="L36" s="116">
        <v>360.48576441472983</v>
      </c>
      <c r="M36" s="116">
        <v>836.87701127704941</v>
      </c>
      <c r="N36" s="116">
        <v>977.17205407206791</v>
      </c>
      <c r="O36" s="116">
        <v>442.05014617641575</v>
      </c>
      <c r="P36" s="158">
        <f t="shared" si="6"/>
        <v>5992.101423529838</v>
      </c>
      <c r="R36" s="18"/>
      <c r="T36" s="18"/>
    </row>
    <row r="37" spans="2:20">
      <c r="C37" s="24" t="s">
        <v>38</v>
      </c>
      <c r="D37" s="163">
        <v>908.35079002456041</v>
      </c>
      <c r="E37" s="116">
        <v>785.30453289909349</v>
      </c>
      <c r="F37" s="116">
        <v>537.05977897893456</v>
      </c>
      <c r="G37" s="116">
        <v>760.28988301988568</v>
      </c>
      <c r="H37" s="116">
        <v>673.63374045716773</v>
      </c>
      <c r="I37" s="116">
        <v>528.69400329139603</v>
      </c>
      <c r="J37" s="116">
        <v>302.1115904552629</v>
      </c>
      <c r="K37" s="164">
        <v>567.83035225806236</v>
      </c>
      <c r="L37" s="164">
        <v>540.72864662209463</v>
      </c>
      <c r="M37" s="164">
        <v>1255.3155169155739</v>
      </c>
      <c r="N37" s="164">
        <v>1465.7580811081018</v>
      </c>
      <c r="O37" s="164">
        <v>663.07521926462357</v>
      </c>
      <c r="P37" s="158">
        <f t="shared" si="6"/>
        <v>8988.1521352947566</v>
      </c>
      <c r="S37" s="18"/>
      <c r="T37" s="18"/>
    </row>
    <row r="38" spans="2:20" ht="15">
      <c r="B38" s="145"/>
      <c r="C38" s="34" t="s">
        <v>39</v>
      </c>
      <c r="D38" s="170">
        <f t="shared" ref="D38:O38" si="10">+D27+D30-D32-D35</f>
        <v>114651.00337999999</v>
      </c>
      <c r="E38" s="146">
        <f t="shared" si="10"/>
        <v>101038.35277048609</v>
      </c>
      <c r="F38" s="146">
        <f t="shared" si="10"/>
        <v>113848.36635822746</v>
      </c>
      <c r="G38" s="146">
        <f t="shared" si="10"/>
        <v>84848.7760820228</v>
      </c>
      <c r="H38" s="146">
        <f t="shared" si="10"/>
        <v>72365.248054545591</v>
      </c>
      <c r="I38" s="146">
        <f t="shared" si="10"/>
        <v>69602.393098798697</v>
      </c>
      <c r="J38" s="146">
        <f t="shared" si="10"/>
        <v>78870.257096581729</v>
      </c>
      <c r="K38" s="146">
        <f t="shared" si="10"/>
        <v>75836.086002661497</v>
      </c>
      <c r="L38" s="146">
        <f t="shared" si="10"/>
        <v>69608.230104871502</v>
      </c>
      <c r="M38" s="146">
        <f t="shared" si="10"/>
        <v>79380.872988336996</v>
      </c>
      <c r="N38" s="146">
        <f t="shared" si="10"/>
        <v>80187.395856004703</v>
      </c>
      <c r="O38" s="171">
        <f t="shared" si="10"/>
        <v>89654.686532861073</v>
      </c>
      <c r="P38" s="172">
        <f t="shared" si="6"/>
        <v>1029891.6683253981</v>
      </c>
      <c r="R38" s="18"/>
    </row>
    <row r="39" spans="2:20" ht="15">
      <c r="C39" s="34" t="s">
        <v>40</v>
      </c>
      <c r="D39" s="170">
        <f t="shared" ref="D39:O39" si="11">+D40+D43+D54</f>
        <v>114651.00337999999</v>
      </c>
      <c r="E39" s="146">
        <f t="shared" si="11"/>
        <v>101038.35277048609</v>
      </c>
      <c r="F39" s="146">
        <f t="shared" si="11"/>
        <v>113848.36635822746</v>
      </c>
      <c r="G39" s="146">
        <f t="shared" si="11"/>
        <v>84848.7760820228</v>
      </c>
      <c r="H39" s="146">
        <f t="shared" si="11"/>
        <v>72365.248054545591</v>
      </c>
      <c r="I39" s="146">
        <f t="shared" si="11"/>
        <v>69602.393098798697</v>
      </c>
      <c r="J39" s="146">
        <f t="shared" si="11"/>
        <v>78870.257096595727</v>
      </c>
      <c r="K39" s="146">
        <f t="shared" si="11"/>
        <v>75836.086002661497</v>
      </c>
      <c r="L39" s="146">
        <f t="shared" si="11"/>
        <v>69608.230104871502</v>
      </c>
      <c r="M39" s="146">
        <f t="shared" si="11"/>
        <v>79380.872988336996</v>
      </c>
      <c r="N39" s="146">
        <f t="shared" si="11"/>
        <v>80187.395856004703</v>
      </c>
      <c r="O39" s="171">
        <f t="shared" si="11"/>
        <v>89654.686532861073</v>
      </c>
      <c r="P39" s="172">
        <f t="shared" si="6"/>
        <v>1029891.6683254121</v>
      </c>
      <c r="R39" s="18"/>
    </row>
    <row r="40" spans="2:20" ht="15">
      <c r="C40" s="27" t="s">
        <v>44</v>
      </c>
      <c r="D40" s="149">
        <f>+D41+D42</f>
        <v>56927.839999999997</v>
      </c>
      <c r="E40" s="142">
        <f>+E41+E42</f>
        <v>46159.397980486101</v>
      </c>
      <c r="F40" s="142">
        <f>+F41+F42</f>
        <v>55089.72061822746</v>
      </c>
      <c r="G40" s="142">
        <f t="shared" ref="G40:O40" si="12">+G41+G42</f>
        <v>26944.7445420228</v>
      </c>
      <c r="H40" s="142">
        <f t="shared" si="12"/>
        <v>14637.5730145456</v>
      </c>
      <c r="I40" s="142">
        <f t="shared" si="12"/>
        <v>14444.3739587987</v>
      </c>
      <c r="J40" s="142">
        <f t="shared" si="12"/>
        <v>22422.158206595701</v>
      </c>
      <c r="K40" s="142">
        <f t="shared" si="12"/>
        <v>19364.858742661501</v>
      </c>
      <c r="L40" s="142">
        <f t="shared" si="12"/>
        <v>14685.295224871508</v>
      </c>
      <c r="M40" s="140">
        <f t="shared" si="12"/>
        <v>23227.619618337001</v>
      </c>
      <c r="N40" s="140">
        <f t="shared" si="12"/>
        <v>24394.4763160047</v>
      </c>
      <c r="O40" s="173">
        <f t="shared" si="12"/>
        <v>32152.650942861073</v>
      </c>
      <c r="P40" s="169">
        <f t="shared" si="6"/>
        <v>350450.70916541212</v>
      </c>
      <c r="R40" s="18"/>
      <c r="S40" s="18"/>
    </row>
    <row r="41" spans="2:20">
      <c r="C41" s="24" t="s">
        <v>41</v>
      </c>
      <c r="D41" s="163">
        <v>56927.839999999997</v>
      </c>
      <c r="E41" s="116">
        <v>46159.397980486101</v>
      </c>
      <c r="F41" s="116">
        <v>55089.72061822746</v>
      </c>
      <c r="G41" s="147">
        <v>26944.7445420228</v>
      </c>
      <c r="H41" s="116">
        <v>14637.5730145456</v>
      </c>
      <c r="I41" s="116">
        <v>14444.3739587987</v>
      </c>
      <c r="J41" s="116">
        <v>22422.158206595701</v>
      </c>
      <c r="K41" s="116">
        <v>19364.858742661501</v>
      </c>
      <c r="L41" s="116">
        <v>14685.295224871508</v>
      </c>
      <c r="M41" s="116">
        <v>23227.619618337001</v>
      </c>
      <c r="N41" s="116">
        <v>24394.4763160047</v>
      </c>
      <c r="O41" s="165">
        <v>32152.650942861073</v>
      </c>
      <c r="P41" s="158">
        <f t="shared" si="6"/>
        <v>350450.70916541212</v>
      </c>
      <c r="Q41" s="18"/>
      <c r="R41" s="18"/>
    </row>
    <row r="42" spans="2:20" hidden="1">
      <c r="C42" s="24" t="s">
        <v>45</v>
      </c>
      <c r="D42" s="163">
        <v>0</v>
      </c>
      <c r="E42" s="116">
        <v>0</v>
      </c>
      <c r="F42" s="147">
        <v>0</v>
      </c>
      <c r="G42" s="116">
        <v>0</v>
      </c>
      <c r="H42" s="116">
        <v>0</v>
      </c>
      <c r="I42" s="116">
        <v>0</v>
      </c>
      <c r="J42" s="116">
        <v>0</v>
      </c>
      <c r="K42" s="116">
        <v>0</v>
      </c>
      <c r="L42" s="116">
        <v>0</v>
      </c>
      <c r="M42" s="116">
        <v>0</v>
      </c>
      <c r="N42" s="116">
        <v>0</v>
      </c>
      <c r="O42" s="165"/>
      <c r="P42" s="158">
        <f t="shared" si="6"/>
        <v>0</v>
      </c>
      <c r="Q42" s="18"/>
      <c r="R42" s="18"/>
    </row>
    <row r="43" spans="2:20" ht="15">
      <c r="C43" s="27" t="s">
        <v>42</v>
      </c>
      <c r="D43" s="149">
        <f>SUM(D44:D52)</f>
        <v>54830.899760000008</v>
      </c>
      <c r="E43" s="148">
        <f>SUM(E44:E52)</f>
        <v>52239.070209999991</v>
      </c>
      <c r="F43" s="148">
        <f>SUM(F44:F52)</f>
        <v>55735.654289999999</v>
      </c>
      <c r="G43" s="142">
        <f>SUM(G44:G53)</f>
        <v>55075.945670000001</v>
      </c>
      <c r="H43" s="142">
        <f t="shared" ref="H43:O43" si="13">SUM(H44:H53)</f>
        <v>54587.34175</v>
      </c>
      <c r="I43" s="142">
        <f t="shared" si="13"/>
        <v>52199.136519999993</v>
      </c>
      <c r="J43" s="142">
        <f t="shared" si="13"/>
        <v>53331.173450000017</v>
      </c>
      <c r="K43" s="142">
        <f t="shared" si="13"/>
        <v>53704.336389999997</v>
      </c>
      <c r="L43" s="142">
        <f t="shared" si="13"/>
        <v>52262.628279999997</v>
      </c>
      <c r="M43" s="142">
        <f t="shared" si="13"/>
        <v>53513.974779999997</v>
      </c>
      <c r="N43" s="142">
        <f t="shared" si="13"/>
        <v>53176.670689999992</v>
      </c>
      <c r="O43" s="142">
        <f t="shared" si="13"/>
        <v>55212.541259999998</v>
      </c>
      <c r="P43" s="142">
        <f>SUM(P44:P53)</f>
        <v>645869.37304999994</v>
      </c>
      <c r="R43" s="18"/>
    </row>
    <row r="44" spans="2:20">
      <c r="C44" s="24" t="s">
        <v>47</v>
      </c>
      <c r="D44" s="163">
        <v>12092.203049999998</v>
      </c>
      <c r="E44" s="174">
        <v>11329.898130000003</v>
      </c>
      <c r="F44" s="116">
        <v>12293.932279999999</v>
      </c>
      <c r="G44" s="116">
        <v>11811.545869999998</v>
      </c>
      <c r="H44" s="116">
        <v>11678.863210000001</v>
      </c>
      <c r="I44" s="116">
        <v>11183.291809999999</v>
      </c>
      <c r="J44" s="116">
        <v>11369.88818</v>
      </c>
      <c r="K44" s="116">
        <v>11358.021340000001</v>
      </c>
      <c r="L44" s="116">
        <v>10996.76066</v>
      </c>
      <c r="M44" s="116">
        <v>11516.385850000002</v>
      </c>
      <c r="N44" s="116">
        <v>11381.286930000002</v>
      </c>
      <c r="O44" s="165">
        <f>11916500.48/1000</f>
        <v>11916.500480000001</v>
      </c>
      <c r="P44" s="158">
        <f t="shared" si="6"/>
        <v>138928.57779000001</v>
      </c>
      <c r="Q44" s="109"/>
      <c r="R44" s="18"/>
    </row>
    <row r="45" spans="2:20">
      <c r="C45" s="24" t="s">
        <v>48</v>
      </c>
      <c r="D45" s="163">
        <v>36140.873720000003</v>
      </c>
      <c r="E45" s="174">
        <v>34176.202749999997</v>
      </c>
      <c r="F45" s="147">
        <v>36875.445329999995</v>
      </c>
      <c r="G45" s="116">
        <v>35040.426230000005</v>
      </c>
      <c r="H45" s="116">
        <v>34619.318479999994</v>
      </c>
      <c r="I45" s="116">
        <v>33164.132139999994</v>
      </c>
      <c r="J45" s="116">
        <v>33427.862150000001</v>
      </c>
      <c r="K45" s="116">
        <v>33415.17972</v>
      </c>
      <c r="L45" s="116">
        <v>32089.38694</v>
      </c>
      <c r="M45" s="116">
        <v>33410.705030000005</v>
      </c>
      <c r="N45" s="116">
        <v>33071.723929999993</v>
      </c>
      <c r="O45" s="165">
        <v>33197.63276</v>
      </c>
      <c r="P45" s="158">
        <f t="shared" si="6"/>
        <v>408628.88918</v>
      </c>
      <c r="Q45" s="109"/>
      <c r="R45" s="18"/>
    </row>
    <row r="46" spans="2:20">
      <c r="C46" s="24" t="s">
        <v>49</v>
      </c>
      <c r="D46" s="163">
        <v>588.39278999999999</v>
      </c>
      <c r="E46" s="174">
        <v>536.36628999999994</v>
      </c>
      <c r="F46" s="147">
        <v>606.09712000000002</v>
      </c>
      <c r="G46" s="116">
        <v>564.01937999999996</v>
      </c>
      <c r="H46" s="116">
        <v>549.73437000000001</v>
      </c>
      <c r="I46" s="116">
        <v>508.47030999999993</v>
      </c>
      <c r="J46" s="116">
        <v>529.16399999999999</v>
      </c>
      <c r="K46" s="116">
        <v>521.58836999999994</v>
      </c>
      <c r="L46" s="116">
        <v>496.76963000000001</v>
      </c>
      <c r="M46" s="116">
        <v>527.14210000000003</v>
      </c>
      <c r="N46" s="116">
        <v>525.20128</v>
      </c>
      <c r="O46" s="165">
        <v>574.57210000000009</v>
      </c>
      <c r="P46" s="158">
        <f t="shared" si="6"/>
        <v>6527.5177399999993</v>
      </c>
      <c r="Q46" s="109"/>
      <c r="R46" s="18"/>
    </row>
    <row r="47" spans="2:20">
      <c r="C47" s="24" t="s">
        <v>50</v>
      </c>
      <c r="D47" s="163">
        <v>1290.4922400000003</v>
      </c>
      <c r="E47" s="174">
        <v>1263.85337</v>
      </c>
      <c r="F47" s="147">
        <v>1311.5347199999999</v>
      </c>
      <c r="G47" s="116">
        <v>1222.2812099999999</v>
      </c>
      <c r="H47" s="116">
        <v>1220.3276000000001</v>
      </c>
      <c r="I47" s="116">
        <v>1180.2344399999999</v>
      </c>
      <c r="J47" s="116">
        <v>1186.49459</v>
      </c>
      <c r="K47" s="116">
        <v>1146.12517</v>
      </c>
      <c r="L47" s="116">
        <v>1130.63635</v>
      </c>
      <c r="M47" s="116">
        <v>1210.8368499999999</v>
      </c>
      <c r="N47" s="116">
        <v>1212.6666099999998</v>
      </c>
      <c r="O47" s="165">
        <v>1259.67796</v>
      </c>
      <c r="P47" s="158">
        <f t="shared" si="6"/>
        <v>14635.161110000001</v>
      </c>
      <c r="Q47" s="109"/>
      <c r="R47" s="18"/>
    </row>
    <row r="48" spans="2:20">
      <c r="C48" s="24" t="s">
        <v>51</v>
      </c>
      <c r="D48" s="163">
        <v>880.79773000000012</v>
      </c>
      <c r="E48" s="174">
        <v>799.14483999999993</v>
      </c>
      <c r="F48" s="147">
        <v>915.66387999999995</v>
      </c>
      <c r="G48" s="116">
        <v>907.74940000000004</v>
      </c>
      <c r="H48" s="116">
        <v>959.15319999999997</v>
      </c>
      <c r="I48" s="116">
        <v>948.50869999999998</v>
      </c>
      <c r="J48" s="116">
        <v>1021.4782800000003</v>
      </c>
      <c r="K48" s="116">
        <v>1019.9542700000001</v>
      </c>
      <c r="L48" s="116">
        <f>987282.6/1000</f>
        <v>987.2826</v>
      </c>
      <c r="M48" s="116">
        <v>1023.19891</v>
      </c>
      <c r="N48" s="116">
        <f>957910.55/1000</f>
        <v>957.91055000000006</v>
      </c>
      <c r="O48" s="165">
        <v>989.06925000000012</v>
      </c>
      <c r="P48" s="158">
        <f t="shared" si="6"/>
        <v>11409.911610000001</v>
      </c>
      <c r="Q48" s="109"/>
      <c r="R48" s="18"/>
    </row>
    <row r="49" spans="1:256">
      <c r="C49" s="24" t="s">
        <v>52</v>
      </c>
      <c r="D49" s="163">
        <v>799.89579000000003</v>
      </c>
      <c r="E49" s="174">
        <v>740.6644399999999</v>
      </c>
      <c r="F49" s="147">
        <v>869.02832000000012</v>
      </c>
      <c r="G49" s="116">
        <v>837.19207999999992</v>
      </c>
      <c r="H49" s="116">
        <v>854.80138999999986</v>
      </c>
      <c r="I49" s="116">
        <v>873.25083999999993</v>
      </c>
      <c r="J49" s="116">
        <v>914.45120000000009</v>
      </c>
      <c r="K49" s="116">
        <v>858.01192999999989</v>
      </c>
      <c r="L49" s="116">
        <v>862.90315999999996</v>
      </c>
      <c r="M49" s="116">
        <v>883.20700999999997</v>
      </c>
      <c r="N49" s="116">
        <v>805.02893000000017</v>
      </c>
      <c r="O49" s="165">
        <v>846.72786000000008</v>
      </c>
      <c r="P49" s="158">
        <f t="shared" si="6"/>
        <v>10145.16295</v>
      </c>
      <c r="Q49" s="109"/>
      <c r="R49" s="18"/>
    </row>
    <row r="50" spans="1:256">
      <c r="C50" s="24" t="s">
        <v>90</v>
      </c>
      <c r="D50" s="163">
        <v>1564.35212</v>
      </c>
      <c r="E50" s="174">
        <v>1396.7154399999999</v>
      </c>
      <c r="F50" s="147">
        <v>1586.2700799999998</v>
      </c>
      <c r="G50" s="116">
        <v>1520.1463100000001</v>
      </c>
      <c r="H50" s="116">
        <v>1553.7063799999999</v>
      </c>
      <c r="I50" s="116">
        <v>1521.61815</v>
      </c>
      <c r="J50" s="116">
        <v>1548.65237</v>
      </c>
      <c r="K50" s="116">
        <v>1563.92004</v>
      </c>
      <c r="L50" s="116">
        <v>1549.1567</v>
      </c>
      <c r="M50" s="116">
        <v>1634.38375</v>
      </c>
      <c r="N50" s="116">
        <v>1605.8136300000001</v>
      </c>
      <c r="O50" s="165">
        <v>1655.10051</v>
      </c>
      <c r="P50" s="158">
        <f t="shared" si="6"/>
        <v>18699.835480000002</v>
      </c>
      <c r="Q50" s="109"/>
      <c r="R50" s="18"/>
    </row>
    <row r="51" spans="1:256">
      <c r="C51" s="24" t="s">
        <v>53</v>
      </c>
      <c r="D51" s="163">
        <v>1427.2919199999999</v>
      </c>
      <c r="E51" s="174">
        <v>1954.65895</v>
      </c>
      <c r="F51" s="147">
        <v>1226.7278499999998</v>
      </c>
      <c r="G51" s="116">
        <v>1287.0481000000002</v>
      </c>
      <c r="H51" s="116">
        <v>1337.0474999999999</v>
      </c>
      <c r="I51" s="116">
        <v>1416.4151899999999</v>
      </c>
      <c r="J51" s="116">
        <v>1784.3707099999999</v>
      </c>
      <c r="K51" s="116">
        <v>1855.7593100000001</v>
      </c>
      <c r="L51" s="116">
        <f>2058254.25/1000</f>
        <v>2058.25425</v>
      </c>
      <c r="M51" s="116">
        <v>729.87338</v>
      </c>
      <c r="N51" s="116">
        <v>846.25376999999992</v>
      </c>
      <c r="O51" s="165">
        <v>1573.94651</v>
      </c>
      <c r="P51" s="158">
        <f t="shared" si="6"/>
        <v>17497.647440000001</v>
      </c>
      <c r="Q51" s="109"/>
      <c r="R51" s="18"/>
    </row>
    <row r="52" spans="1:256">
      <c r="C52" s="24" t="s">
        <v>54</v>
      </c>
      <c r="D52" s="163">
        <v>46.600399999999993</v>
      </c>
      <c r="E52" s="174">
        <v>41.566000000000003</v>
      </c>
      <c r="F52" s="147">
        <v>50.954710000000006</v>
      </c>
      <c r="G52" s="116">
        <v>50.738150000000005</v>
      </c>
      <c r="H52" s="116">
        <v>53.635300000000001</v>
      </c>
      <c r="I52" s="116">
        <v>53.690290000000012</v>
      </c>
      <c r="J52" s="116">
        <v>54.779089999999997</v>
      </c>
      <c r="K52" s="116">
        <v>54.67257</v>
      </c>
      <c r="L52" s="116">
        <v>51.837350000000001</v>
      </c>
      <c r="M52" s="116">
        <v>54.454889999999999</v>
      </c>
      <c r="N52" s="116">
        <v>51.19209</v>
      </c>
      <c r="O52" s="165">
        <v>52.539089999999995</v>
      </c>
      <c r="P52" s="158">
        <f t="shared" si="6"/>
        <v>616.65993000000003</v>
      </c>
      <c r="Q52" s="109"/>
      <c r="R52" s="18"/>
    </row>
    <row r="53" spans="1:256">
      <c r="C53" s="107" t="s">
        <v>93</v>
      </c>
      <c r="D53" s="157">
        <v>0</v>
      </c>
      <c r="E53" s="121">
        <v>0</v>
      </c>
      <c r="F53" s="121">
        <v>0</v>
      </c>
      <c r="G53" s="121">
        <v>1834.7989399999999</v>
      </c>
      <c r="H53" s="121">
        <v>1760.7543199999998</v>
      </c>
      <c r="I53" s="121">
        <v>1349.5246499999998</v>
      </c>
      <c r="J53" s="116">
        <v>1494.03288</v>
      </c>
      <c r="K53" s="116">
        <v>1911.10367</v>
      </c>
      <c r="L53" s="121">
        <v>2039.6406400000001</v>
      </c>
      <c r="M53" s="121">
        <v>2523.7870099999996</v>
      </c>
      <c r="N53" s="121">
        <v>2719.5929700000002</v>
      </c>
      <c r="O53" s="175">
        <v>3146.7747400000003</v>
      </c>
      <c r="P53" s="158">
        <f>SUM(D53:O53)</f>
        <v>18780.009819999999</v>
      </c>
      <c r="Q53" s="109"/>
      <c r="R53" s="18"/>
    </row>
    <row r="54" spans="1:256" ht="15">
      <c r="C54" s="27" t="s">
        <v>43</v>
      </c>
      <c r="D54" s="180">
        <f t="shared" ref="D54:P54" si="14">+SUM(D55:D57)</f>
        <v>2892.2636200000002</v>
      </c>
      <c r="E54" s="142">
        <f t="shared" si="14"/>
        <v>2639.8845800000004</v>
      </c>
      <c r="F54" s="142">
        <f t="shared" si="14"/>
        <v>3022.9914499999995</v>
      </c>
      <c r="G54" s="142">
        <f t="shared" si="14"/>
        <v>2828.0858700000003</v>
      </c>
      <c r="H54" s="142">
        <f t="shared" si="14"/>
        <v>3140.3332899999996</v>
      </c>
      <c r="I54" s="142">
        <f t="shared" si="14"/>
        <v>2958.8826199999999</v>
      </c>
      <c r="J54" s="142">
        <f t="shared" si="14"/>
        <v>3116.92544</v>
      </c>
      <c r="K54" s="142">
        <f t="shared" si="14"/>
        <v>2766.8908700000006</v>
      </c>
      <c r="L54" s="142">
        <f t="shared" si="14"/>
        <v>2660.3065999999999</v>
      </c>
      <c r="M54" s="142">
        <f t="shared" si="14"/>
        <v>2639.2785900000003</v>
      </c>
      <c r="N54" s="142">
        <f t="shared" si="14"/>
        <v>2616.2488500000004</v>
      </c>
      <c r="O54" s="148">
        <f t="shared" si="14"/>
        <v>2289.49433</v>
      </c>
      <c r="P54" s="169">
        <f t="shared" si="14"/>
        <v>33571.586110000004</v>
      </c>
      <c r="Q54" s="109"/>
      <c r="R54" s="18"/>
    </row>
    <row r="55" spans="1:256">
      <c r="C55" s="107" t="s">
        <v>59</v>
      </c>
      <c r="D55" s="157">
        <v>1440.1263300000001</v>
      </c>
      <c r="E55" s="121">
        <v>1435.9344300000002</v>
      </c>
      <c r="F55" s="150">
        <v>1533.9428199999998</v>
      </c>
      <c r="G55" s="121">
        <v>1524.7065100000002</v>
      </c>
      <c r="H55" s="121">
        <v>1626.9699800000001</v>
      </c>
      <c r="I55" s="121">
        <v>1562.2956200000001</v>
      </c>
      <c r="J55" s="116">
        <v>1456.0698399999999</v>
      </c>
      <c r="K55" s="116">
        <v>1332.0992200000003</v>
      </c>
      <c r="L55" s="121">
        <v>1259.2010700000001</v>
      </c>
      <c r="M55" s="121">
        <v>1277.2473200000002</v>
      </c>
      <c r="N55" s="121">
        <v>1286.8729900000001</v>
      </c>
      <c r="O55" s="175">
        <v>826.36954999999989</v>
      </c>
      <c r="P55" s="158">
        <f t="shared" si="6"/>
        <v>16561.835680000004</v>
      </c>
      <c r="Q55" s="109"/>
      <c r="R55" s="18"/>
    </row>
    <row r="56" spans="1:256">
      <c r="C56" s="107" t="s">
        <v>56</v>
      </c>
      <c r="D56" s="157">
        <v>1184.74578</v>
      </c>
      <c r="E56" s="121">
        <v>988.86301000000003</v>
      </c>
      <c r="F56" s="150">
        <v>1237.1513399999999</v>
      </c>
      <c r="G56" s="121">
        <v>1076.62796</v>
      </c>
      <c r="H56" s="121">
        <v>1287.1673399999997</v>
      </c>
      <c r="I56" s="121">
        <v>1165.1049499999999</v>
      </c>
      <c r="J56" s="116">
        <v>1440.91471</v>
      </c>
      <c r="K56" s="116">
        <v>1210.6631800000002</v>
      </c>
      <c r="L56" s="121">
        <v>1181.05258</v>
      </c>
      <c r="M56" s="121">
        <v>1132.2702400000001</v>
      </c>
      <c r="N56" s="121">
        <v>1121.63474</v>
      </c>
      <c r="O56" s="175">
        <v>1259.52575</v>
      </c>
      <c r="P56" s="158">
        <f t="shared" si="6"/>
        <v>14285.721579999999</v>
      </c>
      <c r="Q56" s="109"/>
      <c r="R56" s="18"/>
    </row>
    <row r="57" spans="1:256" ht="15" thickBot="1">
      <c r="C57" s="108" t="s">
        <v>89</v>
      </c>
      <c r="D57" s="176">
        <v>267.39150999999998</v>
      </c>
      <c r="E57" s="151">
        <v>215.08713999999998</v>
      </c>
      <c r="F57" s="151">
        <v>251.89729</v>
      </c>
      <c r="G57" s="151">
        <v>226.75140000000002</v>
      </c>
      <c r="H57" s="151">
        <v>226.19596999999999</v>
      </c>
      <c r="I57" s="151">
        <v>231.48204999999999</v>
      </c>
      <c r="J57" s="177">
        <v>219.94089000000002</v>
      </c>
      <c r="K57" s="177">
        <v>224.12847000000002</v>
      </c>
      <c r="L57" s="151">
        <v>220.05294999999998</v>
      </c>
      <c r="M57" s="151">
        <v>229.76103000000001</v>
      </c>
      <c r="N57" s="151">
        <f>207741.12/1000</f>
        <v>207.74112</v>
      </c>
      <c r="O57" s="178">
        <v>203.59903</v>
      </c>
      <c r="P57" s="179">
        <f t="shared" si="6"/>
        <v>2724.0288500000001</v>
      </c>
      <c r="Q57" s="109"/>
      <c r="R57" s="18"/>
    </row>
    <row r="58" spans="1:256" ht="15" thickTop="1">
      <c r="D58" s="183">
        <f>+D33/D28</f>
        <v>3.5833777136696945E-3</v>
      </c>
      <c r="E58" s="183">
        <f t="shared" ref="E58:O58" si="15">+E33/E28</f>
        <v>3.3133058886331739E-3</v>
      </c>
      <c r="F58" s="183">
        <f t="shared" si="15"/>
        <v>3.1589892334069518E-3</v>
      </c>
      <c r="G58" s="183">
        <f t="shared" si="15"/>
        <v>3.8146325406048631E-3</v>
      </c>
      <c r="H58" s="183">
        <f t="shared" si="15"/>
        <v>4.5395733712346488E-3</v>
      </c>
      <c r="I58" s="183">
        <f t="shared" si="15"/>
        <v>4.5399352914539202E-3</v>
      </c>
      <c r="J58" s="183">
        <f t="shared" si="15"/>
        <v>4.1855259793824517E-3</v>
      </c>
      <c r="K58" s="183">
        <f t="shared" si="15"/>
        <v>4.104169376820844E-3</v>
      </c>
      <c r="L58" s="183">
        <f t="shared" si="15"/>
        <v>4.2719078856329664E-3</v>
      </c>
      <c r="M58" s="183">
        <f t="shared" si="15"/>
        <v>3.9050380383743727E-3</v>
      </c>
      <c r="N58" s="183">
        <f t="shared" si="15"/>
        <v>3.957275110129505E-3</v>
      </c>
      <c r="O58" s="183">
        <f t="shared" si="15"/>
        <v>3.6243407030715352E-3</v>
      </c>
      <c r="R58" s="18"/>
    </row>
    <row r="59" spans="1:256">
      <c r="D59" s="35"/>
      <c r="E59" s="39"/>
      <c r="F59" s="35"/>
      <c r="G59" s="35"/>
      <c r="H59" s="35"/>
      <c r="L59" s="18"/>
      <c r="M59" s="18"/>
      <c r="R59" s="109"/>
    </row>
    <row r="60" spans="1:256">
      <c r="C60" s="3" t="s">
        <v>92</v>
      </c>
      <c r="D60" s="35"/>
      <c r="E60" s="39"/>
      <c r="F60" s="35"/>
      <c r="G60" s="35"/>
      <c r="H60" s="35"/>
      <c r="L60" s="18"/>
      <c r="M60" s="18"/>
      <c r="R60" s="109"/>
    </row>
    <row r="61" spans="1:256" s="11" customFormat="1">
      <c r="A61" s="3"/>
      <c r="B61" s="3"/>
      <c r="C61" s="3"/>
      <c r="D61" s="106">
        <f t="shared" ref="D61:O61" si="16">D39-D40</f>
        <v>57723.163379999998</v>
      </c>
      <c r="E61" s="106">
        <f t="shared" si="16"/>
        <v>54878.954789999989</v>
      </c>
      <c r="F61" s="106">
        <f t="shared" si="16"/>
        <v>58758.64574</v>
      </c>
      <c r="G61" s="106">
        <f t="shared" si="16"/>
        <v>57904.031539999996</v>
      </c>
      <c r="H61" s="106">
        <f t="shared" si="16"/>
        <v>57727.675039999987</v>
      </c>
      <c r="I61" s="106">
        <f t="shared" si="16"/>
        <v>55158.019139999997</v>
      </c>
      <c r="J61" s="106">
        <f t="shared" si="16"/>
        <v>56448.098890000023</v>
      </c>
      <c r="K61" s="106">
        <f t="shared" si="16"/>
        <v>56471.22726</v>
      </c>
      <c r="L61" s="106">
        <f t="shared" si="16"/>
        <v>54922.934879999993</v>
      </c>
      <c r="M61" s="106">
        <f t="shared" si="16"/>
        <v>56153.253369999991</v>
      </c>
      <c r="N61" s="106">
        <f t="shared" si="16"/>
        <v>55792.919540000003</v>
      </c>
      <c r="O61" s="106">
        <f t="shared" si="16"/>
        <v>57502.03559</v>
      </c>
    </row>
    <row r="62" spans="1:256"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</row>
    <row r="63" spans="1:256" ht="15">
      <c r="D63" s="89">
        <f t="shared" ref="D63:O63" si="17">+D38-D39</f>
        <v>0</v>
      </c>
      <c r="E63" s="89">
        <f t="shared" si="17"/>
        <v>0</v>
      </c>
      <c r="F63" s="89">
        <f t="shared" si="17"/>
        <v>0</v>
      </c>
      <c r="G63" s="89">
        <f t="shared" si="17"/>
        <v>0</v>
      </c>
      <c r="H63" s="89">
        <f t="shared" si="17"/>
        <v>0</v>
      </c>
      <c r="I63" s="89">
        <f t="shared" si="17"/>
        <v>0</v>
      </c>
      <c r="J63" s="89">
        <f t="shared" si="17"/>
        <v>-1.3998942449688911E-8</v>
      </c>
      <c r="K63" s="89">
        <f t="shared" si="17"/>
        <v>0</v>
      </c>
      <c r="L63" s="89">
        <f t="shared" si="17"/>
        <v>0</v>
      </c>
      <c r="M63" s="89">
        <f t="shared" si="17"/>
        <v>0</v>
      </c>
      <c r="N63" s="89">
        <f t="shared" si="17"/>
        <v>0</v>
      </c>
      <c r="O63" s="89">
        <f t="shared" si="17"/>
        <v>0</v>
      </c>
      <c r="P63" s="89"/>
      <c r="R63" s="90"/>
    </row>
    <row r="64" spans="1:256">
      <c r="D64" s="89">
        <f t="shared" ref="D64:O64" si="18">+D63*0.4</f>
        <v>0</v>
      </c>
      <c r="E64" s="89">
        <f t="shared" si="18"/>
        <v>0</v>
      </c>
      <c r="F64" s="89">
        <f t="shared" si="18"/>
        <v>0</v>
      </c>
      <c r="G64" s="89">
        <f t="shared" si="18"/>
        <v>0</v>
      </c>
      <c r="H64" s="89">
        <f t="shared" si="18"/>
        <v>0</v>
      </c>
      <c r="I64" s="89">
        <f>+I63*0.4</f>
        <v>0</v>
      </c>
      <c r="J64" s="89">
        <f t="shared" si="18"/>
        <v>-5.5995769798755647E-9</v>
      </c>
      <c r="K64" s="89">
        <f t="shared" si="18"/>
        <v>0</v>
      </c>
      <c r="L64" s="89">
        <f t="shared" si="18"/>
        <v>0</v>
      </c>
      <c r="M64" s="89">
        <f t="shared" si="18"/>
        <v>0</v>
      </c>
      <c r="N64" s="89">
        <f t="shared" si="18"/>
        <v>0</v>
      </c>
      <c r="O64" s="89">
        <f t="shared" si="18"/>
        <v>0</v>
      </c>
      <c r="P64" s="89"/>
    </row>
    <row r="65" spans="2:16">
      <c r="D65" s="89">
        <f t="shared" ref="D65:O65" si="19">+D63*0.6</f>
        <v>0</v>
      </c>
      <c r="E65" s="89">
        <f t="shared" si="19"/>
        <v>0</v>
      </c>
      <c r="F65" s="89">
        <f t="shared" si="19"/>
        <v>0</v>
      </c>
      <c r="G65" s="89">
        <f t="shared" si="19"/>
        <v>0</v>
      </c>
      <c r="H65" s="89">
        <f t="shared" si="19"/>
        <v>0</v>
      </c>
      <c r="I65" s="89">
        <f>+I63*0.6</f>
        <v>0</v>
      </c>
      <c r="J65" s="89">
        <f t="shared" si="19"/>
        <v>-8.3993654698133459E-9</v>
      </c>
      <c r="K65" s="89">
        <f t="shared" si="19"/>
        <v>0</v>
      </c>
      <c r="L65" s="89">
        <f t="shared" si="19"/>
        <v>0</v>
      </c>
      <c r="M65" s="89">
        <f t="shared" si="19"/>
        <v>0</v>
      </c>
      <c r="N65" s="89">
        <f t="shared" si="19"/>
        <v>0</v>
      </c>
      <c r="O65" s="89">
        <f t="shared" si="19"/>
        <v>0</v>
      </c>
      <c r="P65" s="89"/>
    </row>
    <row r="66" spans="2:16"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89"/>
      <c r="P66" s="89"/>
    </row>
    <row r="67" spans="2:16" ht="15">
      <c r="D67" s="94">
        <f t="shared" ref="D67:O67" si="20">D35/D27</f>
        <v>1.298493496014627E-2</v>
      </c>
      <c r="E67" s="94">
        <f t="shared" si="20"/>
        <v>1.2739437657103095E-2</v>
      </c>
      <c r="F67" s="94">
        <f t="shared" si="20"/>
        <v>7.7759446751853286E-3</v>
      </c>
      <c r="G67" s="94">
        <f t="shared" si="20"/>
        <v>1.4658147768160905E-2</v>
      </c>
      <c r="H67" s="94">
        <f t="shared" si="20"/>
        <v>1.5208887556809794E-2</v>
      </c>
      <c r="I67" s="94">
        <f t="shared" si="20"/>
        <v>1.2414045211912009E-2</v>
      </c>
      <c r="J67" s="94">
        <f t="shared" si="20"/>
        <v>6.6494395012512949E-3</v>
      </c>
      <c r="K67" s="94">
        <f t="shared" si="20"/>
        <v>1.2585500818103878E-2</v>
      </c>
      <c r="L67" s="94">
        <f t="shared" si="20"/>
        <v>1.2726901652545509E-2</v>
      </c>
      <c r="M67" s="94">
        <f t="shared" si="20"/>
        <v>2.6112426619231702E-2</v>
      </c>
      <c r="N67" s="94">
        <f t="shared" si="20"/>
        <v>2.9446998395423914E-2</v>
      </c>
      <c r="O67" s="94">
        <f t="shared" si="20"/>
        <v>1.2133433770765489E-2</v>
      </c>
    </row>
    <row r="68" spans="2:16">
      <c r="D68" s="18"/>
      <c r="E68" s="18"/>
      <c r="F68" s="18"/>
      <c r="G68" s="18"/>
      <c r="H68" s="18"/>
      <c r="I68" s="18"/>
      <c r="J68" s="18"/>
      <c r="K68" s="95"/>
      <c r="L68" s="18"/>
      <c r="M68" s="18"/>
      <c r="N68" s="18"/>
      <c r="O68" s="18"/>
    </row>
    <row r="69" spans="2:16">
      <c r="D69" s="43"/>
      <c r="E69" s="43"/>
      <c r="F69" s="18"/>
      <c r="G69" s="43"/>
      <c r="H69" s="43"/>
      <c r="I69" s="43">
        <f>2000*10*3.3/12</f>
        <v>5500</v>
      </c>
      <c r="J69" s="43"/>
      <c r="K69" s="43"/>
      <c r="L69" s="43"/>
      <c r="M69" s="43"/>
      <c r="N69" s="43"/>
      <c r="O69" s="43"/>
    </row>
    <row r="70" spans="2:16">
      <c r="I70" s="181"/>
      <c r="J70" s="36"/>
    </row>
    <row r="71" spans="2:16">
      <c r="D71" s="18"/>
      <c r="E71" s="18"/>
      <c r="F71" s="18"/>
      <c r="G71" s="18"/>
      <c r="H71" s="18"/>
      <c r="I71" s="18"/>
      <c r="J71" s="18"/>
      <c r="K71" s="18"/>
      <c r="M71" s="18"/>
      <c r="N71" s="18"/>
    </row>
    <row r="72" spans="2:16">
      <c r="D72" s="18"/>
      <c r="E72" s="18"/>
    </row>
    <row r="73" spans="2:16">
      <c r="B73" s="110" t="s">
        <v>62</v>
      </c>
      <c r="C73" s="110" t="s">
        <v>69</v>
      </c>
      <c r="D73" s="123" t="str">
        <f t="shared" ref="D73:P73" si="21">+D26</f>
        <v>Enero</v>
      </c>
      <c r="E73" s="123" t="str">
        <f t="shared" si="21"/>
        <v>Febrero</v>
      </c>
      <c r="F73" s="123" t="str">
        <f t="shared" si="21"/>
        <v>Marzo</v>
      </c>
      <c r="G73" s="123" t="str">
        <f t="shared" si="21"/>
        <v>Abril</v>
      </c>
      <c r="H73" s="123" t="str">
        <f t="shared" si="21"/>
        <v>Mayo</v>
      </c>
      <c r="I73" s="123" t="str">
        <f t="shared" si="21"/>
        <v>Junio</v>
      </c>
      <c r="J73" s="123" t="str">
        <f t="shared" si="21"/>
        <v>Julio</v>
      </c>
      <c r="K73" s="123" t="str">
        <f t="shared" si="21"/>
        <v>Agosto</v>
      </c>
      <c r="L73" s="123" t="str">
        <f t="shared" si="21"/>
        <v>Septiembre</v>
      </c>
      <c r="M73" s="123" t="str">
        <f t="shared" si="21"/>
        <v>Octubre</v>
      </c>
      <c r="N73" s="123" t="str">
        <f t="shared" si="21"/>
        <v>Noviembre</v>
      </c>
      <c r="O73" s="123" t="str">
        <f t="shared" si="21"/>
        <v>Diciembre</v>
      </c>
      <c r="P73" s="123" t="str">
        <f t="shared" si="21"/>
        <v>Acumulado</v>
      </c>
    </row>
    <row r="74" spans="2:16" ht="15">
      <c r="B74" s="112" t="s">
        <v>16</v>
      </c>
      <c r="C74" s="124" t="s">
        <v>75</v>
      </c>
      <c r="D74" s="114"/>
      <c r="E74" s="114"/>
      <c r="F74" s="114"/>
      <c r="G74" s="114"/>
      <c r="H74" s="114"/>
      <c r="I74" s="115"/>
      <c r="J74" s="141"/>
      <c r="K74" s="115">
        <v>8814.7263067960739</v>
      </c>
      <c r="L74" s="114"/>
      <c r="M74" s="114"/>
      <c r="N74" s="114"/>
      <c r="O74" s="114"/>
      <c r="P74" s="114"/>
    </row>
    <row r="75" spans="2:16" ht="15">
      <c r="B75" s="112" t="s">
        <v>17</v>
      </c>
      <c r="C75" s="124" t="s">
        <v>76</v>
      </c>
      <c r="D75" s="112"/>
      <c r="E75" s="112"/>
      <c r="F75" s="112"/>
      <c r="G75" s="112"/>
      <c r="H75" s="112"/>
      <c r="I75" s="116"/>
      <c r="J75" s="142"/>
      <c r="K75" s="116">
        <v>1527.9247015118599</v>
      </c>
      <c r="L75" s="112"/>
      <c r="M75" s="112"/>
      <c r="N75" s="112"/>
      <c r="O75" s="112"/>
      <c r="P75" s="112"/>
    </row>
    <row r="76" spans="2:16">
      <c r="B76" s="441" t="s">
        <v>18</v>
      </c>
      <c r="C76" s="114" t="s">
        <v>70</v>
      </c>
      <c r="D76" s="114"/>
      <c r="E76" s="114"/>
      <c r="F76" s="114"/>
      <c r="G76" s="114"/>
      <c r="H76" s="114"/>
      <c r="I76" s="130"/>
      <c r="J76" s="115"/>
      <c r="K76" s="115">
        <v>1305.436933785677</v>
      </c>
      <c r="L76" s="114"/>
      <c r="M76" s="114"/>
      <c r="N76" s="114"/>
      <c r="O76" s="114"/>
      <c r="P76" s="114"/>
    </row>
    <row r="77" spans="2:16">
      <c r="B77" s="442"/>
      <c r="C77" s="112" t="s">
        <v>71</v>
      </c>
      <c r="D77" s="112"/>
      <c r="E77" s="112"/>
      <c r="F77" s="112"/>
      <c r="G77" s="112"/>
      <c r="H77" s="112"/>
      <c r="I77" s="117"/>
      <c r="J77" s="116"/>
      <c r="K77" s="116">
        <v>4572.8952873498201</v>
      </c>
      <c r="L77" s="112"/>
      <c r="M77" s="112"/>
      <c r="N77" s="112"/>
      <c r="O77" s="112"/>
      <c r="P77" s="112"/>
    </row>
    <row r="78" spans="2:16">
      <c r="B78" s="442"/>
      <c r="C78" s="112" t="s">
        <v>72</v>
      </c>
      <c r="D78" s="112"/>
      <c r="E78" s="112"/>
      <c r="F78" s="112"/>
      <c r="G78" s="112"/>
      <c r="H78" s="112"/>
      <c r="I78" s="117"/>
      <c r="J78" s="116"/>
      <c r="K78" s="116">
        <v>1555.9969090908792</v>
      </c>
      <c r="L78" s="112"/>
      <c r="M78" s="112"/>
      <c r="N78" s="112"/>
      <c r="O78" s="112"/>
      <c r="P78" s="112"/>
    </row>
    <row r="79" spans="2:16" ht="15">
      <c r="B79" s="443"/>
      <c r="C79" s="131" t="s">
        <v>77</v>
      </c>
      <c r="D79" s="131"/>
      <c r="E79" s="131"/>
      <c r="F79" s="131"/>
      <c r="G79" s="131"/>
      <c r="H79" s="131"/>
      <c r="I79" s="132"/>
      <c r="J79" s="133"/>
      <c r="K79" s="133">
        <f>+K76+K77-K78</f>
        <v>4322.3353120446181</v>
      </c>
      <c r="L79" s="131"/>
      <c r="M79" s="131"/>
      <c r="N79" s="131"/>
      <c r="O79" s="131"/>
      <c r="P79" s="131"/>
    </row>
    <row r="80" spans="2:16" ht="15">
      <c r="B80" s="112" t="s">
        <v>19</v>
      </c>
      <c r="C80" s="124" t="s">
        <v>78</v>
      </c>
      <c r="D80" s="112"/>
      <c r="E80" s="112"/>
      <c r="F80" s="112"/>
      <c r="G80" s="112"/>
      <c r="H80" s="112"/>
      <c r="I80" s="116"/>
      <c r="J80" s="142"/>
      <c r="K80" s="116">
        <v>6657.2091844081879</v>
      </c>
      <c r="L80" s="112"/>
      <c r="M80" s="112"/>
      <c r="N80" s="112"/>
      <c r="O80" s="112"/>
      <c r="P80" s="112"/>
    </row>
    <row r="81" spans="2:16">
      <c r="B81" s="444" t="s">
        <v>20</v>
      </c>
      <c r="C81" s="114" t="s">
        <v>73</v>
      </c>
      <c r="D81" s="125"/>
      <c r="E81" s="126"/>
      <c r="F81" s="127"/>
      <c r="G81" s="127"/>
      <c r="H81" s="127"/>
      <c r="I81" s="128"/>
      <c r="J81" s="128"/>
      <c r="K81" s="115">
        <v>52409.603130340576</v>
      </c>
      <c r="L81" s="129"/>
      <c r="M81" s="114"/>
      <c r="N81" s="114"/>
      <c r="O81" s="114"/>
      <c r="P81" s="114"/>
    </row>
    <row r="82" spans="2:16">
      <c r="B82" s="445"/>
      <c r="C82" s="112" t="s">
        <v>74</v>
      </c>
      <c r="D82" s="122"/>
      <c r="E82" s="118"/>
      <c r="F82" s="119"/>
      <c r="G82" s="119"/>
      <c r="H82" s="119"/>
      <c r="I82" s="120"/>
      <c r="J82" s="120"/>
      <c r="K82" s="116">
        <v>224943.27942657471</v>
      </c>
      <c r="L82" s="112"/>
      <c r="M82" s="112"/>
      <c r="N82" s="112"/>
      <c r="O82" s="112"/>
      <c r="P82" s="112"/>
    </row>
    <row r="83" spans="2:16">
      <c r="B83" s="445"/>
      <c r="C83" s="112" t="s">
        <v>63</v>
      </c>
      <c r="D83" s="122"/>
      <c r="E83" s="118"/>
      <c r="F83" s="119"/>
      <c r="G83" s="119"/>
      <c r="H83" s="119"/>
      <c r="I83" s="120"/>
      <c r="J83" s="120"/>
      <c r="K83" s="116">
        <v>7661.912095785141</v>
      </c>
      <c r="L83" s="112"/>
      <c r="M83" s="112"/>
      <c r="N83" s="112"/>
      <c r="O83" s="112"/>
      <c r="P83" s="112"/>
    </row>
    <row r="84" spans="2:16">
      <c r="B84" s="445"/>
      <c r="C84" s="112" t="s">
        <v>81</v>
      </c>
      <c r="D84" s="122"/>
      <c r="E84" s="118"/>
      <c r="F84" s="119"/>
      <c r="G84" s="119"/>
      <c r="H84" s="119"/>
      <c r="I84" s="120"/>
      <c r="J84" s="120"/>
      <c r="K84" s="116">
        <v>2310.6453409090896</v>
      </c>
      <c r="L84" s="112"/>
      <c r="M84" s="112"/>
      <c r="N84" s="112"/>
      <c r="O84" s="112"/>
      <c r="P84" s="112"/>
    </row>
    <row r="85" spans="2:16" ht="15">
      <c r="B85" s="446"/>
      <c r="C85" s="131" t="s">
        <v>79</v>
      </c>
      <c r="D85" s="134"/>
      <c r="E85" s="135"/>
      <c r="F85" s="136"/>
      <c r="G85" s="136"/>
      <c r="H85" s="136"/>
      <c r="I85" s="137"/>
      <c r="J85" s="139"/>
      <c r="K85" s="139">
        <f>+K81+K82-K83-K84</f>
        <v>267380.32512022107</v>
      </c>
      <c r="L85" s="138"/>
      <c r="M85" s="138"/>
      <c r="N85" s="138"/>
      <c r="O85" s="138"/>
      <c r="P85" s="138"/>
    </row>
    <row r="86" spans="2:16" ht="15">
      <c r="B86" s="112" t="s">
        <v>21</v>
      </c>
      <c r="C86" s="124" t="s">
        <v>80</v>
      </c>
      <c r="D86" s="112"/>
      <c r="E86" s="112"/>
      <c r="F86" s="112"/>
      <c r="G86" s="112"/>
      <c r="H86" s="112"/>
      <c r="I86" s="121"/>
      <c r="J86" s="140"/>
      <c r="K86" s="121">
        <v>15086.135074496269</v>
      </c>
      <c r="L86" s="112"/>
      <c r="M86" s="112"/>
      <c r="N86" s="112"/>
      <c r="O86" s="112"/>
      <c r="P86" s="112"/>
    </row>
    <row r="87" spans="2:16">
      <c r="B87" s="110" t="s">
        <v>64</v>
      </c>
      <c r="C87" s="110" t="s">
        <v>64</v>
      </c>
      <c r="D87" s="110"/>
      <c r="E87" s="110"/>
      <c r="F87" s="110"/>
      <c r="G87" s="110"/>
      <c r="H87" s="110"/>
      <c r="I87" s="111"/>
      <c r="J87" s="113"/>
      <c r="K87" s="113">
        <f>+K74+K75+K79+K80+K85+K86</f>
        <v>303788.65569947805</v>
      </c>
      <c r="L87" s="113" t="e">
        <f>+#REF!-#REF!</f>
        <v>#REF!</v>
      </c>
      <c r="M87" s="113" t="e">
        <f>+#REF!-#REF!</f>
        <v>#REF!</v>
      </c>
      <c r="N87" s="113" t="e">
        <f>+#REF!-#REF!</f>
        <v>#REF!</v>
      </c>
      <c r="O87" s="113" t="e">
        <f>+#REF!-#REF!</f>
        <v>#REF!</v>
      </c>
      <c r="P87" s="113" t="e">
        <f>+#REF!-#REF!</f>
        <v>#REF!</v>
      </c>
    </row>
    <row r="88" spans="2:16">
      <c r="B88" s="112"/>
      <c r="C88" s="112"/>
      <c r="D88" s="112"/>
      <c r="E88" s="112"/>
      <c r="F88" s="112"/>
      <c r="G88" s="112"/>
      <c r="H88" s="112"/>
      <c r="I88" s="112"/>
      <c r="J88" s="112"/>
      <c r="K88" s="121"/>
      <c r="L88" s="112"/>
      <c r="M88" s="112"/>
      <c r="N88" s="112"/>
      <c r="O88" s="112"/>
      <c r="P88" s="112"/>
    </row>
    <row r="89" spans="2:16">
      <c r="B89" s="442" t="s">
        <v>82</v>
      </c>
      <c r="C89" s="112" t="s">
        <v>83</v>
      </c>
      <c r="D89" s="112"/>
      <c r="E89" s="112"/>
      <c r="F89" s="112"/>
      <c r="G89" s="112"/>
      <c r="H89" s="112"/>
      <c r="I89" s="121"/>
      <c r="J89" s="112"/>
      <c r="K89" s="121">
        <v>1032.4929688125849</v>
      </c>
      <c r="L89" s="112"/>
      <c r="M89" s="112"/>
      <c r="N89" s="112"/>
      <c r="O89" s="112"/>
      <c r="P89" s="112"/>
    </row>
    <row r="90" spans="2:16">
      <c r="B90" s="442"/>
      <c r="C90" s="112" t="s">
        <v>87</v>
      </c>
      <c r="D90" s="112"/>
      <c r="E90" s="112"/>
      <c r="F90" s="112"/>
      <c r="G90" s="112"/>
      <c r="H90" s="112"/>
      <c r="I90" s="121"/>
      <c r="J90" s="112"/>
      <c r="K90" s="121">
        <v>43862.024162769318</v>
      </c>
      <c r="L90" s="112"/>
      <c r="M90" s="112"/>
      <c r="N90" s="112"/>
      <c r="O90" s="112"/>
      <c r="P90" s="112"/>
    </row>
    <row r="91" spans="2:16">
      <c r="B91" s="442"/>
      <c r="C91" s="112" t="s">
        <v>84</v>
      </c>
      <c r="D91" s="112"/>
      <c r="E91" s="112"/>
      <c r="F91" s="112"/>
      <c r="G91" s="112"/>
      <c r="H91" s="112"/>
      <c r="I91" s="121"/>
      <c r="J91" s="112"/>
      <c r="K91" s="121">
        <v>421682.454349518</v>
      </c>
      <c r="L91" s="112"/>
      <c r="M91" s="112"/>
      <c r="N91" s="112"/>
      <c r="O91" s="112"/>
      <c r="P91" s="112"/>
    </row>
    <row r="92" spans="2:16">
      <c r="B92" s="112" t="s">
        <v>86</v>
      </c>
      <c r="C92" s="112" t="s">
        <v>88</v>
      </c>
      <c r="D92" s="112"/>
      <c r="E92" s="112"/>
      <c r="F92" s="112"/>
      <c r="G92" s="112"/>
      <c r="H92" s="112"/>
      <c r="I92" s="121"/>
      <c r="J92" s="112"/>
      <c r="K92" s="121">
        <v>122453.65970063658</v>
      </c>
      <c r="L92" s="112"/>
      <c r="M92" s="112"/>
      <c r="N92" s="112"/>
      <c r="O92" s="112"/>
      <c r="P92" s="112"/>
    </row>
    <row r="93" spans="2:16">
      <c r="B93" s="442" t="s">
        <v>85</v>
      </c>
      <c r="C93" s="112" t="s">
        <v>65</v>
      </c>
      <c r="D93" s="112"/>
      <c r="E93" s="112"/>
      <c r="F93" s="112"/>
      <c r="G93" s="112"/>
      <c r="H93" s="112"/>
      <c r="I93" s="121"/>
      <c r="J93" s="112"/>
      <c r="K93" s="121">
        <v>62101.576821313611</v>
      </c>
      <c r="L93" s="112"/>
      <c r="M93" s="112"/>
      <c r="N93" s="112"/>
      <c r="O93" s="112"/>
      <c r="P93" s="112"/>
    </row>
    <row r="94" spans="2:16">
      <c r="B94" s="442"/>
      <c r="C94" s="112" t="s">
        <v>66</v>
      </c>
      <c r="D94" s="112"/>
      <c r="E94" s="112"/>
      <c r="F94" s="112"/>
      <c r="G94" s="112"/>
      <c r="H94" s="112"/>
      <c r="I94" s="121"/>
      <c r="J94" s="112"/>
      <c r="K94" s="121">
        <v>61463.83224773407</v>
      </c>
      <c r="L94" s="112"/>
      <c r="M94" s="112"/>
      <c r="N94" s="112"/>
      <c r="O94" s="112"/>
      <c r="P94" s="112"/>
    </row>
    <row r="95" spans="2:16">
      <c r="B95" s="443"/>
      <c r="C95" s="112" t="s">
        <v>68</v>
      </c>
      <c r="D95" s="112"/>
      <c r="E95" s="112"/>
      <c r="F95" s="112"/>
      <c r="G95" s="112"/>
      <c r="H95" s="112"/>
      <c r="I95" s="121"/>
      <c r="J95" s="112"/>
      <c r="K95" s="121">
        <v>74372.498108408763</v>
      </c>
      <c r="L95" s="112"/>
      <c r="M95" s="112"/>
      <c r="N95" s="112"/>
      <c r="O95" s="112"/>
      <c r="P95" s="112"/>
    </row>
    <row r="96" spans="2:16">
      <c r="B96" s="110" t="s">
        <v>67</v>
      </c>
      <c r="C96" s="110" t="s">
        <v>67</v>
      </c>
      <c r="D96" s="110"/>
      <c r="E96" s="110"/>
      <c r="F96" s="110"/>
      <c r="G96" s="110"/>
      <c r="H96" s="110"/>
      <c r="I96" s="111"/>
      <c r="J96" s="110"/>
      <c r="K96" s="113">
        <f t="shared" ref="K96:P96" si="22">+SUM(K89:K95)</f>
        <v>786968.5383591929</v>
      </c>
      <c r="L96" s="113">
        <f t="shared" si="22"/>
        <v>0</v>
      </c>
      <c r="M96" s="113">
        <f t="shared" si="22"/>
        <v>0</v>
      </c>
      <c r="N96" s="113">
        <f t="shared" si="22"/>
        <v>0</v>
      </c>
      <c r="O96" s="113">
        <f t="shared" si="22"/>
        <v>0</v>
      </c>
      <c r="P96" s="113">
        <f t="shared" si="22"/>
        <v>0</v>
      </c>
    </row>
    <row r="98" spans="9:10">
      <c r="I98" s="109">
        <f>+I96/1000</f>
        <v>0</v>
      </c>
    </row>
    <row r="100" spans="9:10">
      <c r="I100" s="18">
        <f>+I34</f>
        <v>192.73945322396784</v>
      </c>
    </row>
    <row r="107" spans="9:10">
      <c r="I107" s="109">
        <v>33164.132139999994</v>
      </c>
    </row>
    <row r="108" spans="9:10">
      <c r="I108" s="109">
        <v>33210.250880553096</v>
      </c>
      <c r="J108" s="109">
        <f>+I107-I108</f>
        <v>-46.118740553101816</v>
      </c>
    </row>
  </sheetData>
  <mergeCells count="4">
    <mergeCell ref="B76:B79"/>
    <mergeCell ref="B81:B85"/>
    <mergeCell ref="B89:B91"/>
    <mergeCell ref="B93:B95"/>
  </mergeCells>
  <printOptions horizontalCentered="1"/>
  <pageMargins left="0.39370078740157483" right="0.39370078740157483" top="1.3779527559055118" bottom="1" header="0" footer="0"/>
  <pageSetup paperSize="9" scale="49" orientation="landscape" horizontalDpi="4294967295" verticalDpi="4294967295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BFB2-0F69-483B-BC71-F81FD0689251}">
  <sheetPr codeName="Sheet6">
    <pageSetUpPr fitToPage="1"/>
  </sheetPr>
  <dimension ref="A3:IV108"/>
  <sheetViews>
    <sheetView view="pageBreakPreview" zoomScale="80" zoomScaleNormal="80" zoomScaleSheetLayoutView="80" workbookViewId="0">
      <selection activeCell="C7" sqref="C7:O13"/>
    </sheetView>
  </sheetViews>
  <sheetFormatPr baseColWidth="10" defaultColWidth="9" defaultRowHeight="14.25"/>
  <cols>
    <col min="1" max="1" width="3" style="3" customWidth="1"/>
    <col min="2" max="2" width="15.140625" style="3" customWidth="1"/>
    <col min="3" max="3" width="41.5703125" style="3" bestFit="1" customWidth="1"/>
    <col min="4" max="5" width="18.7109375" style="3" customWidth="1"/>
    <col min="6" max="6" width="15.42578125" style="3" bestFit="1" customWidth="1"/>
    <col min="7" max="7" width="23.5703125" style="3" customWidth="1"/>
    <col min="8" max="8" width="18.7109375" style="3" bestFit="1" customWidth="1"/>
    <col min="9" max="10" width="18.7109375" style="3" customWidth="1"/>
    <col min="11" max="11" width="19.140625" style="3" customWidth="1"/>
    <col min="12" max="12" width="18.7109375" style="3" bestFit="1" customWidth="1"/>
    <col min="13" max="13" width="18.7109375" style="3" customWidth="1"/>
    <col min="14" max="14" width="20.140625" style="3" bestFit="1" customWidth="1"/>
    <col min="15" max="15" width="18.42578125" style="3" customWidth="1"/>
    <col min="16" max="16" width="21.85546875" style="3" customWidth="1"/>
    <col min="17" max="17" width="13.28515625" style="3" customWidth="1"/>
    <col min="18" max="18" width="15.7109375" style="3" customWidth="1"/>
    <col min="19" max="16384" width="9" style="3"/>
  </cols>
  <sheetData>
    <row r="3" spans="3:16" ht="15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3:16" ht="15">
      <c r="C4" s="1" t="s">
        <v>61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3:16" ht="15" thickBot="1"/>
    <row r="6" spans="3:16" ht="15.75" thickTop="1">
      <c r="C6" s="4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6" t="s">
        <v>13</v>
      </c>
      <c r="P6" s="7" t="s">
        <v>14</v>
      </c>
    </row>
    <row r="7" spans="3:16" ht="15">
      <c r="C7" s="8" t="s">
        <v>15</v>
      </c>
      <c r="D7" s="9"/>
      <c r="E7" s="9"/>
      <c r="F7" s="10"/>
      <c r="G7" s="10"/>
      <c r="H7" s="10"/>
      <c r="I7" s="10"/>
      <c r="J7" s="10"/>
      <c r="K7" s="11"/>
      <c r="L7" s="10"/>
      <c r="M7" s="10"/>
      <c r="N7" s="10"/>
      <c r="O7" s="12"/>
      <c r="P7" s="13"/>
    </row>
    <row r="8" spans="3:16">
      <c r="C8" s="14" t="s">
        <v>16</v>
      </c>
      <c r="D8" s="41">
        <v>1228.0921356990336</v>
      </c>
      <c r="E8" s="41">
        <v>986.42802870845799</v>
      </c>
      <c r="F8" s="42">
        <v>862.98338235974313</v>
      </c>
      <c r="G8" s="42">
        <v>1197.3585945510865</v>
      </c>
      <c r="H8" s="42">
        <v>1211.6251885213851</v>
      </c>
      <c r="I8" s="42">
        <v>1206.6492905731202</v>
      </c>
      <c r="J8" s="42">
        <v>1229.4428498382567</v>
      </c>
      <c r="K8" s="43">
        <v>1234.0962155482769</v>
      </c>
      <c r="L8" s="42">
        <v>1175.278707359314</v>
      </c>
      <c r="M8" s="42">
        <v>1209.8880298420581</v>
      </c>
      <c r="N8" s="42">
        <v>1203.1331675970555</v>
      </c>
      <c r="O8" s="44">
        <v>1249.6843983459473</v>
      </c>
      <c r="P8" s="45">
        <f t="shared" ref="P8:P14" si="0">+SUM(D8:O8)</f>
        <v>13994.659988943737</v>
      </c>
    </row>
    <row r="9" spans="3:16">
      <c r="C9" s="14" t="s">
        <v>17</v>
      </c>
      <c r="D9" s="41">
        <v>423.47076373635758</v>
      </c>
      <c r="E9" s="41">
        <v>375.80716600667125</v>
      </c>
      <c r="F9" s="42">
        <v>411.71554093705117</v>
      </c>
      <c r="G9" s="42">
        <v>408.40700267243386</v>
      </c>
      <c r="H9" s="42">
        <v>419.74200153329457</v>
      </c>
      <c r="I9" s="42">
        <v>407.55314069682362</v>
      </c>
      <c r="J9" s="42">
        <v>423.79279398345949</v>
      </c>
      <c r="K9" s="43">
        <v>423.09477677631378</v>
      </c>
      <c r="L9" s="42">
        <v>409.3037982102673</v>
      </c>
      <c r="M9" s="42">
        <v>422.77178155231474</v>
      </c>
      <c r="N9" s="42">
        <v>413.90879313826559</v>
      </c>
      <c r="O9" s="44">
        <v>425.00293560051921</v>
      </c>
      <c r="P9" s="45">
        <f t="shared" si="0"/>
        <v>4964.5704948437715</v>
      </c>
    </row>
    <row r="10" spans="3:16">
      <c r="C10" s="14" t="s">
        <v>18</v>
      </c>
      <c r="D10" s="41">
        <v>3351.5669145441057</v>
      </c>
      <c r="E10" s="41">
        <v>3035.1489489097594</v>
      </c>
      <c r="F10" s="42">
        <v>3220.6893890924453</v>
      </c>
      <c r="G10" s="42">
        <v>3267.6023812255858</v>
      </c>
      <c r="H10" s="42">
        <v>3313.0237736186982</v>
      </c>
      <c r="I10" s="42">
        <v>3252.841006286621</v>
      </c>
      <c r="J10" s="42">
        <v>3336.8612004585266</v>
      </c>
      <c r="K10" s="43">
        <v>3382.6350427246093</v>
      </c>
      <c r="L10" s="42">
        <v>3230.7570271348955</v>
      </c>
      <c r="M10" s="42">
        <v>3380.8875936203003</v>
      </c>
      <c r="N10" s="42">
        <v>3240.9816487415137</v>
      </c>
      <c r="O10" s="44">
        <v>3392.6956146240236</v>
      </c>
      <c r="P10" s="45">
        <f t="shared" si="0"/>
        <v>39405.690540981093</v>
      </c>
    </row>
    <row r="11" spans="3:16">
      <c r="C11" s="14" t="s">
        <v>19</v>
      </c>
      <c r="D11" s="41">
        <v>9586.6309971915489</v>
      </c>
      <c r="E11" s="41">
        <v>9974.9586071285339</v>
      </c>
      <c r="F11" s="42">
        <v>10712.929979545594</v>
      </c>
      <c r="G11" s="42">
        <v>9620.4483746755395</v>
      </c>
      <c r="H11" s="42">
        <v>7866.4878990292455</v>
      </c>
      <c r="I11" s="42">
        <v>7221.2623242456912</v>
      </c>
      <c r="J11" s="42">
        <v>8903.4353372424048</v>
      </c>
      <c r="K11" s="43">
        <v>8834.448562349382</v>
      </c>
      <c r="L11" s="42">
        <v>8333.4381084484139</v>
      </c>
      <c r="M11" s="42">
        <v>9461.5794202218385</v>
      </c>
      <c r="N11" s="42">
        <v>9062.1556841456477</v>
      </c>
      <c r="O11" s="44">
        <v>9489.3619777004951</v>
      </c>
      <c r="P11" s="45">
        <f t="shared" si="0"/>
        <v>109067.13727192435</v>
      </c>
    </row>
    <row r="12" spans="3:16">
      <c r="C12" s="14" t="s">
        <v>20</v>
      </c>
      <c r="D12" s="41">
        <v>68721.66448412546</v>
      </c>
      <c r="E12" s="41">
        <v>71753.264101932407</v>
      </c>
      <c r="F12" s="42">
        <v>87204.525617039646</v>
      </c>
      <c r="G12" s="42">
        <v>62141.100201336434</v>
      </c>
      <c r="H12" s="42">
        <v>49391.121347194217</v>
      </c>
      <c r="I12" s="42">
        <v>49949.567567275437</v>
      </c>
      <c r="J12" s="42">
        <v>54752.706777935418</v>
      </c>
      <c r="K12" s="43">
        <v>54393.778854998454</v>
      </c>
      <c r="L12" s="42">
        <v>51698.2558356874</v>
      </c>
      <c r="M12" s="42">
        <v>58453.850168877485</v>
      </c>
      <c r="N12" s="42">
        <v>55793.440108224589</v>
      </c>
      <c r="O12" s="44">
        <v>57876.761061830846</v>
      </c>
      <c r="P12" s="45">
        <f t="shared" si="0"/>
        <v>722130.03612645785</v>
      </c>
    </row>
    <row r="13" spans="3:16">
      <c r="C13" s="14" t="s">
        <v>21</v>
      </c>
      <c r="D13" s="41">
        <v>5765.1801757896837</v>
      </c>
      <c r="E13" s="41">
        <v>5705.8453545837401</v>
      </c>
      <c r="F13" s="42">
        <v>6167.4170161132815</v>
      </c>
      <c r="G13" s="42">
        <v>5762.8927585601805</v>
      </c>
      <c r="H13" s="42">
        <v>4882.6781718749999</v>
      </c>
      <c r="I13" s="42">
        <v>4997.1142110287901</v>
      </c>
      <c r="J13" s="42">
        <v>5497.7487343342054</v>
      </c>
      <c r="K13" s="43">
        <v>5460.5550182476045</v>
      </c>
      <c r="L13" s="42">
        <v>5171.5087621459961</v>
      </c>
      <c r="M13" s="42">
        <v>5834.0312656249998</v>
      </c>
      <c r="N13" s="42">
        <v>4922.7155384692423</v>
      </c>
      <c r="O13" s="44">
        <v>5831.0249011222122</v>
      </c>
      <c r="P13" s="45">
        <f t="shared" si="0"/>
        <v>65998.711907894947</v>
      </c>
    </row>
    <row r="14" spans="3:16" ht="15">
      <c r="C14" s="15" t="s">
        <v>22</v>
      </c>
      <c r="D14" s="46">
        <f t="shared" ref="D14:O14" si="1">SUM(D8:D13)</f>
        <v>89076.605471086194</v>
      </c>
      <c r="E14" s="46">
        <f t="shared" si="1"/>
        <v>91831.452207269569</v>
      </c>
      <c r="F14" s="46">
        <f t="shared" si="1"/>
        <v>108580.26092508776</v>
      </c>
      <c r="G14" s="46">
        <f t="shared" si="1"/>
        <v>82397.809313021266</v>
      </c>
      <c r="H14" s="46">
        <f t="shared" si="1"/>
        <v>67084.678381771839</v>
      </c>
      <c r="I14" s="46">
        <f t="shared" si="1"/>
        <v>67034.987540106478</v>
      </c>
      <c r="J14" s="46">
        <f t="shared" si="1"/>
        <v>74143.987693792267</v>
      </c>
      <c r="K14" s="46">
        <f t="shared" si="1"/>
        <v>73728.608470644642</v>
      </c>
      <c r="L14" s="46">
        <f t="shared" si="1"/>
        <v>70018.54223898628</v>
      </c>
      <c r="M14" s="46">
        <f t="shared" si="1"/>
        <v>78763.008259738999</v>
      </c>
      <c r="N14" s="46">
        <f t="shared" si="1"/>
        <v>74636.334940316316</v>
      </c>
      <c r="O14" s="47">
        <f t="shared" si="1"/>
        <v>78264.530889224043</v>
      </c>
      <c r="P14" s="48">
        <f t="shared" si="0"/>
        <v>955560.80633104558</v>
      </c>
    </row>
    <row r="15" spans="3:16" ht="15">
      <c r="C15" s="8" t="s">
        <v>23</v>
      </c>
      <c r="D15" s="16"/>
      <c r="E15" s="16"/>
      <c r="F15" s="17"/>
      <c r="G15" s="17"/>
      <c r="H15" s="17"/>
      <c r="I15" s="17"/>
      <c r="J15" s="17"/>
      <c r="K15" s="18"/>
      <c r="L15" s="42"/>
      <c r="M15" s="42"/>
      <c r="N15" s="42"/>
      <c r="O15" s="44"/>
      <c r="P15" s="19"/>
    </row>
    <row r="16" spans="3:16">
      <c r="C16" s="20" t="s">
        <v>24</v>
      </c>
      <c r="D16" s="41">
        <v>0</v>
      </c>
      <c r="E16" s="41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3">
        <v>0</v>
      </c>
      <c r="L16" s="42">
        <v>0</v>
      </c>
      <c r="M16" s="42">
        <v>0</v>
      </c>
      <c r="N16" s="42">
        <v>0</v>
      </c>
      <c r="O16" s="44">
        <v>0</v>
      </c>
      <c r="P16" s="45">
        <f t="shared" ref="P16:P22" si="2">+SUM(D16:O16)</f>
        <v>0</v>
      </c>
    </row>
    <row r="17" spans="3:18">
      <c r="C17" s="14" t="s">
        <v>25</v>
      </c>
      <c r="D17" s="41">
        <v>28.319092254638672</v>
      </c>
      <c r="E17" s="41">
        <v>0</v>
      </c>
      <c r="F17" s="42">
        <v>0</v>
      </c>
      <c r="G17" s="42">
        <v>0</v>
      </c>
      <c r="H17" s="42">
        <v>0</v>
      </c>
      <c r="I17" s="42">
        <v>0</v>
      </c>
      <c r="J17" s="42">
        <v>1.4692601318359375</v>
      </c>
      <c r="K17" s="43">
        <v>0</v>
      </c>
      <c r="L17" s="42">
        <v>1.5684983520507811</v>
      </c>
      <c r="M17" s="42">
        <v>27.83542315673828</v>
      </c>
      <c r="N17" s="42">
        <v>1.2736733398437501</v>
      </c>
      <c r="O17" s="44">
        <v>0</v>
      </c>
      <c r="P17" s="45">
        <f t="shared" si="2"/>
        <v>60.465947235107421</v>
      </c>
    </row>
    <row r="18" spans="3:18">
      <c r="C18" s="20" t="s">
        <v>26</v>
      </c>
      <c r="D18" s="41">
        <v>4.6483677253723146</v>
      </c>
      <c r="E18" s="41">
        <v>551.90290479651367</v>
      </c>
      <c r="F18" s="42">
        <v>0</v>
      </c>
      <c r="G18" s="42">
        <v>0</v>
      </c>
      <c r="H18" s="42">
        <v>0</v>
      </c>
      <c r="I18" s="42">
        <v>0</v>
      </c>
      <c r="J18" s="42">
        <v>101.94738505005836</v>
      </c>
      <c r="K18" s="43">
        <v>92.250460865974418</v>
      </c>
      <c r="L18" s="42">
        <v>13.090176105499268</v>
      </c>
      <c r="M18" s="42">
        <v>0.54703953933715821</v>
      </c>
      <c r="N18" s="42">
        <v>0</v>
      </c>
      <c r="O18" s="44">
        <v>14.290916181564331</v>
      </c>
      <c r="P18" s="45">
        <f t="shared" si="2"/>
        <v>778.67725026431935</v>
      </c>
      <c r="Q18" s="21"/>
    </row>
    <row r="19" spans="3:18">
      <c r="C19" s="20" t="s">
        <v>27</v>
      </c>
      <c r="D19" s="41">
        <v>22.713676116943358</v>
      </c>
      <c r="E19" s="41">
        <v>187.82880802917481</v>
      </c>
      <c r="F19" s="42">
        <v>0.16011644363403321</v>
      </c>
      <c r="G19" s="42">
        <v>20.534106353759764</v>
      </c>
      <c r="H19" s="42">
        <v>20.170125946044923</v>
      </c>
      <c r="I19" s="42">
        <v>0</v>
      </c>
      <c r="J19" s="42">
        <v>157.20748647761346</v>
      </c>
      <c r="K19" s="43">
        <v>120.9154134885699</v>
      </c>
      <c r="L19" s="42">
        <v>0</v>
      </c>
      <c r="M19" s="42">
        <v>0</v>
      </c>
      <c r="N19" s="42">
        <v>20.838455589294433</v>
      </c>
      <c r="O19" s="44">
        <v>1.0982753000259402</v>
      </c>
      <c r="P19" s="45">
        <f t="shared" si="2"/>
        <v>551.46646374506065</v>
      </c>
      <c r="Q19" s="21"/>
    </row>
    <row r="20" spans="3:18">
      <c r="C20" s="40" t="s">
        <v>46</v>
      </c>
      <c r="D20" s="41">
        <v>27458.053507790661</v>
      </c>
      <c r="E20" s="41">
        <v>10168.114579111938</v>
      </c>
      <c r="F20" s="41">
        <v>6530.947290088623</v>
      </c>
      <c r="G20" s="41">
        <v>4028.445429727079</v>
      </c>
      <c r="H20" s="41">
        <v>6715.3369968587467</v>
      </c>
      <c r="I20" s="41">
        <v>3945.6361897640227</v>
      </c>
      <c r="J20" s="41">
        <v>1318.9611660290498</v>
      </c>
      <c r="K20" s="41">
        <v>1254.5912274187208</v>
      </c>
      <c r="L20" s="41">
        <v>778.56738969006767</v>
      </c>
      <c r="M20" s="41">
        <v>1331.094969941435</v>
      </c>
      <c r="N20" s="41">
        <v>8301.7956820090603</v>
      </c>
      <c r="O20" s="43">
        <v>12801.086855990889</v>
      </c>
      <c r="P20" s="45">
        <f t="shared" si="2"/>
        <v>84632.631284420291</v>
      </c>
      <c r="Q20" s="21"/>
    </row>
    <row r="21" spans="3:18" ht="15">
      <c r="C21" s="15" t="s">
        <v>28</v>
      </c>
      <c r="D21" s="46">
        <f t="shared" ref="D21:O21" si="3">SUM(D16:D20)</f>
        <v>27513.734643887616</v>
      </c>
      <c r="E21" s="46">
        <f t="shared" si="3"/>
        <v>10907.846291937627</v>
      </c>
      <c r="F21" s="46">
        <f t="shared" si="3"/>
        <v>6531.1074065322573</v>
      </c>
      <c r="G21" s="46">
        <f t="shared" si="3"/>
        <v>4048.9795360808389</v>
      </c>
      <c r="H21" s="46">
        <f t="shared" si="3"/>
        <v>6735.5071228047918</v>
      </c>
      <c r="I21" s="46">
        <f t="shared" si="3"/>
        <v>3945.6361897640227</v>
      </c>
      <c r="J21" s="46">
        <f t="shared" si="3"/>
        <v>1579.5852976885576</v>
      </c>
      <c r="K21" s="46">
        <f t="shared" si="3"/>
        <v>1467.757101773265</v>
      </c>
      <c r="L21" s="46">
        <f t="shared" si="3"/>
        <v>793.22606414761776</v>
      </c>
      <c r="M21" s="46">
        <f t="shared" si="3"/>
        <v>1359.4774326375104</v>
      </c>
      <c r="N21" s="46">
        <f t="shared" si="3"/>
        <v>8323.907810938199</v>
      </c>
      <c r="O21" s="47">
        <f t="shared" si="3"/>
        <v>12816.476047472479</v>
      </c>
      <c r="P21" s="48">
        <f t="shared" si="2"/>
        <v>86023.240945664787</v>
      </c>
    </row>
    <row r="22" spans="3:18" ht="15.75" thickBot="1">
      <c r="C22" s="22" t="s">
        <v>29</v>
      </c>
      <c r="D22" s="49">
        <f t="shared" ref="D22:O22" si="4">+D14+D21</f>
        <v>116590.34011497381</v>
      </c>
      <c r="E22" s="49">
        <f t="shared" si="4"/>
        <v>102739.2984992072</v>
      </c>
      <c r="F22" s="49">
        <f t="shared" si="4"/>
        <v>115111.36833162002</v>
      </c>
      <c r="G22" s="49">
        <f t="shared" si="4"/>
        <v>86446.7888491021</v>
      </c>
      <c r="H22" s="49">
        <f t="shared" si="4"/>
        <v>73820.185504576628</v>
      </c>
      <c r="I22" s="49">
        <f t="shared" si="4"/>
        <v>70980.623729870495</v>
      </c>
      <c r="J22" s="49">
        <f t="shared" si="4"/>
        <v>75723.572991480818</v>
      </c>
      <c r="K22" s="49">
        <f t="shared" si="4"/>
        <v>75196.365572417912</v>
      </c>
      <c r="L22" s="49">
        <f t="shared" si="4"/>
        <v>70811.768303133897</v>
      </c>
      <c r="M22" s="49">
        <f t="shared" si="4"/>
        <v>80122.485692376504</v>
      </c>
      <c r="N22" s="49">
        <f t="shared" si="4"/>
        <v>82960.242751254511</v>
      </c>
      <c r="O22" s="50">
        <f t="shared" si="4"/>
        <v>91081.006936696518</v>
      </c>
      <c r="P22" s="51">
        <f t="shared" si="2"/>
        <v>1041584.0472767104</v>
      </c>
    </row>
    <row r="23" spans="3:18" ht="15" thickTop="1">
      <c r="Q23" s="3">
        <v>1000</v>
      </c>
    </row>
    <row r="24" spans="3:18" ht="15">
      <c r="C24" s="1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3:18" ht="15" thickBot="1"/>
    <row r="26" spans="3:18" ht="15.75" thickTop="1">
      <c r="C26" s="29" t="s">
        <v>30</v>
      </c>
      <c r="D26" s="30" t="s">
        <v>2</v>
      </c>
      <c r="E26" s="31" t="s">
        <v>3</v>
      </c>
      <c r="F26" s="31" t="s">
        <v>4</v>
      </c>
      <c r="G26" s="31" t="s">
        <v>5</v>
      </c>
      <c r="H26" s="31" t="s">
        <v>6</v>
      </c>
      <c r="I26" s="31" t="s">
        <v>7</v>
      </c>
      <c r="J26" s="31" t="s">
        <v>8</v>
      </c>
      <c r="K26" s="31" t="s">
        <v>9</v>
      </c>
      <c r="L26" s="31" t="s">
        <v>10</v>
      </c>
      <c r="M26" s="31" t="s">
        <v>11</v>
      </c>
      <c r="N26" s="31" t="s">
        <v>12</v>
      </c>
      <c r="O26" s="32" t="s">
        <v>13</v>
      </c>
      <c r="P26" s="33" t="s">
        <v>14</v>
      </c>
    </row>
    <row r="27" spans="3:18" ht="15">
      <c r="C27" s="23" t="s">
        <v>31</v>
      </c>
      <c r="D27" s="152">
        <f t="shared" ref="D27:O27" si="5">+D28+D29</f>
        <v>116590.34011497381</v>
      </c>
      <c r="E27" s="153">
        <f t="shared" si="5"/>
        <v>102739.2984992072</v>
      </c>
      <c r="F27" s="154">
        <f t="shared" si="5"/>
        <v>115111.36833162002</v>
      </c>
      <c r="G27" s="154">
        <f t="shared" si="5"/>
        <v>86446.7888491021</v>
      </c>
      <c r="H27" s="154">
        <f t="shared" si="5"/>
        <v>73820.185504576628</v>
      </c>
      <c r="I27" s="154">
        <f t="shared" si="5"/>
        <v>70980.623729870495</v>
      </c>
      <c r="J27" s="141">
        <f t="shared" si="5"/>
        <v>75723.572991480818</v>
      </c>
      <c r="K27" s="154">
        <f t="shared" si="5"/>
        <v>75196.365572417912</v>
      </c>
      <c r="L27" s="154">
        <f t="shared" si="5"/>
        <v>70811.768303133897</v>
      </c>
      <c r="M27" s="154">
        <f t="shared" si="5"/>
        <v>80122.485692376504</v>
      </c>
      <c r="N27" s="154">
        <f t="shared" si="5"/>
        <v>82960.242751254496</v>
      </c>
      <c r="O27" s="155">
        <f t="shared" si="5"/>
        <v>91081.006936696518</v>
      </c>
      <c r="P27" s="156">
        <f>SUM(D27:O27)</f>
        <v>1041584.0472767104</v>
      </c>
      <c r="R27" s="18"/>
    </row>
    <row r="28" spans="3:18">
      <c r="C28" s="24" t="s">
        <v>32</v>
      </c>
      <c r="D28" s="157">
        <v>89076.605471086194</v>
      </c>
      <c r="E28" s="121">
        <v>91831.452207269569</v>
      </c>
      <c r="F28" s="121">
        <v>108580.26092508776</v>
      </c>
      <c r="G28" s="121">
        <v>82397.809313021266</v>
      </c>
      <c r="H28" s="121">
        <v>67084.678381771839</v>
      </c>
      <c r="I28" s="121">
        <v>67034.987540106478</v>
      </c>
      <c r="J28" s="121">
        <v>74143.987693792267</v>
      </c>
      <c r="K28" s="121">
        <v>73728.608470644642</v>
      </c>
      <c r="L28" s="121">
        <v>70018.54223898628</v>
      </c>
      <c r="M28" s="121">
        <v>78763.008259738999</v>
      </c>
      <c r="N28" s="121">
        <f>74636334.9403163/1000</f>
        <v>74636.334940316301</v>
      </c>
      <c r="O28" s="121">
        <v>78264.530889224043</v>
      </c>
      <c r="P28" s="158">
        <f t="shared" ref="P28:P57" si="6">SUM(D28:O28)</f>
        <v>955560.80633104558</v>
      </c>
      <c r="R28" s="18"/>
    </row>
    <row r="29" spans="3:18">
      <c r="C29" s="25" t="s">
        <v>33</v>
      </c>
      <c r="D29" s="159">
        <v>27513.734643887612</v>
      </c>
      <c r="E29" s="160">
        <v>10907.846291937627</v>
      </c>
      <c r="F29" s="160">
        <v>6531.1074065322582</v>
      </c>
      <c r="G29" s="160">
        <v>4048.9795360808389</v>
      </c>
      <c r="H29" s="160">
        <v>6735.5071228047909</v>
      </c>
      <c r="I29" s="160">
        <v>3945.6361897640227</v>
      </c>
      <c r="J29" s="160">
        <v>1579.5852976885576</v>
      </c>
      <c r="K29" s="160">
        <v>1467.7571017732648</v>
      </c>
      <c r="L29" s="160">
        <v>793.22606414761776</v>
      </c>
      <c r="M29" s="160">
        <v>1359.4774326375104</v>
      </c>
      <c r="N29" s="160">
        <f>8323907.8109382/1000</f>
        <v>8323.9078109382008</v>
      </c>
      <c r="O29" s="160">
        <v>12816.476047472481</v>
      </c>
      <c r="P29" s="161">
        <f t="shared" si="6"/>
        <v>86023.240945664773</v>
      </c>
      <c r="R29" s="18"/>
    </row>
    <row r="30" spans="3:18" ht="15">
      <c r="C30" s="23" t="s">
        <v>34</v>
      </c>
      <c r="D30" s="162">
        <f t="shared" ref="D30:O30" si="7">+D31</f>
        <v>0</v>
      </c>
      <c r="E30" s="141">
        <f t="shared" si="7"/>
        <v>0</v>
      </c>
      <c r="F30" s="141">
        <f t="shared" si="7"/>
        <v>0</v>
      </c>
      <c r="G30" s="141">
        <f t="shared" si="7"/>
        <v>0</v>
      </c>
      <c r="H30" s="154">
        <f t="shared" si="7"/>
        <v>0</v>
      </c>
      <c r="I30" s="154">
        <f t="shared" si="7"/>
        <v>0</v>
      </c>
      <c r="J30" s="141">
        <f t="shared" si="7"/>
        <v>4111.8636101969005</v>
      </c>
      <c r="K30" s="141">
        <f t="shared" si="7"/>
        <v>1905.4540713962001</v>
      </c>
      <c r="L30" s="141">
        <f t="shared" si="7"/>
        <v>0</v>
      </c>
      <c r="M30" s="141">
        <f t="shared" si="7"/>
        <v>1662.0305691945</v>
      </c>
      <c r="N30" s="141">
        <f t="shared" si="7"/>
        <v>0</v>
      </c>
      <c r="O30" s="155">
        <f t="shared" si="7"/>
        <v>0</v>
      </c>
      <c r="P30" s="156">
        <f t="shared" si="6"/>
        <v>7679.3482507875997</v>
      </c>
      <c r="R30" s="18"/>
    </row>
    <row r="31" spans="3:18">
      <c r="C31" s="24" t="s">
        <v>41</v>
      </c>
      <c r="D31" s="163">
        <v>0</v>
      </c>
      <c r="E31" s="164">
        <v>0</v>
      </c>
      <c r="F31" s="164">
        <v>0</v>
      </c>
      <c r="G31" s="164">
        <v>0</v>
      </c>
      <c r="H31" s="121">
        <v>0</v>
      </c>
      <c r="I31" s="121">
        <v>0</v>
      </c>
      <c r="J31" s="116">
        <v>4111.8636101969005</v>
      </c>
      <c r="K31" s="116">
        <v>1905.4540713962001</v>
      </c>
      <c r="L31" s="116">
        <v>0</v>
      </c>
      <c r="M31" s="116">
        <v>1662.0305691945</v>
      </c>
      <c r="N31" s="116">
        <v>0</v>
      </c>
      <c r="O31" s="165"/>
      <c r="P31" s="158">
        <f t="shared" si="6"/>
        <v>7679.3482507875997</v>
      </c>
      <c r="R31" s="18"/>
    </row>
    <row r="32" spans="3:18" ht="15">
      <c r="C32" s="23" t="s">
        <v>35</v>
      </c>
      <c r="D32" s="152">
        <f>+D33+D34</f>
        <v>425.41875159954196</v>
      </c>
      <c r="E32" s="154">
        <f t="shared" ref="E32:O32" si="8">+E33+E34</f>
        <v>392.1048405559568</v>
      </c>
      <c r="F32" s="154">
        <f t="shared" si="8"/>
        <v>367.90234176099398</v>
      </c>
      <c r="G32" s="154">
        <f t="shared" si="8"/>
        <v>330.86296204615644</v>
      </c>
      <c r="H32" s="154">
        <f t="shared" si="8"/>
        <v>332.21454926909001</v>
      </c>
      <c r="I32" s="154">
        <f t="shared" si="8"/>
        <v>497.07395891947101</v>
      </c>
      <c r="J32" s="154">
        <f t="shared" si="8"/>
        <v>461.6601876705534</v>
      </c>
      <c r="K32" s="154">
        <f t="shared" si="8"/>
        <v>319.34972072250991</v>
      </c>
      <c r="L32" s="154">
        <f t="shared" si="8"/>
        <v>302.32378722556319</v>
      </c>
      <c r="M32" s="154">
        <f t="shared" si="8"/>
        <v>311.45074504138222</v>
      </c>
      <c r="N32" s="154">
        <f t="shared" si="8"/>
        <v>329.91676006962211</v>
      </c>
      <c r="O32" s="166">
        <f t="shared" si="8"/>
        <v>321.19503839440415</v>
      </c>
      <c r="P32" s="156">
        <f t="shared" si="6"/>
        <v>4391.4736432752452</v>
      </c>
      <c r="R32" s="18"/>
    </row>
    <row r="33" spans="2:20">
      <c r="C33" s="24" t="s">
        <v>32</v>
      </c>
      <c r="D33" s="163">
        <v>319.19512285443824</v>
      </c>
      <c r="E33" s="116">
        <v>304.26569136008214</v>
      </c>
      <c r="F33" s="116">
        <v>343.00387522286979</v>
      </c>
      <c r="G33" s="116">
        <v>314.31736468000537</v>
      </c>
      <c r="H33" s="116">
        <v>304.53581959973212</v>
      </c>
      <c r="I33" s="116">
        <v>304.3345056955032</v>
      </c>
      <c r="J33" s="116">
        <v>310.33158670738032</v>
      </c>
      <c r="K33" s="116">
        <v>302.59469708083361</v>
      </c>
      <c r="L33" s="116">
        <v>299.11276273125043</v>
      </c>
      <c r="M33" s="116">
        <v>307.57254327107569</v>
      </c>
      <c r="N33" s="116">
        <v>295.35651057060284</v>
      </c>
      <c r="O33" s="165">
        <f>289.454726041317-5.79740113270283</f>
        <v>283.65732490861416</v>
      </c>
      <c r="P33" s="158">
        <f t="shared" si="6"/>
        <v>3688.2778046823878</v>
      </c>
      <c r="R33" s="18"/>
    </row>
    <row r="34" spans="2:20">
      <c r="C34" s="26" t="s">
        <v>33</v>
      </c>
      <c r="D34" s="167">
        <v>106.22362874510372</v>
      </c>
      <c r="E34" s="164">
        <v>87.839149195874683</v>
      </c>
      <c r="F34" s="164">
        <v>24.898466538124179</v>
      </c>
      <c r="G34" s="164">
        <v>16.545597366151082</v>
      </c>
      <c r="H34" s="164">
        <v>27.678729669357885</v>
      </c>
      <c r="I34" s="164">
        <v>192.73945322396784</v>
      </c>
      <c r="J34" s="164">
        <v>151.32860096317307</v>
      </c>
      <c r="K34" s="164">
        <v>16.755023641676328</v>
      </c>
      <c r="L34" s="164">
        <v>3.2110244943127806</v>
      </c>
      <c r="M34" s="116">
        <v>3.8782017703065383</v>
      </c>
      <c r="N34" s="164">
        <v>34.560249499019292</v>
      </c>
      <c r="O34" s="182">
        <v>37.537713485790022</v>
      </c>
      <c r="P34" s="161">
        <f t="shared" si="6"/>
        <v>703.19583859285751</v>
      </c>
      <c r="R34" s="18"/>
    </row>
    <row r="35" spans="2:20" ht="15">
      <c r="C35" s="27" t="s">
        <v>36</v>
      </c>
      <c r="D35" s="168">
        <f t="shared" ref="D35:O35" si="9">+D36+D37</f>
        <v>1506.075194261648</v>
      </c>
      <c r="E35" s="140">
        <f t="shared" si="9"/>
        <v>1316.0620490569563</v>
      </c>
      <c r="F35" s="140">
        <f t="shared" si="9"/>
        <v>1501.3847624637128</v>
      </c>
      <c r="G35" s="140">
        <f t="shared" si="9"/>
        <v>1229.4982440929452</v>
      </c>
      <c r="H35" s="140">
        <f t="shared" si="9"/>
        <v>1113.3409078462428</v>
      </c>
      <c r="I35" s="140">
        <f t="shared" si="9"/>
        <v>876.02619033663359</v>
      </c>
      <c r="J35" s="142">
        <f t="shared" si="9"/>
        <v>916.3148709651432</v>
      </c>
      <c r="K35" s="142">
        <f t="shared" si="9"/>
        <v>1006.1535060519964</v>
      </c>
      <c r="L35" s="142">
        <f t="shared" si="9"/>
        <v>939.75718484223762</v>
      </c>
      <c r="M35" s="141">
        <f t="shared" si="9"/>
        <v>1054.0845329768199</v>
      </c>
      <c r="N35" s="142">
        <f t="shared" si="9"/>
        <v>1080.0646935081604</v>
      </c>
      <c r="O35" s="148">
        <f t="shared" si="9"/>
        <v>1217.0337656934134</v>
      </c>
      <c r="P35" s="169">
        <f t="shared" si="6"/>
        <v>13755.79590209591</v>
      </c>
      <c r="R35" s="18"/>
    </row>
    <row r="36" spans="2:20">
      <c r="C36" s="24" t="s">
        <v>37</v>
      </c>
      <c r="D36" s="163">
        <v>602.4300777046592</v>
      </c>
      <c r="E36" s="116">
        <v>526.42481962278259</v>
      </c>
      <c r="F36" s="116">
        <v>600.55390498548513</v>
      </c>
      <c r="G36" s="116">
        <v>491.79929763717814</v>
      </c>
      <c r="H36" s="116">
        <v>445.33636313849712</v>
      </c>
      <c r="I36" s="116">
        <v>350.41047613465344</v>
      </c>
      <c r="J36" s="116">
        <v>366.52594838605728</v>
      </c>
      <c r="K36" s="116">
        <v>402.46140242079855</v>
      </c>
      <c r="L36" s="116">
        <v>375.90287393689505</v>
      </c>
      <c r="M36" s="116">
        <v>421.63381319072801</v>
      </c>
      <c r="N36" s="116">
        <v>432.02587740326419</v>
      </c>
      <c r="O36" s="116">
        <v>486.81350627736538</v>
      </c>
      <c r="P36" s="158">
        <f t="shared" si="6"/>
        <v>5502.3183608383642</v>
      </c>
      <c r="R36" s="18"/>
      <c r="T36" s="18"/>
    </row>
    <row r="37" spans="2:20">
      <c r="C37" s="24" t="s">
        <v>38</v>
      </c>
      <c r="D37" s="163">
        <v>903.6451165569888</v>
      </c>
      <c r="E37" s="116">
        <v>789.63722943417372</v>
      </c>
      <c r="F37" s="116">
        <v>900.8308574782277</v>
      </c>
      <c r="G37" s="116">
        <v>737.6989464557671</v>
      </c>
      <c r="H37" s="116">
        <v>668.00454470774559</v>
      </c>
      <c r="I37" s="116">
        <v>525.61571420198015</v>
      </c>
      <c r="J37" s="116">
        <v>549.78892257908592</v>
      </c>
      <c r="K37" s="164">
        <v>603.69210363119782</v>
      </c>
      <c r="L37" s="164">
        <v>563.85431090534257</v>
      </c>
      <c r="M37" s="164">
        <v>632.4507197860919</v>
      </c>
      <c r="N37" s="164">
        <v>648.03881610489623</v>
      </c>
      <c r="O37" s="164">
        <v>730.22025941604807</v>
      </c>
      <c r="P37" s="158">
        <f t="shared" si="6"/>
        <v>8253.4775412575455</v>
      </c>
      <c r="S37" s="18"/>
      <c r="T37" s="18"/>
    </row>
    <row r="38" spans="2:20" ht="15">
      <c r="B38" s="145"/>
      <c r="C38" s="34" t="s">
        <v>39</v>
      </c>
      <c r="D38" s="170">
        <f t="shared" ref="D38:J38" si="10">+D27+D30-D32-D35</f>
        <v>114658.84616911261</v>
      </c>
      <c r="E38" s="146">
        <f t="shared" si="10"/>
        <v>101031.13160959429</v>
      </c>
      <c r="F38" s="146">
        <f t="shared" si="10"/>
        <v>113242.08122739531</v>
      </c>
      <c r="G38" s="146">
        <f t="shared" si="10"/>
        <v>84886.427642962997</v>
      </c>
      <c r="H38" s="146">
        <f t="shared" si="10"/>
        <v>72374.630047461294</v>
      </c>
      <c r="I38" s="146">
        <f t="shared" si="10"/>
        <v>69607.52358061439</v>
      </c>
      <c r="J38" s="146">
        <f t="shared" si="10"/>
        <v>78457.461543042024</v>
      </c>
      <c r="K38" s="146">
        <f>+K27+K30-K32-K35</f>
        <v>75776.316417039605</v>
      </c>
      <c r="L38" s="146">
        <f>+L27+L30-L32-L35</f>
        <v>69569.687331066089</v>
      </c>
      <c r="M38" s="146">
        <f>+M27+M30-M32-M35</f>
        <v>80418.980983552799</v>
      </c>
      <c r="N38" s="146">
        <f>+N27+N30-N32-N35</f>
        <v>81550.261297676712</v>
      </c>
      <c r="O38" s="146">
        <f>+O27+O30-O32-O35</f>
        <v>89542.778132608699</v>
      </c>
      <c r="P38" s="172">
        <f t="shared" si="6"/>
        <v>1031116.1259821268</v>
      </c>
      <c r="R38" s="18"/>
    </row>
    <row r="39" spans="2:20" ht="15">
      <c r="C39" s="34" t="s">
        <v>40</v>
      </c>
      <c r="D39" s="170">
        <f t="shared" ref="D39:J39" si="11">+D40+D43+D54</f>
        <v>114658.84616911261</v>
      </c>
      <c r="E39" s="146">
        <f t="shared" si="11"/>
        <v>101031.13160959429</v>
      </c>
      <c r="F39" s="146">
        <f t="shared" si="11"/>
        <v>113242.08122739531</v>
      </c>
      <c r="G39" s="146">
        <f t="shared" si="11"/>
        <v>84886.427642962997</v>
      </c>
      <c r="H39" s="146">
        <f t="shared" si="11"/>
        <v>72374.630047461294</v>
      </c>
      <c r="I39" s="146">
        <f t="shared" si="11"/>
        <v>69607.52358061439</v>
      </c>
      <c r="J39" s="146">
        <f t="shared" si="11"/>
        <v>78457.461543042024</v>
      </c>
      <c r="K39" s="203">
        <f>+K40+K43+K54</f>
        <v>75776.316417039605</v>
      </c>
      <c r="L39" s="203">
        <f>+L40+L43+L54</f>
        <v>69569.687331066089</v>
      </c>
      <c r="M39" s="203">
        <f>+M40+M43+M54</f>
        <v>80418.980983552799</v>
      </c>
      <c r="N39" s="203">
        <f>+N40+N43+N54</f>
        <v>81550.261297676712</v>
      </c>
      <c r="O39" s="203">
        <f>+O40+O43+O54</f>
        <v>89542.778132608699</v>
      </c>
      <c r="P39" s="172">
        <f t="shared" si="6"/>
        <v>1031116.1259821268</v>
      </c>
      <c r="R39" s="18"/>
    </row>
    <row r="40" spans="2:20" ht="15">
      <c r="C40" s="27" t="s">
        <v>44</v>
      </c>
      <c r="D40" s="149">
        <f>+D41+D42</f>
        <v>58300.336019112612</v>
      </c>
      <c r="E40" s="142">
        <f>+E41+E42</f>
        <v>47443.382109594299</v>
      </c>
      <c r="F40" s="142">
        <f>+F41+F42</f>
        <v>55875.834707395297</v>
      </c>
      <c r="G40" s="142">
        <f t="shared" ref="G40:O40" si="12">+G41+G42</f>
        <v>28305.500852962999</v>
      </c>
      <c r="H40" s="142">
        <f t="shared" si="12"/>
        <v>15953.7190974613</v>
      </c>
      <c r="I40" s="142">
        <f t="shared" si="12"/>
        <v>15701.532520614401</v>
      </c>
      <c r="J40" s="142">
        <f t="shared" si="12"/>
        <v>23271.496933041999</v>
      </c>
      <c r="K40" s="142">
        <f t="shared" si="12"/>
        <v>20566.977957039599</v>
      </c>
      <c r="L40" s="142">
        <f t="shared" si="12"/>
        <v>15858.081931066101</v>
      </c>
      <c r="M40" s="142">
        <f t="shared" si="12"/>
        <v>25526.263413552799</v>
      </c>
      <c r="N40" s="142">
        <f t="shared" si="12"/>
        <v>27005.5912576767</v>
      </c>
      <c r="O40" s="142">
        <f t="shared" si="12"/>
        <v>32040.742542608699</v>
      </c>
      <c r="P40" s="169">
        <f t="shared" si="6"/>
        <v>365849.45934212679</v>
      </c>
      <c r="R40" s="18"/>
      <c r="S40" s="18"/>
    </row>
    <row r="41" spans="2:20">
      <c r="C41" s="24" t="s">
        <v>41</v>
      </c>
      <c r="D41" s="186">
        <v>58300.336019112612</v>
      </c>
      <c r="E41" s="189">
        <v>47443.382109594299</v>
      </c>
      <c r="F41" s="189">
        <v>55875.834707395297</v>
      </c>
      <c r="G41" s="196">
        <v>28305.500852962999</v>
      </c>
      <c r="H41" s="189">
        <v>15953.7190974613</v>
      </c>
      <c r="I41" s="189">
        <v>15701.532520614401</v>
      </c>
      <c r="J41" s="189">
        <v>23271.496933041999</v>
      </c>
      <c r="K41" s="189">
        <v>20566.977957039599</v>
      </c>
      <c r="L41" s="189">
        <v>15858.081931066101</v>
      </c>
      <c r="M41" s="189">
        <v>25526.263413552799</v>
      </c>
      <c r="N41" s="189">
        <v>27005.5912576767</v>
      </c>
      <c r="O41" s="204">
        <v>32040.742542608699</v>
      </c>
      <c r="P41" s="158">
        <f t="shared" si="6"/>
        <v>365849.45934212679</v>
      </c>
      <c r="Q41" s="18"/>
      <c r="R41" s="18"/>
    </row>
    <row r="42" spans="2:20">
      <c r="C42" s="24" t="s">
        <v>45</v>
      </c>
      <c r="D42" s="163">
        <v>0</v>
      </c>
      <c r="E42" s="116">
        <v>0</v>
      </c>
      <c r="F42" s="147">
        <v>0</v>
      </c>
      <c r="G42" s="116">
        <v>0</v>
      </c>
      <c r="H42" s="116">
        <v>0</v>
      </c>
      <c r="I42" s="116">
        <v>0</v>
      </c>
      <c r="J42" s="116">
        <v>0</v>
      </c>
      <c r="K42" s="116"/>
      <c r="L42" s="116"/>
      <c r="M42" s="116"/>
      <c r="N42" s="116"/>
      <c r="O42" s="165"/>
      <c r="P42" s="158">
        <f t="shared" si="6"/>
        <v>0</v>
      </c>
      <c r="Q42" s="18"/>
      <c r="R42" s="18"/>
    </row>
    <row r="43" spans="2:20" ht="15">
      <c r="C43" s="27" t="s">
        <v>42</v>
      </c>
      <c r="D43" s="149">
        <f>SUM(D44:D52)</f>
        <v>53466.246530000004</v>
      </c>
      <c r="E43" s="148">
        <f>SUM(E44:E52)</f>
        <v>50947.864919999993</v>
      </c>
      <c r="F43" s="148">
        <f>SUM(F44:F52)</f>
        <v>54343.255070000014</v>
      </c>
      <c r="G43" s="142">
        <f>SUM(G44:G53)</f>
        <v>53752.840920000002</v>
      </c>
      <c r="H43" s="142">
        <f t="shared" ref="H43:O43" si="13">SUM(H44:H53)</f>
        <v>53280.577660000003</v>
      </c>
      <c r="I43" s="142">
        <f t="shared" si="13"/>
        <v>50947.108439999989</v>
      </c>
      <c r="J43" s="142">
        <f t="shared" si="13"/>
        <v>52069.039170000018</v>
      </c>
      <c r="K43" s="142">
        <f t="shared" si="13"/>
        <v>52442.447589999996</v>
      </c>
      <c r="L43" s="142">
        <f t="shared" si="13"/>
        <v>51051.298799999997</v>
      </c>
      <c r="M43" s="142">
        <f t="shared" si="13"/>
        <v>52253.438979999999</v>
      </c>
      <c r="N43" s="142">
        <f t="shared" si="13"/>
        <v>51928.421190000001</v>
      </c>
      <c r="O43" s="142">
        <f t="shared" si="13"/>
        <v>55212.541259999998</v>
      </c>
      <c r="P43" s="142">
        <f>SUM(P44:P53)</f>
        <v>631695.08053000004</v>
      </c>
      <c r="R43" s="18"/>
    </row>
    <row r="44" spans="2:20">
      <c r="C44" s="24" t="s">
        <v>47</v>
      </c>
      <c r="D44" s="163">
        <v>12092.203049999998</v>
      </c>
      <c r="E44" s="174">
        <v>11329.898130000003</v>
      </c>
      <c r="F44" s="116">
        <v>12293.932279999999</v>
      </c>
      <c r="G44" s="116">
        <v>11811.545869999998</v>
      </c>
      <c r="H44" s="116">
        <v>11678.863210000001</v>
      </c>
      <c r="I44" s="116">
        <v>11183.291809999999</v>
      </c>
      <c r="J44" s="116">
        <v>11369.88818</v>
      </c>
      <c r="K44" s="116">
        <v>11358.021340000001</v>
      </c>
      <c r="L44" s="116">
        <v>10996.76066</v>
      </c>
      <c r="M44" s="116">
        <v>11516.385850000002</v>
      </c>
      <c r="N44" s="116">
        <v>11381.286930000002</v>
      </c>
      <c r="O44" s="165">
        <v>11916.500480000001</v>
      </c>
      <c r="P44" s="158">
        <f t="shared" si="6"/>
        <v>138928.57779000001</v>
      </c>
      <c r="Q44" s="109"/>
      <c r="R44" s="18"/>
    </row>
    <row r="45" spans="2:20" s="194" customFormat="1">
      <c r="C45" s="195" t="s">
        <v>48</v>
      </c>
      <c r="D45" s="199">
        <v>34776.22049</v>
      </c>
      <c r="E45" s="200">
        <v>32884.997459999999</v>
      </c>
      <c r="F45" s="201">
        <v>35483.04611000001</v>
      </c>
      <c r="G45" s="202">
        <v>33717.321480000006</v>
      </c>
      <c r="H45" s="202">
        <v>33312.554389999998</v>
      </c>
      <c r="I45" s="202">
        <v>31912.104059999994</v>
      </c>
      <c r="J45" s="202">
        <v>32165.727870000006</v>
      </c>
      <c r="K45" s="202">
        <v>32153.290919999999</v>
      </c>
      <c r="L45" s="202">
        <v>30878.05746</v>
      </c>
      <c r="M45" s="202">
        <v>32150.16923</v>
      </c>
      <c r="N45" s="202">
        <v>31823.474429999998</v>
      </c>
      <c r="O45" s="204">
        <v>33197.63276</v>
      </c>
      <c r="P45" s="197">
        <f t="shared" si="6"/>
        <v>394454.59665999998</v>
      </c>
      <c r="Q45" s="198"/>
      <c r="R45" s="102"/>
    </row>
    <row r="46" spans="2:20">
      <c r="C46" s="24" t="s">
        <v>49</v>
      </c>
      <c r="D46" s="163">
        <v>588.39278999999999</v>
      </c>
      <c r="E46" s="174">
        <v>536.36628999999994</v>
      </c>
      <c r="F46" s="147">
        <v>606.09712000000002</v>
      </c>
      <c r="G46" s="116">
        <v>564.01937999999996</v>
      </c>
      <c r="H46" s="116">
        <v>549.73437000000001</v>
      </c>
      <c r="I46" s="116">
        <v>508.47030999999993</v>
      </c>
      <c r="J46" s="116">
        <v>529.16399999999999</v>
      </c>
      <c r="K46" s="116">
        <v>521.58836999999994</v>
      </c>
      <c r="L46" s="116">
        <v>496.76963000000001</v>
      </c>
      <c r="M46" s="116">
        <v>527.14210000000003</v>
      </c>
      <c r="N46" s="116">
        <v>525.20128</v>
      </c>
      <c r="O46" s="165">
        <v>574.57210000000009</v>
      </c>
      <c r="P46" s="158">
        <f t="shared" si="6"/>
        <v>6527.5177399999993</v>
      </c>
      <c r="Q46" s="109"/>
      <c r="R46" s="18"/>
    </row>
    <row r="47" spans="2:20">
      <c r="C47" s="24" t="s">
        <v>50</v>
      </c>
      <c r="D47" s="163">
        <v>1290.4922400000003</v>
      </c>
      <c r="E47" s="174">
        <v>1263.85337</v>
      </c>
      <c r="F47" s="147">
        <v>1311.5347199999999</v>
      </c>
      <c r="G47" s="116">
        <v>1222.2812099999999</v>
      </c>
      <c r="H47" s="116">
        <v>1220.3276000000001</v>
      </c>
      <c r="I47" s="116">
        <v>1180.2344399999999</v>
      </c>
      <c r="J47" s="116">
        <v>1186.49459</v>
      </c>
      <c r="K47" s="116">
        <v>1146.12517</v>
      </c>
      <c r="L47" s="116">
        <v>1130.63635</v>
      </c>
      <c r="M47" s="116">
        <v>1210.8368499999999</v>
      </c>
      <c r="N47" s="116">
        <v>1212.6666099999998</v>
      </c>
      <c r="O47" s="165">
        <v>1259.67796</v>
      </c>
      <c r="P47" s="158">
        <f t="shared" si="6"/>
        <v>14635.161110000001</v>
      </c>
      <c r="Q47" s="109"/>
      <c r="R47" s="18"/>
    </row>
    <row r="48" spans="2:20">
      <c r="C48" s="24" t="s">
        <v>51</v>
      </c>
      <c r="D48" s="163">
        <v>880.79773000000012</v>
      </c>
      <c r="E48" s="174">
        <v>799.14483999999993</v>
      </c>
      <c r="F48" s="147">
        <v>915.66387999999995</v>
      </c>
      <c r="G48" s="116">
        <v>907.74940000000004</v>
      </c>
      <c r="H48" s="116">
        <v>959.15319999999997</v>
      </c>
      <c r="I48" s="116">
        <v>948.50869999999998</v>
      </c>
      <c r="J48" s="116">
        <v>1021.4782800000003</v>
      </c>
      <c r="K48" s="116">
        <v>1019.9542700000001</v>
      </c>
      <c r="L48" s="116">
        <f>987282.6/1000</f>
        <v>987.2826</v>
      </c>
      <c r="M48" s="116">
        <v>1023.19891</v>
      </c>
      <c r="N48" s="116">
        <f>957910.55/1000</f>
        <v>957.91055000000006</v>
      </c>
      <c r="O48" s="165">
        <v>989.06925000000012</v>
      </c>
      <c r="P48" s="158">
        <f t="shared" si="6"/>
        <v>11409.911610000001</v>
      </c>
      <c r="Q48" s="109"/>
      <c r="R48" s="18"/>
    </row>
    <row r="49" spans="1:256">
      <c r="C49" s="24" t="s">
        <v>52</v>
      </c>
      <c r="D49" s="163">
        <v>799.89579000000003</v>
      </c>
      <c r="E49" s="174">
        <v>740.6644399999999</v>
      </c>
      <c r="F49" s="147">
        <v>869.02832000000012</v>
      </c>
      <c r="G49" s="116">
        <v>837.19207999999992</v>
      </c>
      <c r="H49" s="116">
        <v>854.80138999999986</v>
      </c>
      <c r="I49" s="116">
        <v>873.25083999999993</v>
      </c>
      <c r="J49" s="116">
        <v>914.45120000000009</v>
      </c>
      <c r="K49" s="116">
        <v>858.01192999999989</v>
      </c>
      <c r="L49" s="116">
        <v>862.90315999999996</v>
      </c>
      <c r="M49" s="116">
        <v>883.20700999999997</v>
      </c>
      <c r="N49" s="116">
        <v>805.02893000000017</v>
      </c>
      <c r="O49" s="165">
        <v>846.72786000000008</v>
      </c>
      <c r="P49" s="158">
        <f t="shared" si="6"/>
        <v>10145.16295</v>
      </c>
      <c r="Q49" s="109"/>
      <c r="R49" s="18"/>
    </row>
    <row r="50" spans="1:256">
      <c r="C50" s="24" t="s">
        <v>90</v>
      </c>
      <c r="D50" s="163">
        <v>1564.35212</v>
      </c>
      <c r="E50" s="174">
        <v>1396.7154399999999</v>
      </c>
      <c r="F50" s="147">
        <v>1586.2700799999998</v>
      </c>
      <c r="G50" s="116">
        <v>1520.1463100000001</v>
      </c>
      <c r="H50" s="116">
        <v>1553.7063799999999</v>
      </c>
      <c r="I50" s="116">
        <v>1521.61815</v>
      </c>
      <c r="J50" s="116">
        <v>1548.65237</v>
      </c>
      <c r="K50" s="116">
        <v>1563.92004</v>
      </c>
      <c r="L50" s="116">
        <v>1549.1567</v>
      </c>
      <c r="M50" s="116">
        <v>1634.38375</v>
      </c>
      <c r="N50" s="116">
        <v>1605.8136300000001</v>
      </c>
      <c r="O50" s="165">
        <v>1655.10051</v>
      </c>
      <c r="P50" s="158">
        <f t="shared" si="6"/>
        <v>18699.835480000002</v>
      </c>
      <c r="Q50" s="109"/>
      <c r="R50" s="18"/>
    </row>
    <row r="51" spans="1:256">
      <c r="C51" s="24" t="s">
        <v>53</v>
      </c>
      <c r="D51" s="163">
        <v>1427.2919199999999</v>
      </c>
      <c r="E51" s="174">
        <v>1954.65895</v>
      </c>
      <c r="F51" s="147">
        <v>1226.7278499999998</v>
      </c>
      <c r="G51" s="116">
        <v>1287.0481000000002</v>
      </c>
      <c r="H51" s="116">
        <v>1337.0474999999999</v>
      </c>
      <c r="I51" s="116">
        <v>1416.4151899999999</v>
      </c>
      <c r="J51" s="116">
        <v>1784.3707099999999</v>
      </c>
      <c r="K51" s="116">
        <v>1855.7593100000001</v>
      </c>
      <c r="L51" s="116">
        <f>2058254.25/1000</f>
        <v>2058.25425</v>
      </c>
      <c r="M51" s="116">
        <v>729.87338</v>
      </c>
      <c r="N51" s="116">
        <v>846.25376999999992</v>
      </c>
      <c r="O51" s="165">
        <v>1573.94651</v>
      </c>
      <c r="P51" s="158">
        <f t="shared" si="6"/>
        <v>17497.647440000001</v>
      </c>
      <c r="Q51" s="109"/>
      <c r="R51" s="18"/>
    </row>
    <row r="52" spans="1:256">
      <c r="C52" s="24" t="s">
        <v>54</v>
      </c>
      <c r="D52" s="163">
        <v>46.600399999999993</v>
      </c>
      <c r="E52" s="174">
        <v>41.566000000000003</v>
      </c>
      <c r="F52" s="147">
        <v>50.954710000000006</v>
      </c>
      <c r="G52" s="116">
        <v>50.738150000000005</v>
      </c>
      <c r="H52" s="116">
        <v>53.635300000000001</v>
      </c>
      <c r="I52" s="116">
        <v>53.690290000000012</v>
      </c>
      <c r="J52" s="116">
        <v>54.779089999999997</v>
      </c>
      <c r="K52" s="116">
        <v>54.67257</v>
      </c>
      <c r="L52" s="116">
        <v>51.837350000000001</v>
      </c>
      <c r="M52" s="116">
        <v>54.454889999999999</v>
      </c>
      <c r="N52" s="116">
        <v>51.19209</v>
      </c>
      <c r="O52" s="165">
        <v>52.539089999999995</v>
      </c>
      <c r="P52" s="158">
        <f t="shared" si="6"/>
        <v>616.65993000000003</v>
      </c>
      <c r="Q52" s="109"/>
      <c r="R52" s="18"/>
    </row>
    <row r="53" spans="1:256">
      <c r="C53" s="107" t="s">
        <v>93</v>
      </c>
      <c r="D53" s="157">
        <v>0</v>
      </c>
      <c r="E53" s="121">
        <v>0</v>
      </c>
      <c r="F53" s="121">
        <v>0</v>
      </c>
      <c r="G53" s="121">
        <v>1834.7989399999999</v>
      </c>
      <c r="H53" s="121">
        <v>1760.7543199999998</v>
      </c>
      <c r="I53" s="121">
        <v>1349.5246499999998</v>
      </c>
      <c r="J53" s="116">
        <v>1494.03288</v>
      </c>
      <c r="K53" s="116">
        <v>1911.10367</v>
      </c>
      <c r="L53" s="121">
        <v>2039.6406400000001</v>
      </c>
      <c r="M53" s="121">
        <v>2523.7870099999996</v>
      </c>
      <c r="N53" s="121">
        <v>2719.5929700000002</v>
      </c>
      <c r="O53" s="175">
        <v>3146.7747400000003</v>
      </c>
      <c r="P53" s="158">
        <f>SUM(D53:O53)</f>
        <v>18780.009819999999</v>
      </c>
      <c r="Q53" s="109"/>
      <c r="R53" s="18"/>
    </row>
    <row r="54" spans="1:256" ht="15">
      <c r="C54" s="27" t="s">
        <v>43</v>
      </c>
      <c r="D54" s="180">
        <f t="shared" ref="D54:P54" si="14">+SUM(D55:D57)</f>
        <v>2892.2636200000002</v>
      </c>
      <c r="E54" s="142">
        <f t="shared" si="14"/>
        <v>2639.8845800000004</v>
      </c>
      <c r="F54" s="142">
        <f t="shared" si="14"/>
        <v>3022.9914499999995</v>
      </c>
      <c r="G54" s="142">
        <f t="shared" si="14"/>
        <v>2828.0858700000003</v>
      </c>
      <c r="H54" s="142">
        <f t="shared" si="14"/>
        <v>3140.3332899999996</v>
      </c>
      <c r="I54" s="142">
        <f t="shared" si="14"/>
        <v>2958.8826199999999</v>
      </c>
      <c r="J54" s="142">
        <f t="shared" si="14"/>
        <v>3116.92544</v>
      </c>
      <c r="K54" s="142">
        <f t="shared" si="14"/>
        <v>2766.8908700000006</v>
      </c>
      <c r="L54" s="142">
        <f t="shared" si="14"/>
        <v>2660.3065999999999</v>
      </c>
      <c r="M54" s="142">
        <f t="shared" si="14"/>
        <v>2639.2785900000003</v>
      </c>
      <c r="N54" s="142">
        <f t="shared" si="14"/>
        <v>2616.2488500000004</v>
      </c>
      <c r="O54" s="148">
        <f t="shared" si="14"/>
        <v>2289.49433</v>
      </c>
      <c r="P54" s="169">
        <f t="shared" si="14"/>
        <v>33571.586110000004</v>
      </c>
      <c r="Q54" s="109"/>
      <c r="R54" s="18"/>
    </row>
    <row r="55" spans="1:256">
      <c r="C55" s="107" t="s">
        <v>59</v>
      </c>
      <c r="D55" s="157">
        <v>1440.1263300000001</v>
      </c>
      <c r="E55" s="121">
        <v>1435.9344300000002</v>
      </c>
      <c r="F55" s="150">
        <v>1533.9428199999998</v>
      </c>
      <c r="G55" s="121">
        <v>1524.7065100000002</v>
      </c>
      <c r="H55" s="121">
        <v>1626.9699800000001</v>
      </c>
      <c r="I55" s="121">
        <v>1562.2956200000001</v>
      </c>
      <c r="J55" s="116">
        <v>1456.0698399999999</v>
      </c>
      <c r="K55" s="116">
        <v>1332.0992200000003</v>
      </c>
      <c r="L55" s="121">
        <v>1259.2010700000001</v>
      </c>
      <c r="M55" s="121">
        <v>1277.2473200000002</v>
      </c>
      <c r="N55" s="121">
        <v>1286.8729900000001</v>
      </c>
      <c r="O55" s="175">
        <v>826.36954999999989</v>
      </c>
      <c r="P55" s="158">
        <f t="shared" si="6"/>
        <v>16561.835680000004</v>
      </c>
      <c r="Q55" s="109"/>
      <c r="R55" s="18"/>
    </row>
    <row r="56" spans="1:256">
      <c r="C56" s="107" t="s">
        <v>56</v>
      </c>
      <c r="D56" s="157">
        <v>1184.74578</v>
      </c>
      <c r="E56" s="121">
        <v>988.86301000000003</v>
      </c>
      <c r="F56" s="150">
        <v>1237.1513399999999</v>
      </c>
      <c r="G56" s="121">
        <v>1076.62796</v>
      </c>
      <c r="H56" s="121">
        <v>1287.1673399999997</v>
      </c>
      <c r="I56" s="121">
        <v>1165.1049499999999</v>
      </c>
      <c r="J56" s="116">
        <v>1440.91471</v>
      </c>
      <c r="K56" s="116">
        <v>1210.6631800000002</v>
      </c>
      <c r="L56" s="121">
        <v>1181.05258</v>
      </c>
      <c r="M56" s="121">
        <v>1132.2702400000001</v>
      </c>
      <c r="N56" s="121">
        <v>1121.63474</v>
      </c>
      <c r="O56" s="175">
        <v>1259.52575</v>
      </c>
      <c r="P56" s="158">
        <f t="shared" si="6"/>
        <v>14285.721579999999</v>
      </c>
      <c r="Q56" s="109"/>
      <c r="R56" s="18"/>
    </row>
    <row r="57" spans="1:256" ht="15" thickBot="1">
      <c r="C57" s="108" t="s">
        <v>89</v>
      </c>
      <c r="D57" s="176">
        <v>267.39150999999998</v>
      </c>
      <c r="E57" s="151">
        <v>215.08713999999998</v>
      </c>
      <c r="F57" s="151">
        <v>251.89729</v>
      </c>
      <c r="G57" s="151">
        <v>226.75140000000002</v>
      </c>
      <c r="H57" s="151">
        <v>226.19596999999999</v>
      </c>
      <c r="I57" s="151">
        <v>231.48204999999999</v>
      </c>
      <c r="J57" s="177">
        <v>219.94089000000002</v>
      </c>
      <c r="K57" s="177">
        <v>224.12847000000002</v>
      </c>
      <c r="L57" s="151">
        <v>220.05294999999998</v>
      </c>
      <c r="M57" s="151">
        <v>229.76103000000001</v>
      </c>
      <c r="N57" s="151">
        <f>207741.12/1000</f>
        <v>207.74112</v>
      </c>
      <c r="O57" s="178">
        <v>203.59903</v>
      </c>
      <c r="P57" s="179">
        <f t="shared" si="6"/>
        <v>2724.0288500000001</v>
      </c>
      <c r="Q57" s="109"/>
      <c r="R57" s="18"/>
    </row>
    <row r="58" spans="1:256" ht="15" thickTop="1">
      <c r="D58" s="183">
        <f>+D33/D28</f>
        <v>3.5833777136696945E-3</v>
      </c>
      <c r="E58" s="183">
        <f t="shared" ref="E58:O58" si="15">+E33/E28</f>
        <v>3.3133058886331739E-3</v>
      </c>
      <c r="F58" s="183">
        <f t="shared" si="15"/>
        <v>3.1589892334069518E-3</v>
      </c>
      <c r="G58" s="183">
        <f t="shared" si="15"/>
        <v>3.8146325406048631E-3</v>
      </c>
      <c r="H58" s="183">
        <f t="shared" si="15"/>
        <v>4.5395733712346488E-3</v>
      </c>
      <c r="I58" s="183">
        <f t="shared" si="15"/>
        <v>4.5399352914539202E-3</v>
      </c>
      <c r="J58" s="183">
        <f t="shared" si="15"/>
        <v>4.1855259793824517E-3</v>
      </c>
      <c r="K58" s="183">
        <f t="shared" si="15"/>
        <v>4.104169376820844E-3</v>
      </c>
      <c r="L58" s="183">
        <f t="shared" si="15"/>
        <v>4.2719078856329664E-3</v>
      </c>
      <c r="M58" s="183">
        <f t="shared" si="15"/>
        <v>3.9050380383743727E-3</v>
      </c>
      <c r="N58" s="183">
        <f t="shared" si="15"/>
        <v>3.957275110129505E-3</v>
      </c>
      <c r="O58" s="183">
        <f t="shared" si="15"/>
        <v>3.6243407030715352E-3</v>
      </c>
      <c r="R58" s="18"/>
    </row>
    <row r="59" spans="1:256">
      <c r="D59" s="35"/>
      <c r="E59" s="39"/>
      <c r="F59" s="35"/>
      <c r="G59" s="35"/>
      <c r="H59" s="35"/>
      <c r="L59" s="18"/>
      <c r="M59" s="18"/>
      <c r="R59" s="109"/>
    </row>
    <row r="60" spans="1:256">
      <c r="C60" s="3" t="s">
        <v>92</v>
      </c>
      <c r="D60" s="35"/>
      <c r="E60" s="39"/>
      <c r="F60" s="35"/>
      <c r="G60" s="35"/>
      <c r="H60" s="35"/>
      <c r="L60" s="18"/>
      <c r="M60" s="18"/>
      <c r="R60" s="109"/>
    </row>
    <row r="61" spans="1:256" s="11" customFormat="1">
      <c r="A61" s="3"/>
      <c r="B61" s="3"/>
      <c r="C61" s="3" t="s">
        <v>159</v>
      </c>
      <c r="D61" s="106">
        <f>+D43+D54</f>
        <v>56358.510150000002</v>
      </c>
      <c r="E61" s="106">
        <f t="shared" ref="E61:P61" si="16">+E43+E54</f>
        <v>53587.749499999991</v>
      </c>
      <c r="F61" s="106">
        <f t="shared" si="16"/>
        <v>57366.246520000015</v>
      </c>
      <c r="G61" s="106">
        <f t="shared" si="16"/>
        <v>56580.926790000005</v>
      </c>
      <c r="H61" s="106">
        <f t="shared" si="16"/>
        <v>56420.910950000005</v>
      </c>
      <c r="I61" s="106">
        <f t="shared" si="16"/>
        <v>53905.991059999986</v>
      </c>
      <c r="J61" s="106">
        <f t="shared" si="16"/>
        <v>55185.964610000017</v>
      </c>
      <c r="K61" s="106">
        <f t="shared" si="16"/>
        <v>55209.338459999999</v>
      </c>
      <c r="L61" s="106">
        <f t="shared" si="16"/>
        <v>53711.6054</v>
      </c>
      <c r="M61" s="106">
        <f t="shared" si="16"/>
        <v>54892.717570000001</v>
      </c>
      <c r="N61" s="106">
        <f t="shared" si="16"/>
        <v>54544.670040000005</v>
      </c>
      <c r="O61" s="106">
        <f t="shared" si="16"/>
        <v>57502.03559</v>
      </c>
      <c r="P61" s="106">
        <f t="shared" si="16"/>
        <v>665266.66664000007</v>
      </c>
    </row>
    <row r="62" spans="1:256"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</row>
    <row r="63" spans="1:256" ht="15">
      <c r="D63" s="89">
        <f t="shared" ref="D63:O63" si="17">+D38-D39</f>
        <v>0</v>
      </c>
      <c r="E63" s="89">
        <f t="shared" si="17"/>
        <v>0</v>
      </c>
      <c r="F63" s="89">
        <f t="shared" si="17"/>
        <v>0</v>
      </c>
      <c r="G63" s="89">
        <f t="shared" si="17"/>
        <v>0</v>
      </c>
      <c r="H63" s="89">
        <f t="shared" si="17"/>
        <v>0</v>
      </c>
      <c r="I63" s="89">
        <f t="shared" si="17"/>
        <v>0</v>
      </c>
      <c r="J63" s="89">
        <f t="shared" si="17"/>
        <v>0</v>
      </c>
      <c r="K63" s="89">
        <f t="shared" si="17"/>
        <v>0</v>
      </c>
      <c r="L63" s="89">
        <f t="shared" si="17"/>
        <v>0</v>
      </c>
      <c r="M63" s="89">
        <f t="shared" si="17"/>
        <v>0</v>
      </c>
      <c r="N63" s="89">
        <f t="shared" si="17"/>
        <v>0</v>
      </c>
      <c r="O63" s="89">
        <f t="shared" si="17"/>
        <v>0</v>
      </c>
      <c r="P63" s="89"/>
      <c r="R63" s="90"/>
    </row>
    <row r="64" spans="1:256">
      <c r="D64" s="89">
        <f t="shared" ref="D64:O64" si="18">+D63*0.4</f>
        <v>0</v>
      </c>
      <c r="E64" s="89">
        <f t="shared" si="18"/>
        <v>0</v>
      </c>
      <c r="F64" s="89">
        <f t="shared" si="18"/>
        <v>0</v>
      </c>
      <c r="G64" s="89">
        <f t="shared" si="18"/>
        <v>0</v>
      </c>
      <c r="H64" s="89">
        <f t="shared" si="18"/>
        <v>0</v>
      </c>
      <c r="I64" s="89">
        <f>+I63*0.4</f>
        <v>0</v>
      </c>
      <c r="J64" s="89">
        <f t="shared" si="18"/>
        <v>0</v>
      </c>
      <c r="K64" s="89">
        <f t="shared" si="18"/>
        <v>0</v>
      </c>
      <c r="L64" s="89">
        <f t="shared" si="18"/>
        <v>0</v>
      </c>
      <c r="M64" s="89">
        <f t="shared" si="18"/>
        <v>0</v>
      </c>
      <c r="N64" s="89">
        <f t="shared" si="18"/>
        <v>0</v>
      </c>
      <c r="O64" s="89">
        <f t="shared" si="18"/>
        <v>0</v>
      </c>
      <c r="P64" s="89"/>
    </row>
    <row r="65" spans="2:16">
      <c r="D65" s="89">
        <f t="shared" ref="D65:O65" si="19">+D63*0.6</f>
        <v>0</v>
      </c>
      <c r="E65" s="89">
        <f t="shared" si="19"/>
        <v>0</v>
      </c>
      <c r="F65" s="89">
        <f t="shared" si="19"/>
        <v>0</v>
      </c>
      <c r="G65" s="89">
        <f t="shared" si="19"/>
        <v>0</v>
      </c>
      <c r="H65" s="89">
        <f t="shared" si="19"/>
        <v>0</v>
      </c>
      <c r="I65" s="89">
        <f>+I63*0.6</f>
        <v>0</v>
      </c>
      <c r="J65" s="89">
        <f t="shared" si="19"/>
        <v>0</v>
      </c>
      <c r="K65" s="89">
        <f t="shared" si="19"/>
        <v>0</v>
      </c>
      <c r="L65" s="89">
        <f t="shared" si="19"/>
        <v>0</v>
      </c>
      <c r="M65" s="89">
        <f t="shared" si="19"/>
        <v>0</v>
      </c>
      <c r="N65" s="89">
        <f t="shared" si="19"/>
        <v>0</v>
      </c>
      <c r="O65" s="89">
        <f t="shared" si="19"/>
        <v>0</v>
      </c>
      <c r="P65" s="89"/>
    </row>
    <row r="66" spans="2:16"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89"/>
      <c r="P66" s="89"/>
    </row>
    <row r="67" spans="2:16" ht="15">
      <c r="D67" s="94">
        <f t="shared" ref="D67:O67" si="20">D35/D27</f>
        <v>1.2917667044940899E-2</v>
      </c>
      <c r="E67" s="94">
        <f t="shared" si="20"/>
        <v>1.2809723915597027E-2</v>
      </c>
      <c r="F67" s="94">
        <f t="shared" si="20"/>
        <v>1.3042888675759893E-2</v>
      </c>
      <c r="G67" s="94">
        <f t="shared" si="20"/>
        <v>1.422260167742154E-2</v>
      </c>
      <c r="H67" s="94">
        <f t="shared" si="20"/>
        <v>1.5081795043406102E-2</v>
      </c>
      <c r="I67" s="94">
        <f t="shared" si="20"/>
        <v>1.2341765179050956E-2</v>
      </c>
      <c r="J67" s="94">
        <f t="shared" si="20"/>
        <v>1.2100787572031658E-2</v>
      </c>
      <c r="K67" s="94">
        <f t="shared" si="20"/>
        <v>1.3380347552609036E-2</v>
      </c>
      <c r="L67" s="94">
        <f t="shared" si="20"/>
        <v>1.3271200640256388E-2</v>
      </c>
      <c r="M67" s="94">
        <f t="shared" si="20"/>
        <v>1.3155914021737771E-2</v>
      </c>
      <c r="N67" s="94">
        <f t="shared" si="20"/>
        <v>1.3019063803207448E-2</v>
      </c>
      <c r="O67" s="94">
        <f t="shared" si="20"/>
        <v>1.3362102666907065E-2</v>
      </c>
    </row>
    <row r="68" spans="2:16">
      <c r="D68" s="18"/>
      <c r="E68" s="18"/>
      <c r="F68" s="18"/>
      <c r="G68" s="18"/>
      <c r="H68" s="18"/>
      <c r="I68" s="18"/>
      <c r="J68" s="18"/>
      <c r="K68" s="95"/>
      <c r="L68" s="18"/>
      <c r="M68" s="18"/>
      <c r="N68" s="18"/>
      <c r="O68" s="18"/>
    </row>
    <row r="69" spans="2:16">
      <c r="D69" s="43"/>
      <c r="E69" s="43"/>
      <c r="F69" s="18"/>
      <c r="G69" s="43"/>
      <c r="H69" s="43"/>
      <c r="I69" s="43">
        <f>2000*10*3.3/12</f>
        <v>5500</v>
      </c>
      <c r="J69" s="43"/>
      <c r="K69" s="43"/>
      <c r="L69" s="43"/>
      <c r="M69" s="43"/>
      <c r="N69" s="43"/>
      <c r="O69" s="43"/>
    </row>
    <row r="70" spans="2:16">
      <c r="D70" s="181">
        <f>+D54+D43</f>
        <v>56358.510150000002</v>
      </c>
      <c r="E70" s="181">
        <f t="shared" ref="E70:O70" si="21">+E54+E43</f>
        <v>53587.749499999991</v>
      </c>
      <c r="F70" s="181">
        <f t="shared" si="21"/>
        <v>57366.246520000015</v>
      </c>
      <c r="G70" s="181">
        <f t="shared" si="21"/>
        <v>56580.926790000005</v>
      </c>
      <c r="H70" s="181">
        <f t="shared" si="21"/>
        <v>56420.910950000005</v>
      </c>
      <c r="I70" s="181">
        <f t="shared" si="21"/>
        <v>53905.991059999986</v>
      </c>
      <c r="J70" s="181">
        <f t="shared" si="21"/>
        <v>55185.964610000017</v>
      </c>
      <c r="K70" s="181">
        <f t="shared" si="21"/>
        <v>55209.338459999999</v>
      </c>
      <c r="L70" s="181">
        <f t="shared" si="21"/>
        <v>53711.6054</v>
      </c>
      <c r="M70" s="181">
        <f t="shared" si="21"/>
        <v>54892.717570000001</v>
      </c>
      <c r="N70" s="181">
        <f t="shared" si="21"/>
        <v>54544.670040000005</v>
      </c>
      <c r="O70" s="181">
        <f t="shared" si="21"/>
        <v>57502.03559</v>
      </c>
    </row>
    <row r="71" spans="2:16">
      <c r="D71" s="18"/>
      <c r="E71" s="18"/>
      <c r="F71" s="18"/>
      <c r="G71" s="18"/>
      <c r="H71" s="18"/>
      <c r="I71" s="18"/>
      <c r="J71" s="18"/>
      <c r="K71" s="18"/>
      <c r="M71" s="18"/>
      <c r="N71" s="18"/>
    </row>
    <row r="72" spans="2:16">
      <c r="D72" s="18"/>
      <c r="E72" s="18"/>
    </row>
    <row r="73" spans="2:16">
      <c r="B73" s="110" t="s">
        <v>62</v>
      </c>
      <c r="C73" s="110" t="s">
        <v>69</v>
      </c>
      <c r="D73" s="123" t="str">
        <f t="shared" ref="D73:P73" si="22">+D26</f>
        <v>Enero</v>
      </c>
      <c r="E73" s="123" t="str">
        <f t="shared" si="22"/>
        <v>Febrero</v>
      </c>
      <c r="F73" s="123" t="str">
        <f t="shared" si="22"/>
        <v>Marzo</v>
      </c>
      <c r="G73" s="123" t="str">
        <f t="shared" si="22"/>
        <v>Abril</v>
      </c>
      <c r="H73" s="123" t="str">
        <f t="shared" si="22"/>
        <v>Mayo</v>
      </c>
      <c r="I73" s="123" t="str">
        <f t="shared" si="22"/>
        <v>Junio</v>
      </c>
      <c r="J73" s="123" t="str">
        <f t="shared" si="22"/>
        <v>Julio</v>
      </c>
      <c r="K73" s="123" t="str">
        <f t="shared" si="22"/>
        <v>Agosto</v>
      </c>
      <c r="L73" s="123" t="str">
        <f t="shared" si="22"/>
        <v>Septiembre</v>
      </c>
      <c r="M73" s="123" t="str">
        <f t="shared" si="22"/>
        <v>Octubre</v>
      </c>
      <c r="N73" s="123" t="str">
        <f t="shared" si="22"/>
        <v>Noviembre</v>
      </c>
      <c r="O73" s="123" t="str">
        <f t="shared" si="22"/>
        <v>Diciembre</v>
      </c>
      <c r="P73" s="123" t="str">
        <f t="shared" si="22"/>
        <v>Acumulado</v>
      </c>
    </row>
    <row r="74" spans="2:16" ht="15">
      <c r="B74" s="112" t="s">
        <v>16</v>
      </c>
      <c r="C74" s="124" t="s">
        <v>75</v>
      </c>
      <c r="D74" s="114"/>
      <c r="E74" s="114"/>
      <c r="F74" s="114"/>
      <c r="G74" s="114"/>
      <c r="H74" s="114"/>
      <c r="I74" s="115"/>
      <c r="J74" s="141"/>
      <c r="K74" s="115">
        <v>8814.7263067960739</v>
      </c>
      <c r="L74" s="114"/>
      <c r="M74" s="114"/>
      <c r="N74" s="114"/>
      <c r="O74" s="114"/>
      <c r="P74" s="114"/>
    </row>
    <row r="75" spans="2:16" ht="15">
      <c r="B75" s="112" t="s">
        <v>17</v>
      </c>
      <c r="C75" s="124" t="s">
        <v>76</v>
      </c>
      <c r="D75" s="112"/>
      <c r="E75" s="112"/>
      <c r="F75" s="112"/>
      <c r="G75" s="112"/>
      <c r="H75" s="112"/>
      <c r="I75" s="116"/>
      <c r="J75" s="142"/>
      <c r="K75" s="116">
        <v>1527.9247015118599</v>
      </c>
      <c r="L75" s="112"/>
      <c r="M75" s="112"/>
      <c r="N75" s="112"/>
      <c r="O75" s="112"/>
      <c r="P75" s="112"/>
    </row>
    <row r="76" spans="2:16">
      <c r="B76" s="441" t="s">
        <v>18</v>
      </c>
      <c r="C76" s="114" t="s">
        <v>70</v>
      </c>
      <c r="D76" s="114"/>
      <c r="E76" s="114"/>
      <c r="F76" s="114"/>
      <c r="G76" s="114"/>
      <c r="H76" s="114"/>
      <c r="I76" s="130"/>
      <c r="J76" s="115"/>
      <c r="K76" s="115">
        <v>1305.436933785677</v>
      </c>
      <c r="L76" s="114"/>
      <c r="M76" s="114"/>
      <c r="N76" s="114"/>
      <c r="O76" s="114"/>
      <c r="P76" s="114"/>
    </row>
    <row r="77" spans="2:16">
      <c r="B77" s="442"/>
      <c r="C77" s="112" t="s">
        <v>71</v>
      </c>
      <c r="D77" s="112"/>
      <c r="E77" s="112"/>
      <c r="F77" s="112"/>
      <c r="G77" s="112"/>
      <c r="H77" s="112"/>
      <c r="I77" s="117"/>
      <c r="J77" s="116"/>
      <c r="K77" s="116">
        <v>4572.8952873498201</v>
      </c>
      <c r="L77" s="112"/>
      <c r="M77" s="112"/>
      <c r="N77" s="112"/>
      <c r="O77" s="112"/>
      <c r="P77" s="112"/>
    </row>
    <row r="78" spans="2:16">
      <c r="B78" s="442"/>
      <c r="C78" s="112" t="s">
        <v>72</v>
      </c>
      <c r="D78" s="112"/>
      <c r="E78" s="112"/>
      <c r="F78" s="112"/>
      <c r="G78" s="112"/>
      <c r="H78" s="112"/>
      <c r="I78" s="117"/>
      <c r="J78" s="116"/>
      <c r="K78" s="116">
        <v>1555.9969090908792</v>
      </c>
      <c r="L78" s="112"/>
      <c r="M78" s="112"/>
      <c r="N78" s="112"/>
      <c r="O78" s="112"/>
      <c r="P78" s="112"/>
    </row>
    <row r="79" spans="2:16" ht="15">
      <c r="B79" s="443"/>
      <c r="C79" s="131" t="s">
        <v>77</v>
      </c>
      <c r="D79" s="131"/>
      <c r="E79" s="131"/>
      <c r="F79" s="131"/>
      <c r="G79" s="131"/>
      <c r="H79" s="131"/>
      <c r="I79" s="132"/>
      <c r="J79" s="133"/>
      <c r="K79" s="133">
        <f>+K76+K77-K78</f>
        <v>4322.3353120446181</v>
      </c>
      <c r="L79" s="131"/>
      <c r="M79" s="131"/>
      <c r="N79" s="131"/>
      <c r="O79" s="131"/>
      <c r="P79" s="131"/>
    </row>
    <row r="80" spans="2:16" ht="15">
      <c r="B80" s="112" t="s">
        <v>19</v>
      </c>
      <c r="C80" s="124" t="s">
        <v>78</v>
      </c>
      <c r="D80" s="112"/>
      <c r="E80" s="112"/>
      <c r="F80" s="112"/>
      <c r="G80" s="112"/>
      <c r="H80" s="112"/>
      <c r="I80" s="116"/>
      <c r="J80" s="142"/>
      <c r="K80" s="116">
        <v>6657.2091844081879</v>
      </c>
      <c r="L80" s="112"/>
      <c r="M80" s="112"/>
      <c r="N80" s="112"/>
      <c r="O80" s="112"/>
      <c r="P80" s="112"/>
    </row>
    <row r="81" spans="2:16">
      <c r="B81" s="444" t="s">
        <v>20</v>
      </c>
      <c r="C81" s="114" t="s">
        <v>73</v>
      </c>
      <c r="D81" s="125"/>
      <c r="E81" s="126"/>
      <c r="F81" s="127"/>
      <c r="G81" s="127"/>
      <c r="H81" s="127"/>
      <c r="I81" s="128"/>
      <c r="J81" s="128"/>
      <c r="K81" s="115">
        <v>52409.603130340576</v>
      </c>
      <c r="L81" s="129"/>
      <c r="M81" s="114"/>
      <c r="N81" s="114"/>
      <c r="O81" s="114"/>
      <c r="P81" s="114"/>
    </row>
    <row r="82" spans="2:16">
      <c r="B82" s="445"/>
      <c r="C82" s="112" t="s">
        <v>74</v>
      </c>
      <c r="D82" s="122"/>
      <c r="E82" s="118"/>
      <c r="F82" s="119"/>
      <c r="G82" s="119"/>
      <c r="H82" s="119"/>
      <c r="I82" s="120"/>
      <c r="J82" s="120"/>
      <c r="K82" s="116">
        <v>224943.27942657471</v>
      </c>
      <c r="L82" s="112"/>
      <c r="M82" s="112"/>
      <c r="N82" s="112"/>
      <c r="O82" s="112"/>
      <c r="P82" s="112"/>
    </row>
    <row r="83" spans="2:16">
      <c r="B83" s="445"/>
      <c r="C83" s="112" t="s">
        <v>63</v>
      </c>
      <c r="D83" s="122"/>
      <c r="E83" s="118"/>
      <c r="F83" s="119"/>
      <c r="G83" s="119"/>
      <c r="H83" s="119"/>
      <c r="I83" s="120"/>
      <c r="J83" s="120"/>
      <c r="K83" s="116">
        <v>7661.912095785141</v>
      </c>
      <c r="L83" s="112"/>
      <c r="M83" s="112"/>
      <c r="N83" s="112"/>
      <c r="O83" s="112"/>
      <c r="P83" s="112"/>
    </row>
    <row r="84" spans="2:16">
      <c r="B84" s="445"/>
      <c r="C84" s="112" t="s">
        <v>81</v>
      </c>
      <c r="D84" s="122"/>
      <c r="E84" s="118"/>
      <c r="F84" s="119"/>
      <c r="G84" s="119"/>
      <c r="H84" s="119"/>
      <c r="I84" s="120"/>
      <c r="J84" s="120"/>
      <c r="K84" s="116">
        <v>2310.6453409090896</v>
      </c>
      <c r="L84" s="112"/>
      <c r="M84" s="112"/>
      <c r="N84" s="112"/>
      <c r="O84" s="112"/>
      <c r="P84" s="112"/>
    </row>
    <row r="85" spans="2:16" ht="15">
      <c r="B85" s="446"/>
      <c r="C85" s="131" t="s">
        <v>79</v>
      </c>
      <c r="D85" s="134"/>
      <c r="E85" s="135"/>
      <c r="F85" s="136"/>
      <c r="G85" s="136"/>
      <c r="H85" s="136"/>
      <c r="I85" s="137"/>
      <c r="J85" s="139"/>
      <c r="K85" s="139">
        <f>+K81+K82-K83-K84</f>
        <v>267380.32512022107</v>
      </c>
      <c r="L85" s="138"/>
      <c r="M85" s="138"/>
      <c r="N85" s="138"/>
      <c r="O85" s="138"/>
      <c r="P85" s="138"/>
    </row>
    <row r="86" spans="2:16" ht="15">
      <c r="B86" s="112" t="s">
        <v>21</v>
      </c>
      <c r="C86" s="124" t="s">
        <v>80</v>
      </c>
      <c r="D86" s="112"/>
      <c r="E86" s="112"/>
      <c r="F86" s="112"/>
      <c r="G86" s="112"/>
      <c r="H86" s="112"/>
      <c r="I86" s="121"/>
      <c r="J86" s="140"/>
      <c r="K86" s="121">
        <v>15086.135074496269</v>
      </c>
      <c r="L86" s="112"/>
      <c r="M86" s="112"/>
      <c r="N86" s="112"/>
      <c r="O86" s="112"/>
      <c r="P86" s="112"/>
    </row>
    <row r="87" spans="2:16">
      <c r="B87" s="110" t="s">
        <v>64</v>
      </c>
      <c r="C87" s="110" t="s">
        <v>64</v>
      </c>
      <c r="D87" s="110"/>
      <c r="E87" s="110"/>
      <c r="F87" s="110"/>
      <c r="G87" s="110"/>
      <c r="H87" s="110"/>
      <c r="I87" s="111"/>
      <c r="J87" s="113"/>
      <c r="K87" s="113">
        <f>+K74+K75+K79+K80+K85+K86</f>
        <v>303788.65569947805</v>
      </c>
      <c r="L87" s="113" t="e">
        <f>+#REF!-#REF!</f>
        <v>#REF!</v>
      </c>
      <c r="M87" s="113" t="e">
        <f>+#REF!-#REF!</f>
        <v>#REF!</v>
      </c>
      <c r="N87" s="113" t="e">
        <f>+#REF!-#REF!</f>
        <v>#REF!</v>
      </c>
      <c r="O87" s="113" t="e">
        <f>+#REF!-#REF!</f>
        <v>#REF!</v>
      </c>
      <c r="P87" s="113" t="e">
        <f>+#REF!-#REF!</f>
        <v>#REF!</v>
      </c>
    </row>
    <row r="88" spans="2:16">
      <c r="B88" s="112"/>
      <c r="C88" s="112"/>
      <c r="D88" s="112"/>
      <c r="E88" s="112"/>
      <c r="F88" s="112"/>
      <c r="G88" s="112"/>
      <c r="H88" s="112"/>
      <c r="I88" s="112"/>
      <c r="J88" s="112"/>
      <c r="K88" s="121"/>
      <c r="L88" s="112"/>
      <c r="M88" s="112"/>
      <c r="N88" s="112"/>
      <c r="O88" s="112"/>
      <c r="P88" s="112"/>
    </row>
    <row r="89" spans="2:16">
      <c r="B89" s="442" t="s">
        <v>82</v>
      </c>
      <c r="C89" s="112" t="s">
        <v>83</v>
      </c>
      <c r="D89" s="112"/>
      <c r="E89" s="112"/>
      <c r="F89" s="112"/>
      <c r="G89" s="112"/>
      <c r="H89" s="112"/>
      <c r="I89" s="121"/>
      <c r="J89" s="112"/>
      <c r="K89" s="121">
        <v>1032.4929688125849</v>
      </c>
      <c r="L89" s="112"/>
      <c r="M89" s="112"/>
      <c r="N89" s="112"/>
      <c r="O89" s="112"/>
      <c r="P89" s="112"/>
    </row>
    <row r="90" spans="2:16">
      <c r="B90" s="442"/>
      <c r="C90" s="112" t="s">
        <v>87</v>
      </c>
      <c r="D90" s="112"/>
      <c r="E90" s="112"/>
      <c r="F90" s="112"/>
      <c r="G90" s="112"/>
      <c r="H90" s="112"/>
      <c r="I90" s="121"/>
      <c r="J90" s="112"/>
      <c r="K90" s="121">
        <v>43862.024162769318</v>
      </c>
      <c r="L90" s="112"/>
      <c r="M90" s="112"/>
      <c r="N90" s="112"/>
      <c r="O90" s="112"/>
      <c r="P90" s="112"/>
    </row>
    <row r="91" spans="2:16">
      <c r="B91" s="442"/>
      <c r="C91" s="112" t="s">
        <v>84</v>
      </c>
      <c r="D91" s="112"/>
      <c r="E91" s="112"/>
      <c r="F91" s="112"/>
      <c r="G91" s="112"/>
      <c r="H91" s="112"/>
      <c r="I91" s="121"/>
      <c r="J91" s="112"/>
      <c r="K91" s="121">
        <v>421682.454349518</v>
      </c>
      <c r="L91" s="112"/>
      <c r="M91" s="112"/>
      <c r="N91" s="112"/>
      <c r="O91" s="112"/>
      <c r="P91" s="112"/>
    </row>
    <row r="92" spans="2:16">
      <c r="B92" s="112" t="s">
        <v>86</v>
      </c>
      <c r="C92" s="112" t="s">
        <v>88</v>
      </c>
      <c r="D92" s="112"/>
      <c r="E92" s="112"/>
      <c r="F92" s="112"/>
      <c r="G92" s="112"/>
      <c r="H92" s="112"/>
      <c r="I92" s="121"/>
      <c r="J92" s="112"/>
      <c r="K92" s="121">
        <v>122453.65970063658</v>
      </c>
      <c r="L92" s="112"/>
      <c r="M92" s="112"/>
      <c r="N92" s="112"/>
      <c r="O92" s="112"/>
      <c r="P92" s="112"/>
    </row>
    <row r="93" spans="2:16">
      <c r="B93" s="442" t="s">
        <v>85</v>
      </c>
      <c r="C93" s="112" t="s">
        <v>65</v>
      </c>
      <c r="D93" s="112"/>
      <c r="E93" s="112"/>
      <c r="F93" s="112"/>
      <c r="G93" s="112"/>
      <c r="H93" s="112"/>
      <c r="I93" s="121"/>
      <c r="J93" s="112"/>
      <c r="K93" s="121">
        <v>62101.576821313611</v>
      </c>
      <c r="L93" s="112"/>
      <c r="M93" s="112"/>
      <c r="N93" s="112"/>
      <c r="O93" s="112"/>
      <c r="P93" s="112"/>
    </row>
    <row r="94" spans="2:16">
      <c r="B94" s="442"/>
      <c r="C94" s="112" t="s">
        <v>66</v>
      </c>
      <c r="D94" s="112"/>
      <c r="E94" s="112"/>
      <c r="F94" s="112"/>
      <c r="G94" s="112"/>
      <c r="H94" s="112"/>
      <c r="I94" s="121"/>
      <c r="J94" s="112"/>
      <c r="K94" s="121">
        <v>61463.83224773407</v>
      </c>
      <c r="L94" s="112"/>
      <c r="M94" s="112"/>
      <c r="N94" s="112"/>
      <c r="O94" s="112"/>
      <c r="P94" s="112"/>
    </row>
    <row r="95" spans="2:16">
      <c r="B95" s="443"/>
      <c r="C95" s="112" t="s">
        <v>68</v>
      </c>
      <c r="D95" s="112"/>
      <c r="E95" s="112"/>
      <c r="F95" s="112"/>
      <c r="G95" s="112"/>
      <c r="H95" s="112"/>
      <c r="I95" s="121"/>
      <c r="J95" s="112"/>
      <c r="K95" s="121">
        <v>74372.498108408763</v>
      </c>
      <c r="L95" s="112"/>
      <c r="M95" s="112"/>
      <c r="N95" s="112"/>
      <c r="O95" s="112"/>
      <c r="P95" s="112"/>
    </row>
    <row r="96" spans="2:16">
      <c r="B96" s="110" t="s">
        <v>67</v>
      </c>
      <c r="C96" s="110" t="s">
        <v>67</v>
      </c>
      <c r="D96" s="110"/>
      <c r="E96" s="110"/>
      <c r="F96" s="110"/>
      <c r="G96" s="110"/>
      <c r="H96" s="110"/>
      <c r="I96" s="111"/>
      <c r="J96" s="110"/>
      <c r="K96" s="113">
        <f t="shared" ref="K96:P96" si="23">+SUM(K89:K95)</f>
        <v>786968.5383591929</v>
      </c>
      <c r="L96" s="113">
        <f t="shared" si="23"/>
        <v>0</v>
      </c>
      <c r="M96" s="113">
        <f t="shared" si="23"/>
        <v>0</v>
      </c>
      <c r="N96" s="113">
        <f t="shared" si="23"/>
        <v>0</v>
      </c>
      <c r="O96" s="113">
        <f t="shared" si="23"/>
        <v>0</v>
      </c>
      <c r="P96" s="113">
        <f t="shared" si="23"/>
        <v>0</v>
      </c>
    </row>
    <row r="98" spans="9:10">
      <c r="I98" s="109">
        <f>+I96/1000</f>
        <v>0</v>
      </c>
    </row>
    <row r="100" spans="9:10">
      <c r="I100" s="18">
        <f>+I34</f>
        <v>192.73945322396784</v>
      </c>
    </row>
    <row r="107" spans="9:10">
      <c r="I107" s="109">
        <v>33164.132139999994</v>
      </c>
    </row>
    <row r="108" spans="9:10">
      <c r="I108" s="109">
        <v>33210.250880553096</v>
      </c>
      <c r="J108" s="109">
        <f>+I107-I108</f>
        <v>-46.118740553101816</v>
      </c>
    </row>
  </sheetData>
  <mergeCells count="4">
    <mergeCell ref="B76:B79"/>
    <mergeCell ref="B81:B85"/>
    <mergeCell ref="B89:B91"/>
    <mergeCell ref="B93:B95"/>
  </mergeCells>
  <printOptions horizontalCentered="1"/>
  <pageMargins left="0.39370078740157483" right="0.39370078740157483" top="1.3779527559055118" bottom="1" header="0" footer="0"/>
  <pageSetup paperSize="9" scale="48" orientation="landscape" horizontalDpi="4294967295" verticalDpi="4294967295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80A8-416E-4C6C-91CA-C99C80A7D377}">
  <sheetPr codeName="Sheet5">
    <pageSetUpPr fitToPage="1"/>
  </sheetPr>
  <dimension ref="A1:IV112"/>
  <sheetViews>
    <sheetView view="pageBreakPreview" topLeftCell="A24" zoomScale="80" zoomScaleNormal="80" zoomScaleSheetLayoutView="80" workbookViewId="0">
      <pane xSplit="3" ySplit="3" topLeftCell="E27" activePane="bottomRight" state="frozen"/>
      <selection activeCell="G38" sqref="G38"/>
      <selection pane="topRight" activeCell="G38" sqref="G38"/>
      <selection pane="bottomLeft" activeCell="G38" sqref="G38"/>
      <selection pane="bottomRight" activeCell="P39" sqref="P39"/>
    </sheetView>
  </sheetViews>
  <sheetFormatPr baseColWidth="10" defaultColWidth="9" defaultRowHeight="14.25"/>
  <cols>
    <col min="1" max="1" width="3" style="3" customWidth="1"/>
    <col min="2" max="2" width="15.140625" style="3" customWidth="1"/>
    <col min="3" max="3" width="41.5703125" style="3" bestFit="1" customWidth="1"/>
    <col min="4" max="5" width="18.7109375" style="3" customWidth="1"/>
    <col min="6" max="6" width="15.42578125" style="3" bestFit="1" customWidth="1"/>
    <col min="7" max="7" width="14.85546875" style="3" bestFit="1" customWidth="1"/>
    <col min="8" max="8" width="18.7109375" style="3" bestFit="1" customWidth="1"/>
    <col min="9" max="10" width="18.7109375" style="3" customWidth="1"/>
    <col min="11" max="11" width="14.85546875" style="3" customWidth="1"/>
    <col min="12" max="12" width="18.7109375" style="3" bestFit="1" customWidth="1"/>
    <col min="13" max="13" width="18.7109375" style="3" customWidth="1"/>
    <col min="14" max="14" width="20.140625" style="3" bestFit="1" customWidth="1"/>
    <col min="15" max="15" width="18.42578125" style="3" customWidth="1"/>
    <col min="16" max="16" width="21.85546875" style="3" customWidth="1"/>
    <col min="17" max="17" width="13.28515625" style="3" customWidth="1"/>
    <col min="18" max="18" width="15.7109375" style="3" customWidth="1"/>
    <col min="19" max="16384" width="9" style="3"/>
  </cols>
  <sheetData>
    <row r="1" spans="3:16" hidden="1"/>
    <row r="2" spans="3:16" hidden="1"/>
    <row r="3" spans="3:16" ht="15" hidden="1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3:16" ht="15" hidden="1">
      <c r="C4" s="1" t="s">
        <v>61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3:16" hidden="1"/>
    <row r="6" spans="3:16" ht="15.75" hidden="1" thickTop="1">
      <c r="C6" s="4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6" t="s">
        <v>13</v>
      </c>
      <c r="P6" s="7" t="s">
        <v>14</v>
      </c>
    </row>
    <row r="7" spans="3:16" ht="15" hidden="1">
      <c r="C7" s="8" t="s">
        <v>15</v>
      </c>
      <c r="D7" s="9"/>
      <c r="E7" s="9"/>
      <c r="F7" s="10"/>
      <c r="G7" s="10"/>
      <c r="H7" s="10"/>
      <c r="I7" s="10"/>
      <c r="J7" s="10"/>
      <c r="K7" s="11"/>
      <c r="L7" s="10"/>
      <c r="M7" s="10"/>
      <c r="N7" s="10"/>
      <c r="O7" s="12"/>
      <c r="P7" s="13"/>
    </row>
    <row r="8" spans="3:16" hidden="1">
      <c r="C8" s="14" t="s">
        <v>16</v>
      </c>
      <c r="D8" s="41">
        <v>1131.6971148209116</v>
      </c>
      <c r="E8" s="41"/>
      <c r="F8" s="42"/>
      <c r="G8" s="42"/>
      <c r="H8" s="42"/>
      <c r="I8" s="42"/>
      <c r="J8" s="42"/>
      <c r="K8" s="43"/>
      <c r="L8" s="42"/>
      <c r="M8" s="42"/>
      <c r="N8" s="42"/>
      <c r="O8" s="44"/>
      <c r="P8" s="45">
        <f t="shared" ref="P8:P14" si="0">+SUM(D8:O8)</f>
        <v>1131.6971148209116</v>
      </c>
    </row>
    <row r="9" spans="3:16" hidden="1">
      <c r="C9" s="14" t="s">
        <v>17</v>
      </c>
      <c r="D9" s="41">
        <v>404.734522462212</v>
      </c>
      <c r="E9" s="41"/>
      <c r="F9" s="42"/>
      <c r="G9" s="42"/>
      <c r="H9" s="42"/>
      <c r="I9" s="42"/>
      <c r="J9" s="42"/>
      <c r="K9" s="43"/>
      <c r="L9" s="42"/>
      <c r="M9" s="42"/>
      <c r="N9" s="42"/>
      <c r="O9" s="44"/>
      <c r="P9" s="45">
        <f t="shared" si="0"/>
        <v>404.734522462212</v>
      </c>
    </row>
    <row r="10" spans="3:16" hidden="1">
      <c r="C10" s="14" t="s">
        <v>18</v>
      </c>
      <c r="D10" s="41">
        <v>3164.3521362183096</v>
      </c>
      <c r="E10" s="41"/>
      <c r="F10" s="42"/>
      <c r="G10" s="42"/>
      <c r="H10" s="42"/>
      <c r="I10" s="42"/>
      <c r="J10" s="42"/>
      <c r="K10" s="43"/>
      <c r="L10" s="42"/>
      <c r="M10" s="42"/>
      <c r="N10" s="42"/>
      <c r="O10" s="44"/>
      <c r="P10" s="45">
        <f t="shared" si="0"/>
        <v>3164.3521362183096</v>
      </c>
    </row>
    <row r="11" spans="3:16" hidden="1">
      <c r="C11" s="14" t="s">
        <v>19</v>
      </c>
      <c r="D11" s="41">
        <v>7358.1596698372414</v>
      </c>
      <c r="E11" s="41"/>
      <c r="F11" s="42"/>
      <c r="G11" s="42"/>
      <c r="H11" s="42"/>
      <c r="I11" s="42"/>
      <c r="J11" s="42"/>
      <c r="K11" s="43"/>
      <c r="L11" s="42"/>
      <c r="M11" s="42"/>
      <c r="N11" s="42"/>
      <c r="O11" s="44"/>
      <c r="P11" s="45">
        <f t="shared" si="0"/>
        <v>7358.1596698372414</v>
      </c>
    </row>
    <row r="12" spans="3:16" hidden="1">
      <c r="C12" s="14" t="s">
        <v>20</v>
      </c>
      <c r="D12" s="41">
        <v>44993.962609077455</v>
      </c>
      <c r="E12" s="41"/>
      <c r="F12" s="42"/>
      <c r="G12" s="42"/>
      <c r="H12" s="42"/>
      <c r="I12" s="42"/>
      <c r="J12" s="42"/>
      <c r="K12" s="43"/>
      <c r="L12" s="42"/>
      <c r="M12" s="42"/>
      <c r="N12" s="42"/>
      <c r="O12" s="44"/>
      <c r="P12" s="45">
        <f t="shared" si="0"/>
        <v>44993.962609077455</v>
      </c>
    </row>
    <row r="13" spans="3:16" hidden="1">
      <c r="C13" s="14" t="s">
        <v>21</v>
      </c>
      <c r="D13" s="41">
        <v>4089.3768671579624</v>
      </c>
      <c r="E13" s="41"/>
      <c r="F13" s="42"/>
      <c r="G13" s="42"/>
      <c r="H13" s="42"/>
      <c r="I13" s="42"/>
      <c r="J13" s="42"/>
      <c r="K13" s="43"/>
      <c r="L13" s="42"/>
      <c r="M13" s="42"/>
      <c r="N13" s="42"/>
      <c r="O13" s="44"/>
      <c r="P13" s="45">
        <f t="shared" si="0"/>
        <v>4089.3768671579624</v>
      </c>
    </row>
    <row r="14" spans="3:16" ht="15" hidden="1">
      <c r="C14" s="15" t="s">
        <v>22</v>
      </c>
      <c r="D14" s="46">
        <f t="shared" ref="D14:O14" si="1">SUM(D8:D13)</f>
        <v>61142.282919574092</v>
      </c>
      <c r="E14" s="46">
        <f t="shared" si="1"/>
        <v>0</v>
      </c>
      <c r="F14" s="46">
        <f t="shared" si="1"/>
        <v>0</v>
      </c>
      <c r="G14" s="46">
        <f t="shared" si="1"/>
        <v>0</v>
      </c>
      <c r="H14" s="46">
        <f t="shared" si="1"/>
        <v>0</v>
      </c>
      <c r="I14" s="46">
        <f t="shared" si="1"/>
        <v>0</v>
      </c>
      <c r="J14" s="46">
        <f t="shared" si="1"/>
        <v>0</v>
      </c>
      <c r="K14" s="46">
        <f t="shared" si="1"/>
        <v>0</v>
      </c>
      <c r="L14" s="46">
        <f t="shared" si="1"/>
        <v>0</v>
      </c>
      <c r="M14" s="46">
        <f t="shared" si="1"/>
        <v>0</v>
      </c>
      <c r="N14" s="46">
        <f t="shared" si="1"/>
        <v>0</v>
      </c>
      <c r="O14" s="47">
        <f t="shared" si="1"/>
        <v>0</v>
      </c>
      <c r="P14" s="48">
        <f t="shared" si="0"/>
        <v>61142.282919574092</v>
      </c>
    </row>
    <row r="15" spans="3:16" ht="15" hidden="1">
      <c r="C15" s="8" t="s">
        <v>23</v>
      </c>
      <c r="D15" s="16"/>
      <c r="E15" s="16"/>
      <c r="F15" s="17"/>
      <c r="G15" s="17"/>
      <c r="H15" s="17"/>
      <c r="I15" s="17"/>
      <c r="J15" s="17"/>
      <c r="K15" s="18"/>
      <c r="L15" s="42"/>
      <c r="M15" s="42"/>
      <c r="N15" s="42"/>
      <c r="O15" s="44"/>
      <c r="P15" s="19"/>
    </row>
    <row r="16" spans="3:16" hidden="1">
      <c r="C16" s="20" t="s">
        <v>24</v>
      </c>
      <c r="D16" s="41">
        <v>0</v>
      </c>
      <c r="E16" s="41"/>
      <c r="F16" s="42"/>
      <c r="G16" s="42"/>
      <c r="H16" s="42"/>
      <c r="I16" s="42"/>
      <c r="J16" s="42"/>
      <c r="K16" s="43"/>
      <c r="L16" s="42"/>
      <c r="M16" s="42"/>
      <c r="N16" s="42"/>
      <c r="O16" s="44"/>
      <c r="P16" s="45">
        <f t="shared" ref="P16:P22" si="2">+SUM(D16:O16)</f>
        <v>0</v>
      </c>
    </row>
    <row r="17" spans="3:18" hidden="1">
      <c r="C17" s="14" t="s">
        <v>25</v>
      </c>
      <c r="D17" s="41">
        <v>11.521423099517822</v>
      </c>
      <c r="E17" s="41"/>
      <c r="F17" s="42"/>
      <c r="G17" s="42"/>
      <c r="H17" s="42"/>
      <c r="I17" s="42"/>
      <c r="J17" s="42"/>
      <c r="K17" s="43"/>
      <c r="L17" s="42"/>
      <c r="M17" s="42"/>
      <c r="N17" s="42"/>
      <c r="O17" s="44"/>
      <c r="P17" s="45">
        <f t="shared" si="2"/>
        <v>11.521423099517822</v>
      </c>
    </row>
    <row r="18" spans="3:18" hidden="1">
      <c r="C18" s="20" t="s">
        <v>26</v>
      </c>
      <c r="D18" s="41">
        <v>701.38252152369171</v>
      </c>
      <c r="E18" s="41"/>
      <c r="F18" s="42"/>
      <c r="G18" s="42"/>
      <c r="H18" s="42"/>
      <c r="I18" s="42"/>
      <c r="J18" s="42"/>
      <c r="K18" s="43"/>
      <c r="L18" s="42"/>
      <c r="M18" s="42"/>
      <c r="N18" s="42"/>
      <c r="O18" s="44"/>
      <c r="P18" s="45">
        <f t="shared" si="2"/>
        <v>701.38252152369171</v>
      </c>
      <c r="Q18" s="21"/>
    </row>
    <row r="19" spans="3:18" hidden="1">
      <c r="C19" s="20" t="s">
        <v>27</v>
      </c>
      <c r="D19" s="41">
        <v>1338.8287362799645</v>
      </c>
      <c r="E19" s="41"/>
      <c r="F19" s="42"/>
      <c r="G19" s="42"/>
      <c r="H19" s="42"/>
      <c r="I19" s="42"/>
      <c r="J19" s="42"/>
      <c r="K19" s="43"/>
      <c r="L19" s="42"/>
      <c r="M19" s="42"/>
      <c r="N19" s="42"/>
      <c r="O19" s="44"/>
      <c r="P19" s="45">
        <f t="shared" si="2"/>
        <v>1338.8287362799645</v>
      </c>
      <c r="Q19" s="21"/>
    </row>
    <row r="20" spans="3:18" hidden="1">
      <c r="C20" s="40" t="s">
        <v>46</v>
      </c>
      <c r="D20" s="41">
        <v>35832.494704200879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3"/>
      <c r="P20" s="45">
        <f t="shared" si="2"/>
        <v>35832.494704200879</v>
      </c>
      <c r="Q20" s="21"/>
    </row>
    <row r="21" spans="3:18" ht="15" hidden="1">
      <c r="C21" s="15" t="s">
        <v>28</v>
      </c>
      <c r="D21" s="46">
        <f t="shared" ref="D21:O21" si="3">SUM(D16:D20)</f>
        <v>37884.227385104052</v>
      </c>
      <c r="E21" s="46">
        <f t="shared" si="3"/>
        <v>0</v>
      </c>
      <c r="F21" s="46">
        <f t="shared" si="3"/>
        <v>0</v>
      </c>
      <c r="G21" s="46">
        <f t="shared" si="3"/>
        <v>0</v>
      </c>
      <c r="H21" s="46">
        <f t="shared" si="3"/>
        <v>0</v>
      </c>
      <c r="I21" s="46">
        <f t="shared" si="3"/>
        <v>0</v>
      </c>
      <c r="J21" s="46">
        <f t="shared" si="3"/>
        <v>0</v>
      </c>
      <c r="K21" s="46">
        <f t="shared" si="3"/>
        <v>0</v>
      </c>
      <c r="L21" s="46">
        <f t="shared" si="3"/>
        <v>0</v>
      </c>
      <c r="M21" s="46">
        <f t="shared" si="3"/>
        <v>0</v>
      </c>
      <c r="N21" s="46">
        <f t="shared" si="3"/>
        <v>0</v>
      </c>
      <c r="O21" s="47">
        <f t="shared" si="3"/>
        <v>0</v>
      </c>
      <c r="P21" s="48">
        <f t="shared" si="2"/>
        <v>37884.227385104052</v>
      </c>
    </row>
    <row r="22" spans="3:18" ht="15.75" hidden="1" thickBot="1">
      <c r="C22" s="22" t="s">
        <v>29</v>
      </c>
      <c r="D22" s="49">
        <f t="shared" ref="D22:O22" si="4">+D14+D21</f>
        <v>99026.510304678144</v>
      </c>
      <c r="E22" s="49">
        <f t="shared" si="4"/>
        <v>0</v>
      </c>
      <c r="F22" s="49">
        <f t="shared" si="4"/>
        <v>0</v>
      </c>
      <c r="G22" s="49">
        <f t="shared" si="4"/>
        <v>0</v>
      </c>
      <c r="H22" s="49">
        <f t="shared" si="4"/>
        <v>0</v>
      </c>
      <c r="I22" s="49">
        <f t="shared" si="4"/>
        <v>0</v>
      </c>
      <c r="J22" s="49">
        <f t="shared" si="4"/>
        <v>0</v>
      </c>
      <c r="K22" s="49">
        <f t="shared" si="4"/>
        <v>0</v>
      </c>
      <c r="L22" s="49">
        <f t="shared" si="4"/>
        <v>0</v>
      </c>
      <c r="M22" s="49">
        <f t="shared" si="4"/>
        <v>0</v>
      </c>
      <c r="N22" s="49">
        <f t="shared" si="4"/>
        <v>0</v>
      </c>
      <c r="O22" s="50">
        <f t="shared" si="4"/>
        <v>0</v>
      </c>
      <c r="P22" s="51">
        <f t="shared" si="2"/>
        <v>99026.510304678144</v>
      </c>
    </row>
    <row r="23" spans="3:18" ht="15" hidden="1" customHeight="1" thickTop="1">
      <c r="Q23" s="3">
        <v>1000</v>
      </c>
    </row>
    <row r="24" spans="3:18" ht="15">
      <c r="C24" s="1" t="s">
        <v>99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3:18" ht="15" thickBot="1"/>
    <row r="26" spans="3:18" ht="15.75" thickTop="1">
      <c r="C26" s="29" t="s">
        <v>30</v>
      </c>
      <c r="D26" s="30" t="s">
        <v>2</v>
      </c>
      <c r="E26" s="31" t="s">
        <v>3</v>
      </c>
      <c r="F26" s="31" t="s">
        <v>4</v>
      </c>
      <c r="G26" s="31" t="s">
        <v>5</v>
      </c>
      <c r="H26" s="31" t="s">
        <v>6</v>
      </c>
      <c r="I26" s="31" t="s">
        <v>7</v>
      </c>
      <c r="J26" s="31" t="s">
        <v>8</v>
      </c>
      <c r="K26" s="31" t="s">
        <v>9</v>
      </c>
      <c r="L26" s="31" t="s">
        <v>10</v>
      </c>
      <c r="M26" s="31" t="s">
        <v>11</v>
      </c>
      <c r="N26" s="31" t="s">
        <v>12</v>
      </c>
      <c r="O26" s="32" t="s">
        <v>13</v>
      </c>
      <c r="P26" s="33" t="s">
        <v>14</v>
      </c>
      <c r="Q26" s="3">
        <v>1000</v>
      </c>
    </row>
    <row r="27" spans="3:18" ht="15">
      <c r="C27" s="23" t="s">
        <v>31</v>
      </c>
      <c r="D27" s="152">
        <f t="shared" ref="D27:O27" si="5">+D28+D29</f>
        <v>84554.59751323986</v>
      </c>
      <c r="E27" s="153">
        <f t="shared" si="5"/>
        <v>109587.90794787239</v>
      </c>
      <c r="F27" s="154">
        <f t="shared" si="5"/>
        <v>117590.708112127</v>
      </c>
      <c r="G27" s="154">
        <f t="shared" si="5"/>
        <v>90100.445445065663</v>
      </c>
      <c r="H27" s="154">
        <f t="shared" si="5"/>
        <v>71163.375274447753</v>
      </c>
      <c r="I27" s="154">
        <f t="shared" si="5"/>
        <v>69812.027128193993</v>
      </c>
      <c r="J27" s="141">
        <f t="shared" si="5"/>
        <v>71220.666803235334</v>
      </c>
      <c r="K27" s="154">
        <f t="shared" si="5"/>
        <v>72924.134967374892</v>
      </c>
      <c r="L27" s="154">
        <f t="shared" si="5"/>
        <v>70907.866836770161</v>
      </c>
      <c r="M27" s="154">
        <f t="shared" si="5"/>
        <v>78907.008092790755</v>
      </c>
      <c r="N27" s="154">
        <f t="shared" si="5"/>
        <v>81070.081932438843</v>
      </c>
      <c r="O27" s="155">
        <f t="shared" si="5"/>
        <v>75142.668680357674</v>
      </c>
      <c r="P27" s="156">
        <f>SUM(D27:O27)</f>
        <v>992981.48873391433</v>
      </c>
      <c r="R27" s="18"/>
    </row>
    <row r="28" spans="3:18">
      <c r="C28" s="24" t="s">
        <v>32</v>
      </c>
      <c r="D28" s="157">
        <v>74934.188166091306</v>
      </c>
      <c r="E28" s="121">
        <v>97541.91321699362</v>
      </c>
      <c r="F28" s="121">
        <v>108165.2353285834</v>
      </c>
      <c r="G28" s="121">
        <v>90073.526098213275</v>
      </c>
      <c r="H28" s="121">
        <v>71143.135094790778</v>
      </c>
      <c r="I28" s="121">
        <v>69785.813307576318</v>
      </c>
      <c r="J28" s="121">
        <v>71183.253297877949</v>
      </c>
      <c r="K28" s="121">
        <v>72913.25180564812</v>
      </c>
      <c r="L28" s="121">
        <v>70558.253802513063</v>
      </c>
      <c r="M28" s="121">
        <v>78874.541926726801</v>
      </c>
      <c r="N28" s="121">
        <v>81026.361450428958</v>
      </c>
      <c r="O28" s="121">
        <v>75028.635576040135</v>
      </c>
      <c r="P28" s="158">
        <f t="shared" ref="P28:P60" si="6">SUM(D28:O28)</f>
        <v>961228.10907148372</v>
      </c>
      <c r="R28" s="18"/>
    </row>
    <row r="29" spans="3:18">
      <c r="C29" s="25" t="s">
        <v>33</v>
      </c>
      <c r="D29" s="159">
        <v>9620.4093471485485</v>
      </c>
      <c r="E29" s="160">
        <v>12045.99473087877</v>
      </c>
      <c r="F29" s="160">
        <v>9425.4727835436024</v>
      </c>
      <c r="G29" s="160">
        <v>26.919346852381846</v>
      </c>
      <c r="H29" s="160">
        <v>20.240179656982423</v>
      </c>
      <c r="I29" s="160">
        <v>26.213820617675783</v>
      </c>
      <c r="J29" s="160">
        <v>37.413505357384679</v>
      </c>
      <c r="K29" s="160">
        <v>10.883161726774764</v>
      </c>
      <c r="L29" s="160">
        <v>349.6130342570973</v>
      </c>
      <c r="M29" s="160">
        <v>32.466166063956813</v>
      </c>
      <c r="N29" s="160">
        <v>43.720482009887697</v>
      </c>
      <c r="O29" s="160">
        <v>114.03310431754522</v>
      </c>
      <c r="P29" s="161">
        <f t="shared" si="6"/>
        <v>31753.379662430612</v>
      </c>
      <c r="R29" s="18"/>
    </row>
    <row r="30" spans="3:18" ht="15">
      <c r="C30" s="23" t="s">
        <v>34</v>
      </c>
      <c r="D30" s="162">
        <f t="shared" ref="D30:O30" si="7">+D31</f>
        <v>0</v>
      </c>
      <c r="E30" s="141">
        <f t="shared" si="7"/>
        <v>0</v>
      </c>
      <c r="F30" s="141">
        <f t="shared" si="7"/>
        <v>0</v>
      </c>
      <c r="G30" s="141">
        <f t="shared" si="7"/>
        <v>0</v>
      </c>
      <c r="H30" s="154">
        <f t="shared" si="7"/>
        <v>0</v>
      </c>
      <c r="I30" s="154">
        <f t="shared" si="7"/>
        <v>0</v>
      </c>
      <c r="J30" s="141">
        <f t="shared" si="7"/>
        <v>0</v>
      </c>
      <c r="K30" s="141">
        <f t="shared" si="7"/>
        <v>0</v>
      </c>
      <c r="L30" s="141">
        <f t="shared" si="7"/>
        <v>0</v>
      </c>
      <c r="M30" s="141">
        <f t="shared" si="7"/>
        <v>0</v>
      </c>
      <c r="N30" s="141">
        <f t="shared" si="7"/>
        <v>0</v>
      </c>
      <c r="O30" s="155">
        <f t="shared" si="7"/>
        <v>0</v>
      </c>
      <c r="P30" s="156">
        <f t="shared" si="6"/>
        <v>0</v>
      </c>
      <c r="R30" s="18"/>
    </row>
    <row r="31" spans="3:18">
      <c r="C31" s="24" t="s">
        <v>41</v>
      </c>
      <c r="D31" s="163">
        <v>0</v>
      </c>
      <c r="E31" s="164">
        <v>0</v>
      </c>
      <c r="F31" s="164">
        <v>0</v>
      </c>
      <c r="G31" s="164">
        <v>0</v>
      </c>
      <c r="H31" s="121">
        <v>0</v>
      </c>
      <c r="I31" s="121">
        <v>0</v>
      </c>
      <c r="J31" s="116"/>
      <c r="K31" s="116"/>
      <c r="L31" s="116">
        <v>0</v>
      </c>
      <c r="M31" s="116">
        <v>0</v>
      </c>
      <c r="N31" s="116">
        <v>0</v>
      </c>
      <c r="O31" s="165"/>
      <c r="P31" s="158">
        <f t="shared" si="6"/>
        <v>0</v>
      </c>
      <c r="R31" s="18"/>
    </row>
    <row r="32" spans="3:18" ht="15">
      <c r="C32" s="23" t="s">
        <v>35</v>
      </c>
      <c r="D32" s="152">
        <f>+D33+D34</f>
        <v>288.12783552501514</v>
      </c>
      <c r="E32" s="154">
        <f t="shared" ref="E32:O32" si="8">+E33+E34</f>
        <v>292.5777869344505</v>
      </c>
      <c r="F32" s="154">
        <f t="shared" si="8"/>
        <v>285.93087752651149</v>
      </c>
      <c r="G32" s="154">
        <f t="shared" si="8"/>
        <v>315.76657024171749</v>
      </c>
      <c r="H32" s="154">
        <f t="shared" si="8"/>
        <v>289.83999999999997</v>
      </c>
      <c r="I32" s="154">
        <f t="shared" si="8"/>
        <v>295.7338832272282</v>
      </c>
      <c r="J32" s="154">
        <f t="shared" si="8"/>
        <v>300.36435723315873</v>
      </c>
      <c r="K32" s="154">
        <f t="shared" si="8"/>
        <v>307.26588864574018</v>
      </c>
      <c r="L32" s="154">
        <f t="shared" si="8"/>
        <v>308.84187396920476</v>
      </c>
      <c r="M32" s="154">
        <f t="shared" si="8"/>
        <v>306.51000961353878</v>
      </c>
      <c r="N32" s="154">
        <f t="shared" si="8"/>
        <v>295.40711824390536</v>
      </c>
      <c r="O32" s="166">
        <f t="shared" si="8"/>
        <v>310.93106694673719</v>
      </c>
      <c r="P32" s="156">
        <f t="shared" si="6"/>
        <v>3597.2972681072079</v>
      </c>
      <c r="R32" s="18"/>
    </row>
    <row r="33" spans="2:20">
      <c r="C33" s="24" t="s">
        <v>32</v>
      </c>
      <c r="D33" s="163">
        <v>256.33945882034766</v>
      </c>
      <c r="E33" s="116">
        <v>252.02608963283788</v>
      </c>
      <c r="F33" s="116">
        <v>259.60489399494702</v>
      </c>
      <c r="G33" s="116">
        <v>315.52347553455633</v>
      </c>
      <c r="H33" s="116">
        <v>289.64999999999998</v>
      </c>
      <c r="I33" s="116">
        <v>295.73113122243313</v>
      </c>
      <c r="J33" s="116">
        <v>297.81537483798661</v>
      </c>
      <c r="K33" s="116">
        <v>306.12468990654082</v>
      </c>
      <c r="L33" s="116">
        <v>294.24895347794563</v>
      </c>
      <c r="M33" s="116">
        <v>306.24528478094913</v>
      </c>
      <c r="N33" s="116">
        <v>293.32614360782748</v>
      </c>
      <c r="O33" s="165">
        <v>302.78811597131909</v>
      </c>
      <c r="P33" s="158">
        <f t="shared" si="6"/>
        <v>3469.4236117876908</v>
      </c>
      <c r="Q33" s="3">
        <f>+P33/12</f>
        <v>289.11863431564092</v>
      </c>
      <c r="R33" s="18"/>
    </row>
    <row r="34" spans="2:20">
      <c r="C34" s="26" t="s">
        <v>33</v>
      </c>
      <c r="D34" s="163">
        <v>31.788376704667495</v>
      </c>
      <c r="E34" s="116">
        <v>40.551697301612634</v>
      </c>
      <c r="F34" s="116">
        <v>26.325983531564475</v>
      </c>
      <c r="G34" s="164">
        <v>0.24309470716118814</v>
      </c>
      <c r="H34" s="164">
        <v>0.19</v>
      </c>
      <c r="I34" s="164">
        <v>2.7520047950744626E-3</v>
      </c>
      <c r="J34" s="164">
        <v>2.5489823951721191</v>
      </c>
      <c r="K34" s="164">
        <v>1.1411987391993403</v>
      </c>
      <c r="L34" s="164">
        <v>14.592920491259099</v>
      </c>
      <c r="M34" s="116">
        <v>0.26472483258962631</v>
      </c>
      <c r="N34" s="164">
        <v>2.0809746360778809</v>
      </c>
      <c r="O34" s="182">
        <v>8.1429509754180902</v>
      </c>
      <c r="P34" s="161">
        <f t="shared" si="6"/>
        <v>127.87365631951701</v>
      </c>
      <c r="Q34" s="3">
        <f>+P34/12</f>
        <v>10.656138026626417</v>
      </c>
      <c r="R34" s="18"/>
    </row>
    <row r="35" spans="2:20" ht="15">
      <c r="C35" s="27" t="s">
        <v>36</v>
      </c>
      <c r="D35" s="152">
        <f t="shared" ref="D35:O35" si="9">+D36+D37</f>
        <v>1159.4471378077578</v>
      </c>
      <c r="E35" s="154">
        <f t="shared" si="9"/>
        <v>1212.2681198058417</v>
      </c>
      <c r="F35" s="154">
        <f t="shared" si="9"/>
        <v>1543.7284157122922</v>
      </c>
      <c r="G35" s="140">
        <f t="shared" si="9"/>
        <v>1407.3392207165452</v>
      </c>
      <c r="H35" s="140">
        <f t="shared" si="9"/>
        <v>1105.5689187868702</v>
      </c>
      <c r="I35" s="140">
        <f t="shared" si="9"/>
        <v>1155.9226683830639</v>
      </c>
      <c r="J35" s="142">
        <f t="shared" si="9"/>
        <v>1091.9822521031747</v>
      </c>
      <c r="K35" s="142">
        <f t="shared" si="9"/>
        <v>996.19237548885576</v>
      </c>
      <c r="L35" s="142">
        <f t="shared" si="9"/>
        <v>1475.1517470731633</v>
      </c>
      <c r="M35" s="141">
        <f t="shared" si="9"/>
        <v>1378.3068498724315</v>
      </c>
      <c r="N35" s="142">
        <f t="shared" si="9"/>
        <v>1142.7237536146276</v>
      </c>
      <c r="O35" s="148">
        <f t="shared" si="9"/>
        <v>1062.7053865659254</v>
      </c>
      <c r="P35" s="169">
        <f t="shared" si="6"/>
        <v>14731.336845930549</v>
      </c>
      <c r="R35" s="18"/>
    </row>
    <row r="36" spans="2:20">
      <c r="C36" s="24" t="s">
        <v>37</v>
      </c>
      <c r="D36" s="163">
        <v>463.77885512310314</v>
      </c>
      <c r="E36" s="116">
        <v>484.90724792233669</v>
      </c>
      <c r="F36" s="116">
        <v>617.49136628491692</v>
      </c>
      <c r="G36" s="116">
        <v>562.93568828661807</v>
      </c>
      <c r="H36" s="116">
        <v>442.2275675147481</v>
      </c>
      <c r="I36" s="116">
        <v>462.36906735322555</v>
      </c>
      <c r="J36" s="116">
        <v>436.7929008412699</v>
      </c>
      <c r="K36" s="116">
        <v>398.47695019554232</v>
      </c>
      <c r="L36" s="116">
        <v>590.06069882926533</v>
      </c>
      <c r="M36" s="116">
        <v>551.32273994897264</v>
      </c>
      <c r="N36" s="116">
        <v>457.08950144585106</v>
      </c>
      <c r="O36" s="116">
        <v>425.0821546263702</v>
      </c>
      <c r="P36" s="158">
        <f t="shared" si="6"/>
        <v>5892.5347383722201</v>
      </c>
      <c r="R36" s="18"/>
      <c r="T36" s="18"/>
    </row>
    <row r="37" spans="2:20">
      <c r="C37" s="24" t="s">
        <v>38</v>
      </c>
      <c r="D37" s="167">
        <v>695.66828268465463</v>
      </c>
      <c r="E37" s="164">
        <v>727.36087188350496</v>
      </c>
      <c r="F37" s="164">
        <v>926.23704942737527</v>
      </c>
      <c r="G37" s="116">
        <v>844.40353242992717</v>
      </c>
      <c r="H37" s="116">
        <v>663.3413512721221</v>
      </c>
      <c r="I37" s="116">
        <v>693.55360102983832</v>
      </c>
      <c r="J37" s="116">
        <v>655.18935126190479</v>
      </c>
      <c r="K37" s="164">
        <v>597.71542529331339</v>
      </c>
      <c r="L37" s="164">
        <v>885.09104824389794</v>
      </c>
      <c r="M37" s="164">
        <v>826.98410992345885</v>
      </c>
      <c r="N37" s="164">
        <v>685.63425216877658</v>
      </c>
      <c r="O37" s="164">
        <v>637.62323193955524</v>
      </c>
      <c r="P37" s="158">
        <f t="shared" si="6"/>
        <v>8838.8021075583292</v>
      </c>
      <c r="S37" s="18"/>
      <c r="T37" s="18"/>
    </row>
    <row r="38" spans="2:20" ht="15">
      <c r="B38" s="145"/>
      <c r="C38" s="34" t="s">
        <v>39</v>
      </c>
      <c r="D38" s="170">
        <f t="shared" ref="D38:O38" si="10">+D27+D30-D32-D35</f>
        <v>83107.022539907091</v>
      </c>
      <c r="E38" s="146">
        <f t="shared" si="10"/>
        <v>108083.0620411321</v>
      </c>
      <c r="F38" s="146">
        <f t="shared" si="10"/>
        <v>115761.0488188882</v>
      </c>
      <c r="G38" s="146">
        <f t="shared" si="10"/>
        <v>88377.339654107403</v>
      </c>
      <c r="H38" s="146">
        <f t="shared" si="10"/>
        <v>69767.966355660887</v>
      </c>
      <c r="I38" s="146">
        <f t="shared" si="10"/>
        <v>68360.370576583708</v>
      </c>
      <c r="J38" s="146">
        <f t="shared" si="10"/>
        <v>69828.320193898995</v>
      </c>
      <c r="K38" s="146">
        <f t="shared" si="10"/>
        <v>71620.6767032403</v>
      </c>
      <c r="L38" s="146">
        <f t="shared" si="10"/>
        <v>69123.873215727799</v>
      </c>
      <c r="M38" s="146">
        <f t="shared" si="10"/>
        <v>77222.19123330478</v>
      </c>
      <c r="N38" s="146">
        <f t="shared" si="10"/>
        <v>79631.951060580308</v>
      </c>
      <c r="O38" s="171">
        <f t="shared" si="10"/>
        <v>73769.032226845011</v>
      </c>
      <c r="P38" s="172">
        <f t="shared" si="6"/>
        <v>974652.8546198766</v>
      </c>
      <c r="R38" s="18"/>
    </row>
    <row r="39" spans="2:20" ht="15">
      <c r="B39" s="181"/>
      <c r="C39" s="34" t="s">
        <v>40</v>
      </c>
      <c r="D39" s="170">
        <f t="shared" ref="D39:O39" si="11">+D40+D43+D54</f>
        <v>83107.022539907091</v>
      </c>
      <c r="E39" s="146">
        <f t="shared" si="11"/>
        <v>108083.0620411321</v>
      </c>
      <c r="F39" s="146">
        <f t="shared" si="11"/>
        <v>115761.0488188882</v>
      </c>
      <c r="G39" s="146">
        <f t="shared" si="11"/>
        <v>88377.339654107403</v>
      </c>
      <c r="H39" s="146">
        <f t="shared" si="11"/>
        <v>69767.966355660887</v>
      </c>
      <c r="I39" s="146">
        <f t="shared" si="11"/>
        <v>68360.370576583708</v>
      </c>
      <c r="J39" s="146">
        <f t="shared" si="11"/>
        <v>69828.320193898995</v>
      </c>
      <c r="K39" s="146">
        <f t="shared" si="11"/>
        <v>71620.6767032403</v>
      </c>
      <c r="L39" s="146">
        <f t="shared" si="11"/>
        <v>69123.873215727799</v>
      </c>
      <c r="M39" s="146">
        <f t="shared" si="11"/>
        <v>77222.19123330478</v>
      </c>
      <c r="N39" s="146">
        <f t="shared" si="11"/>
        <v>79631.951060580308</v>
      </c>
      <c r="O39" s="171">
        <f t="shared" si="11"/>
        <v>73769.032226845011</v>
      </c>
      <c r="P39" s="172">
        <f t="shared" si="6"/>
        <v>974652.8546198766</v>
      </c>
      <c r="R39" s="18"/>
    </row>
    <row r="40" spans="2:20" ht="15">
      <c r="C40" s="27" t="s">
        <v>44</v>
      </c>
      <c r="D40" s="141">
        <f t="shared" ref="D40:O40" si="12">+D41+D42</f>
        <v>17903.532899907099</v>
      </c>
      <c r="E40" s="141">
        <f t="shared" si="12"/>
        <v>47292.289971132101</v>
      </c>
      <c r="F40" s="141">
        <f t="shared" si="12"/>
        <v>50636.334768888191</v>
      </c>
      <c r="G40" s="141">
        <f t="shared" si="12"/>
        <v>28152.275394107401</v>
      </c>
      <c r="H40" s="141">
        <f t="shared" si="12"/>
        <v>9379.5069456608999</v>
      </c>
      <c r="I40" s="141">
        <f t="shared" si="12"/>
        <v>11732.86499658371</v>
      </c>
      <c r="J40" s="141">
        <f t="shared" si="12"/>
        <v>12141.948973899</v>
      </c>
      <c r="K40" s="141">
        <f t="shared" si="12"/>
        <v>13745.9595632403</v>
      </c>
      <c r="L40" s="141">
        <f t="shared" si="12"/>
        <v>12195.6634857278</v>
      </c>
      <c r="M40" s="154">
        <f t="shared" si="12"/>
        <v>18247.860293304788</v>
      </c>
      <c r="N40" s="154">
        <f t="shared" si="12"/>
        <v>21353.685200580301</v>
      </c>
      <c r="O40" s="154">
        <f t="shared" si="12"/>
        <v>12774.928896845</v>
      </c>
      <c r="P40" s="154">
        <f t="shared" si="6"/>
        <v>255556.85138987657</v>
      </c>
      <c r="R40" s="18"/>
      <c r="S40" s="18"/>
    </row>
    <row r="41" spans="2:20">
      <c r="C41" s="24" t="s">
        <v>41</v>
      </c>
      <c r="D41" s="189">
        <v>17903.532899907099</v>
      </c>
      <c r="E41" s="116">
        <v>47292.289971132101</v>
      </c>
      <c r="F41" s="116">
        <v>50636.334768888191</v>
      </c>
      <c r="G41" s="116">
        <v>28152.275394107401</v>
      </c>
      <c r="H41" s="116">
        <v>9379.5069456608999</v>
      </c>
      <c r="I41" s="116">
        <v>11732.86499658371</v>
      </c>
      <c r="J41" s="116">
        <v>12141.948973899</v>
      </c>
      <c r="K41" s="116">
        <v>13745.9595632403</v>
      </c>
      <c r="L41" s="116">
        <v>12195.6634857278</v>
      </c>
      <c r="M41" s="116">
        <v>18247.860293304788</v>
      </c>
      <c r="N41" s="116">
        <v>21353.685200580301</v>
      </c>
      <c r="O41" s="116">
        <v>12774.928896845</v>
      </c>
      <c r="P41" s="121">
        <f t="shared" si="6"/>
        <v>255556.85138987657</v>
      </c>
      <c r="Q41" s="18"/>
      <c r="R41" s="18"/>
    </row>
    <row r="42" spans="2:20" hidden="1">
      <c r="C42" s="24" t="s">
        <v>45</v>
      </c>
      <c r="D42" s="116">
        <v>0</v>
      </c>
      <c r="E42" s="116">
        <v>0</v>
      </c>
      <c r="F42" s="116">
        <v>0</v>
      </c>
      <c r="G42" s="116">
        <v>0</v>
      </c>
      <c r="H42" s="116">
        <v>0</v>
      </c>
      <c r="I42" s="116">
        <v>0</v>
      </c>
      <c r="J42" s="116">
        <v>0</v>
      </c>
      <c r="K42" s="116">
        <v>0</v>
      </c>
      <c r="L42" s="116">
        <v>0</v>
      </c>
      <c r="M42" s="116">
        <v>0</v>
      </c>
      <c r="N42" s="116">
        <v>0</v>
      </c>
      <c r="O42" s="116"/>
      <c r="P42" s="121">
        <f t="shared" si="6"/>
        <v>0</v>
      </c>
      <c r="Q42" s="18"/>
      <c r="R42" s="18"/>
    </row>
    <row r="43" spans="2:20" ht="15">
      <c r="C43" s="27" t="s">
        <v>42</v>
      </c>
      <c r="D43" s="142">
        <f>SUM(D44:D53)</f>
        <v>61496.456369999985</v>
      </c>
      <c r="E43" s="142">
        <f t="shared" ref="E43:O43" si="13">SUM(E44:E53)</f>
        <v>57056.273299999993</v>
      </c>
      <c r="F43" s="142">
        <f t="shared" si="13"/>
        <v>60725.64046000001</v>
      </c>
      <c r="G43" s="142">
        <f t="shared" si="13"/>
        <v>56068.41994</v>
      </c>
      <c r="H43" s="142">
        <f t="shared" si="13"/>
        <v>55872.384809999989</v>
      </c>
      <c r="I43" s="142">
        <f t="shared" si="13"/>
        <v>52363.766909999998</v>
      </c>
      <c r="J43" s="142">
        <f t="shared" si="13"/>
        <v>53561.127769999999</v>
      </c>
      <c r="K43" s="142">
        <f t="shared" si="13"/>
        <v>53935.013540000014</v>
      </c>
      <c r="L43" s="142">
        <f t="shared" si="13"/>
        <v>53110.761180000001</v>
      </c>
      <c r="M43" s="142">
        <f t="shared" si="13"/>
        <v>55112.227139999995</v>
      </c>
      <c r="N43" s="142">
        <f t="shared" si="13"/>
        <v>54273.772390000006</v>
      </c>
      <c r="O43" s="142">
        <f t="shared" si="13"/>
        <v>57142.469250000002</v>
      </c>
      <c r="P43" s="142">
        <f>SUM(P44:P53)</f>
        <v>670718.31306000007</v>
      </c>
      <c r="R43" s="18"/>
    </row>
    <row r="44" spans="2:20">
      <c r="C44" s="24" t="s">
        <v>47</v>
      </c>
      <c r="D44" s="116">
        <v>12330.970690000002</v>
      </c>
      <c r="E44" s="174">
        <v>11850.139100000002</v>
      </c>
      <c r="F44" s="116">
        <v>12768.569589999999</v>
      </c>
      <c r="G44" s="116">
        <v>11718.531999999997</v>
      </c>
      <c r="H44" s="116">
        <v>11686.983930000004</v>
      </c>
      <c r="I44" s="116">
        <v>11112.229630000002</v>
      </c>
      <c r="J44" s="116">
        <v>11344.502359999999</v>
      </c>
      <c r="K44" s="116">
        <v>11320.700059999999</v>
      </c>
      <c r="L44" s="116">
        <v>11002.890959999999</v>
      </c>
      <c r="M44" s="116">
        <v>11449.634810000001</v>
      </c>
      <c r="N44" s="205">
        <v>11333.036169999999</v>
      </c>
      <c r="O44" s="116">
        <f>11887760.2/1000</f>
        <v>11887.760199999999</v>
      </c>
      <c r="P44" s="121">
        <f t="shared" si="6"/>
        <v>139805.94949999999</v>
      </c>
      <c r="Q44" s="109"/>
      <c r="R44" s="18"/>
    </row>
    <row r="45" spans="2:20">
      <c r="C45" s="24" t="s">
        <v>48</v>
      </c>
      <c r="D45" s="116">
        <v>34799.556289999993</v>
      </c>
      <c r="E45" s="174">
        <v>33692.988629999993</v>
      </c>
      <c r="F45" s="116">
        <v>36001.954160000001</v>
      </c>
      <c r="G45" s="116">
        <v>32883.017480000002</v>
      </c>
      <c r="H45" s="116">
        <v>32283.159889999995</v>
      </c>
      <c r="I45" s="116">
        <v>30637.989249999999</v>
      </c>
      <c r="J45" s="116">
        <v>31423.290300000004</v>
      </c>
      <c r="K45" s="116">
        <v>31592.346220000003</v>
      </c>
      <c r="L45" s="116">
        <v>30469.562680000003</v>
      </c>
      <c r="M45" s="116">
        <v>31409.56018</v>
      </c>
      <c r="N45" s="205">
        <v>30891.405250000003</v>
      </c>
      <c r="O45" s="116">
        <v>32319.660979999997</v>
      </c>
      <c r="P45" s="121">
        <f t="shared" si="6"/>
        <v>388404.49130999995</v>
      </c>
      <c r="Q45" s="109"/>
      <c r="R45" s="18"/>
    </row>
    <row r="46" spans="2:20">
      <c r="C46" s="24" t="s">
        <v>49</v>
      </c>
      <c r="D46" s="116">
        <v>622.65074000000016</v>
      </c>
      <c r="E46" s="174">
        <v>601.53190000000006</v>
      </c>
      <c r="F46" s="116">
        <v>648.62444999999991</v>
      </c>
      <c r="G46" s="116">
        <v>589.21785000000011</v>
      </c>
      <c r="H46" s="116">
        <v>558.39956000000006</v>
      </c>
      <c r="I46" s="116">
        <v>524.88238999999987</v>
      </c>
      <c r="J46" s="116">
        <v>539.81352000000004</v>
      </c>
      <c r="K46" s="116">
        <v>534.82322999999997</v>
      </c>
      <c r="L46" s="116">
        <v>521.43127000000004</v>
      </c>
      <c r="M46" s="116">
        <v>545.09976000000006</v>
      </c>
      <c r="N46" s="205">
        <v>528.20470999999998</v>
      </c>
      <c r="O46" s="116">
        <v>582.74271999999996</v>
      </c>
      <c r="P46" s="121">
        <f t="shared" si="6"/>
        <v>6797.4220999999998</v>
      </c>
      <c r="Q46" s="109"/>
      <c r="R46" s="18"/>
    </row>
    <row r="47" spans="2:20">
      <c r="C47" s="24" t="s">
        <v>50</v>
      </c>
      <c r="D47" s="116">
        <v>1318.3011799999999</v>
      </c>
      <c r="E47" s="174">
        <v>1196.6153300000001</v>
      </c>
      <c r="F47" s="116">
        <v>1243.3732600000001</v>
      </c>
      <c r="G47" s="116">
        <v>1185.94948</v>
      </c>
      <c r="H47" s="116">
        <v>1173.6347700000001</v>
      </c>
      <c r="I47" s="116">
        <v>1150.2816700000001</v>
      </c>
      <c r="J47" s="116">
        <v>1157.5526700000003</v>
      </c>
      <c r="K47" s="116">
        <v>1155.54675</v>
      </c>
      <c r="L47" s="116">
        <v>1124.3564099999999</v>
      </c>
      <c r="M47" s="116">
        <v>1191.42497</v>
      </c>
      <c r="N47" s="205">
        <v>1178.0564999999999</v>
      </c>
      <c r="O47" s="116">
        <v>1256.44102</v>
      </c>
      <c r="P47" s="121">
        <f t="shared" si="6"/>
        <v>14331.534010000003</v>
      </c>
      <c r="Q47" s="109"/>
      <c r="R47" s="18"/>
    </row>
    <row r="48" spans="2:20">
      <c r="C48" s="24" t="s">
        <v>51</v>
      </c>
      <c r="D48" s="116">
        <v>903.84363999999994</v>
      </c>
      <c r="E48" s="174">
        <v>799.76357000000007</v>
      </c>
      <c r="F48" s="116">
        <v>917.28017000000011</v>
      </c>
      <c r="G48" s="116">
        <v>900.93573000000015</v>
      </c>
      <c r="H48" s="116">
        <v>958.87569999999994</v>
      </c>
      <c r="I48" s="116">
        <v>967.77861000000007</v>
      </c>
      <c r="J48" s="116">
        <f>1020370.57/1000</f>
        <v>1020.3705699999999</v>
      </c>
      <c r="K48" s="116">
        <v>1019.3111499999999</v>
      </c>
      <c r="L48" s="116">
        <v>1027.47873</v>
      </c>
      <c r="M48" s="116">
        <v>1041.8714100000002</v>
      </c>
      <c r="N48" s="205">
        <v>976.19334000000015</v>
      </c>
      <c r="O48" s="116">
        <v>972.46780999999999</v>
      </c>
      <c r="P48" s="121">
        <f t="shared" si="6"/>
        <v>11506.17043</v>
      </c>
      <c r="Q48" s="109"/>
      <c r="R48" s="18"/>
    </row>
    <row r="49" spans="3:18">
      <c r="C49" s="24" t="s">
        <v>52</v>
      </c>
      <c r="D49" s="116">
        <v>761.56634999999994</v>
      </c>
      <c r="E49" s="174">
        <v>743.46159000000011</v>
      </c>
      <c r="F49" s="116">
        <v>777.40716999999995</v>
      </c>
      <c r="G49" s="116">
        <v>793.10158999999987</v>
      </c>
      <c r="H49" s="116">
        <v>814.37795999999992</v>
      </c>
      <c r="I49" s="116">
        <v>841.50669999999991</v>
      </c>
      <c r="J49" s="116">
        <f>898808.69/1000</f>
        <v>898.80868999999996</v>
      </c>
      <c r="K49" s="116">
        <v>868.10658999999987</v>
      </c>
      <c r="L49" s="116">
        <v>860.81270999999992</v>
      </c>
      <c r="M49" s="116">
        <v>893.26675999999998</v>
      </c>
      <c r="N49" s="205">
        <v>825.29009999999994</v>
      </c>
      <c r="O49" s="116">
        <v>857.94349999999986</v>
      </c>
      <c r="P49" s="121">
        <f t="shared" si="6"/>
        <v>9935.6497099999997</v>
      </c>
      <c r="Q49" s="109"/>
      <c r="R49" s="18"/>
    </row>
    <row r="50" spans="3:18">
      <c r="C50" s="24" t="s">
        <v>90</v>
      </c>
      <c r="D50" s="116">
        <v>1584.1233400000001</v>
      </c>
      <c r="E50" s="174">
        <v>1426.6945499999997</v>
      </c>
      <c r="F50" s="116">
        <v>1593.0615100000002</v>
      </c>
      <c r="G50" s="116">
        <v>1529.9349399999999</v>
      </c>
      <c r="H50" s="116">
        <v>1587.2914500000002</v>
      </c>
      <c r="I50" s="116">
        <v>1512.8235199999999</v>
      </c>
      <c r="J50" s="116">
        <v>1543.99982</v>
      </c>
      <c r="K50" s="116">
        <v>1532.29602</v>
      </c>
      <c r="L50" s="116">
        <v>1511.96477</v>
      </c>
      <c r="M50" s="116">
        <v>1557.0548999999999</v>
      </c>
      <c r="N50" s="205">
        <v>1521.5939500000002</v>
      </c>
      <c r="O50" s="116">
        <v>1559.9052900000002</v>
      </c>
      <c r="P50" s="121">
        <f t="shared" si="6"/>
        <v>18460.744059999997</v>
      </c>
      <c r="Q50" s="109"/>
      <c r="R50" s="18"/>
    </row>
    <row r="51" spans="3:18">
      <c r="C51" s="24" t="s">
        <v>53</v>
      </c>
      <c r="D51" s="116">
        <v>1938.5491</v>
      </c>
      <c r="E51" s="174">
        <v>1691.5996399999997</v>
      </c>
      <c r="F51" s="116">
        <f>1581925.3/1000</f>
        <v>1581.9253000000001</v>
      </c>
      <c r="G51" s="116">
        <f>1543825.54/1000</f>
        <v>1543.82554</v>
      </c>
      <c r="H51" s="116">
        <v>1619.6753499999998</v>
      </c>
      <c r="I51" s="116">
        <f>1456790.63/1000</f>
        <v>1456.79063</v>
      </c>
      <c r="J51" s="116">
        <f>1619381.74/1000</f>
        <v>1619.38174</v>
      </c>
      <c r="K51" s="116">
        <v>1968.4035999999999</v>
      </c>
      <c r="L51" s="116">
        <v>1913.50035</v>
      </c>
      <c r="M51" s="116">
        <v>1931.7165699999998</v>
      </c>
      <c r="N51" s="205">
        <v>1539.97748</v>
      </c>
      <c r="O51" s="116">
        <v>1818.8330100000001</v>
      </c>
      <c r="P51" s="121">
        <f t="shared" si="6"/>
        <v>20624.178309999999</v>
      </c>
      <c r="Q51" s="109"/>
      <c r="R51" s="18"/>
    </row>
    <row r="52" spans="3:18">
      <c r="C52" s="24" t="s">
        <v>54</v>
      </c>
      <c r="D52" s="116">
        <v>49.145539999999997</v>
      </c>
      <c r="E52" s="174">
        <v>43.038419999999995</v>
      </c>
      <c r="F52" s="116">
        <v>52.576500000000003</v>
      </c>
      <c r="G52" s="116">
        <v>53.216349999999998</v>
      </c>
      <c r="H52" s="116">
        <v>57.392309999999995</v>
      </c>
      <c r="I52" s="116">
        <v>55.416499999999999</v>
      </c>
      <c r="J52" s="116">
        <v>56.682040000000001</v>
      </c>
      <c r="K52" s="116">
        <v>54.239989999999992</v>
      </c>
      <c r="L52" s="116">
        <v>54.709119999999999</v>
      </c>
      <c r="M52" s="116">
        <v>55.891889999999997</v>
      </c>
      <c r="N52" s="205">
        <v>53.78128000000001</v>
      </c>
      <c r="O52" s="116">
        <v>53.540550000000003</v>
      </c>
      <c r="P52" s="121">
        <f t="shared" si="6"/>
        <v>639.63049000000012</v>
      </c>
      <c r="Q52" s="109"/>
      <c r="R52" s="18"/>
    </row>
    <row r="53" spans="3:18">
      <c r="C53" s="107" t="s">
        <v>93</v>
      </c>
      <c r="D53" s="121">
        <v>7187.7494999999999</v>
      </c>
      <c r="E53" s="121">
        <v>5010.4405699999998</v>
      </c>
      <c r="F53" s="121">
        <v>5140.8683500000006</v>
      </c>
      <c r="G53" s="121">
        <v>4870.6889800000008</v>
      </c>
      <c r="H53" s="121">
        <v>5132.5938900000001</v>
      </c>
      <c r="I53" s="121">
        <v>4104.06801</v>
      </c>
      <c r="J53" s="116">
        <v>3956.72606</v>
      </c>
      <c r="K53" s="116">
        <v>3889.2399299999997</v>
      </c>
      <c r="L53" s="121">
        <v>4624.0541800000001</v>
      </c>
      <c r="M53" s="121">
        <v>5036.7058899999993</v>
      </c>
      <c r="N53" s="205">
        <v>5426.2336100000002</v>
      </c>
      <c r="O53" s="121">
        <v>5833.1741700000002</v>
      </c>
      <c r="P53" s="121">
        <f>SUM(D53:O53)</f>
        <v>60212.543139999994</v>
      </c>
      <c r="Q53" s="109"/>
      <c r="R53" s="18"/>
    </row>
    <row r="54" spans="3:18" ht="15">
      <c r="C54" s="27" t="s">
        <v>43</v>
      </c>
      <c r="D54" s="142">
        <f>+SUM(D55:D61)</f>
        <v>3707.0332699999999</v>
      </c>
      <c r="E54" s="142">
        <f>+SUM(E55:E61)</f>
        <v>3734.4987699999997</v>
      </c>
      <c r="F54" s="142">
        <f>+SUM(F55:F61)</f>
        <v>4399.07359</v>
      </c>
      <c r="G54" s="142">
        <f t="shared" ref="G54:P54" si="14">+SUM(G55:G61)</f>
        <v>4156.6443199999994</v>
      </c>
      <c r="H54" s="142">
        <f t="shared" si="14"/>
        <v>4516.0745999999999</v>
      </c>
      <c r="I54" s="142">
        <f t="shared" si="14"/>
        <v>4263.7386700000006</v>
      </c>
      <c r="J54" s="142">
        <f>+SUM(J55:J61)</f>
        <v>4125.2434499999999</v>
      </c>
      <c r="K54" s="142">
        <f t="shared" si="14"/>
        <v>3939.7035999999998</v>
      </c>
      <c r="L54" s="142">
        <f t="shared" si="14"/>
        <v>3817.4485499999996</v>
      </c>
      <c r="M54" s="142">
        <f t="shared" si="14"/>
        <v>3862.1038000000003</v>
      </c>
      <c r="N54" s="142">
        <f t="shared" si="14"/>
        <v>4004.4934700000003</v>
      </c>
      <c r="O54" s="142">
        <f t="shared" si="14"/>
        <v>3851.6340800000003</v>
      </c>
      <c r="P54" s="142">
        <f t="shared" si="14"/>
        <v>48377.690170000002</v>
      </c>
      <c r="Q54" s="109"/>
      <c r="R54" s="18"/>
    </row>
    <row r="55" spans="3:18">
      <c r="C55" s="107" t="s">
        <v>59</v>
      </c>
      <c r="D55" s="121">
        <v>1183.50154</v>
      </c>
      <c r="E55" s="121">
        <v>1320.5526400000001</v>
      </c>
      <c r="F55" s="121">
        <v>1479.0415</v>
      </c>
      <c r="G55" s="121">
        <v>1174.7085300000001</v>
      </c>
      <c r="H55" s="121">
        <v>1329.7346299999999</v>
      </c>
      <c r="I55" s="121">
        <v>1245.73921</v>
      </c>
      <c r="J55" s="116">
        <v>1256.5352499999999</v>
      </c>
      <c r="K55" s="116">
        <v>1072.61725</v>
      </c>
      <c r="L55" s="121">
        <v>940.31644999999992</v>
      </c>
      <c r="M55" s="121">
        <v>999.23317000000009</v>
      </c>
      <c r="N55" s="121">
        <v>1105.9978599999999</v>
      </c>
      <c r="O55" s="121">
        <v>875.03099999999995</v>
      </c>
      <c r="P55" s="121">
        <f t="shared" si="6"/>
        <v>13983.009029999997</v>
      </c>
      <c r="Q55" s="109"/>
      <c r="R55" s="18"/>
    </row>
    <row r="56" spans="3:18">
      <c r="C56" s="107" t="s">
        <v>56</v>
      </c>
      <c r="D56" s="121">
        <v>1064.37094</v>
      </c>
      <c r="E56" s="121">
        <v>875.83038999999997</v>
      </c>
      <c r="F56" s="121">
        <v>809.20312999999999</v>
      </c>
      <c r="G56" s="121">
        <v>1018.01702</v>
      </c>
      <c r="H56" s="121">
        <v>1178.90335</v>
      </c>
      <c r="I56" s="121">
        <v>1153.5775700000002</v>
      </c>
      <c r="J56" s="116">
        <v>874.04074000000003</v>
      </c>
      <c r="K56" s="116">
        <v>919.07189000000005</v>
      </c>
      <c r="L56" s="121">
        <v>1005.31844</v>
      </c>
      <c r="M56" s="121">
        <v>1013.8690300000001</v>
      </c>
      <c r="N56" s="121">
        <v>1094.9500399999999</v>
      </c>
      <c r="O56" s="121">
        <v>1206.2321000000002</v>
      </c>
      <c r="P56" s="121">
        <f t="shared" si="6"/>
        <v>12213.38464</v>
      </c>
      <c r="Q56" s="109"/>
      <c r="R56" s="18"/>
    </row>
    <row r="57" spans="3:18">
      <c r="C57" s="107" t="s">
        <v>89</v>
      </c>
      <c r="D57" s="121">
        <v>224.46007999999998</v>
      </c>
      <c r="E57" s="121">
        <v>209.18875</v>
      </c>
      <c r="F57" s="121">
        <v>228.60396000000003</v>
      </c>
      <c r="G57" s="121">
        <v>212.95136000000002</v>
      </c>
      <c r="H57" s="121">
        <v>212.91764999999998</v>
      </c>
      <c r="I57" s="121">
        <v>202.52126999999999</v>
      </c>
      <c r="J57" s="116">
        <v>249.31908999999999</v>
      </c>
      <c r="K57" s="116">
        <v>216.46636999999998</v>
      </c>
      <c r="L57" s="121">
        <f>213124.69/1000</f>
        <v>213.12469000000002</v>
      </c>
      <c r="M57" s="121">
        <v>233.16810999999998</v>
      </c>
      <c r="N57" s="121">
        <v>227.67134000000001</v>
      </c>
      <c r="O57" s="121">
        <v>231.13652000000002</v>
      </c>
      <c r="P57" s="121">
        <f t="shared" si="6"/>
        <v>2661.5291899999997</v>
      </c>
      <c r="Q57" s="109"/>
      <c r="R57" s="18"/>
    </row>
    <row r="58" spans="3:18">
      <c r="C58" s="107" t="s">
        <v>94</v>
      </c>
      <c r="D58" s="121">
        <v>406.54124999999999</v>
      </c>
      <c r="E58" s="121">
        <v>366.94499000000002</v>
      </c>
      <c r="F58" s="121">
        <v>400.28144999999995</v>
      </c>
      <c r="G58" s="121">
        <v>366.38504999999998</v>
      </c>
      <c r="H58" s="121">
        <v>425.06234999999998</v>
      </c>
      <c r="I58" s="121">
        <v>395.35285999999996</v>
      </c>
      <c r="J58" s="116">
        <v>413.13617000000005</v>
      </c>
      <c r="K58" s="116">
        <v>397.23631</v>
      </c>
      <c r="L58" s="121">
        <v>394.87678999999997</v>
      </c>
      <c r="M58" s="121">
        <v>404.88915999999995</v>
      </c>
      <c r="N58" s="121">
        <v>365.65542999999997</v>
      </c>
      <c r="O58" s="121">
        <v>306.17158000000001</v>
      </c>
      <c r="P58" s="121">
        <f t="shared" si="6"/>
        <v>4642.5333899999996</v>
      </c>
      <c r="Q58" s="109"/>
      <c r="R58" s="18"/>
    </row>
    <row r="59" spans="3:18">
      <c r="C59" s="107" t="s">
        <v>95</v>
      </c>
      <c r="D59" s="121">
        <v>828.15945999999997</v>
      </c>
      <c r="E59" s="121">
        <v>827.14717000000007</v>
      </c>
      <c r="F59" s="121">
        <v>1095.65308</v>
      </c>
      <c r="G59" s="121">
        <v>1056.1338999999998</v>
      </c>
      <c r="H59" s="121">
        <v>1050.8890100000001</v>
      </c>
      <c r="I59" s="121">
        <v>936.16845000000001</v>
      </c>
      <c r="J59" s="116">
        <v>908.64303000000007</v>
      </c>
      <c r="K59" s="116">
        <v>892.27406000000008</v>
      </c>
      <c r="L59" s="121">
        <v>822.03931</v>
      </c>
      <c r="M59" s="121">
        <v>833.84130000000005</v>
      </c>
      <c r="N59" s="121">
        <v>775.81583999999998</v>
      </c>
      <c r="O59" s="121">
        <v>723.41183000000001</v>
      </c>
      <c r="P59" s="121">
        <f t="shared" si="6"/>
        <v>10750.176439999999</v>
      </c>
      <c r="Q59" s="109"/>
      <c r="R59" s="18"/>
    </row>
    <row r="60" spans="3:18">
      <c r="C60" s="107" t="s">
        <v>96</v>
      </c>
      <c r="D60" s="121"/>
      <c r="E60" s="121">
        <v>134.83482999999998</v>
      </c>
      <c r="F60" s="121">
        <v>148.12654000000001</v>
      </c>
      <c r="G60" s="121">
        <v>140.62110000000001</v>
      </c>
      <c r="H60" s="121">
        <v>155.92572999999999</v>
      </c>
      <c r="I60" s="121">
        <v>149.68076000000002</v>
      </c>
      <c r="J60" s="116">
        <v>169.41900000000001</v>
      </c>
      <c r="K60" s="116">
        <v>177.19055</v>
      </c>
      <c r="L60" s="121">
        <v>193.78854999999999</v>
      </c>
      <c r="M60" s="121">
        <v>190.84011999999998</v>
      </c>
      <c r="N60" s="121">
        <v>156.34539999999998</v>
      </c>
      <c r="O60" s="121">
        <v>170.32733999999999</v>
      </c>
      <c r="P60" s="121">
        <f t="shared" si="6"/>
        <v>1787.0999199999999</v>
      </c>
      <c r="Q60" s="109"/>
      <c r="R60" s="18"/>
    </row>
    <row r="61" spans="3:18" ht="15" thickBot="1">
      <c r="C61" s="108" t="s">
        <v>97</v>
      </c>
      <c r="D61" s="151"/>
      <c r="E61" s="151"/>
      <c r="F61" s="151">
        <v>238.16392999999999</v>
      </c>
      <c r="G61" s="151">
        <v>187.82736</v>
      </c>
      <c r="H61" s="151">
        <v>162.64188000000001</v>
      </c>
      <c r="I61" s="151">
        <v>180.69854999999998</v>
      </c>
      <c r="J61" s="177">
        <v>254.15016999999997</v>
      </c>
      <c r="K61" s="177">
        <v>264.84717000000006</v>
      </c>
      <c r="L61" s="151">
        <v>247.98432</v>
      </c>
      <c r="M61" s="151">
        <v>186.26290999999998</v>
      </c>
      <c r="N61" s="151">
        <v>278.05756000000002</v>
      </c>
      <c r="O61" s="151">
        <v>339.32371000000001</v>
      </c>
      <c r="P61" s="151">
        <f>SUM(D61:O61)</f>
        <v>2339.9575599999998</v>
      </c>
      <c r="Q61" s="109"/>
      <c r="R61" s="18"/>
    </row>
    <row r="62" spans="3:18" ht="15" thickTop="1">
      <c r="D62" s="183">
        <f>+D33/D28</f>
        <v>3.4208612262826197E-3</v>
      </c>
      <c r="E62" s="183">
        <f t="shared" ref="E62:O62" si="15">+E33/E28</f>
        <v>2.5837722607734356E-3</v>
      </c>
      <c r="F62" s="183">
        <f t="shared" si="15"/>
        <v>2.400077004467485E-3</v>
      </c>
      <c r="G62" s="183">
        <f t="shared" si="15"/>
        <v>3.5029546327576839E-3</v>
      </c>
      <c r="H62" s="183">
        <f t="shared" si="15"/>
        <v>4.0713696355111663E-3</v>
      </c>
      <c r="I62" s="183">
        <f t="shared" si="15"/>
        <v>4.2376969932129025E-3</v>
      </c>
      <c r="J62" s="183">
        <f t="shared" si="15"/>
        <v>4.1837842616117803E-3</v>
      </c>
      <c r="K62" s="183">
        <f t="shared" si="15"/>
        <v>4.1984780862952447E-3</v>
      </c>
      <c r="L62" s="183">
        <f t="shared" si="15"/>
        <v>4.170298124178711E-3</v>
      </c>
      <c r="M62" s="183">
        <f t="shared" si="15"/>
        <v>3.8826886001499211E-3</v>
      </c>
      <c r="N62" s="183">
        <f t="shared" si="15"/>
        <v>3.6201322428538419E-3</v>
      </c>
      <c r="O62" s="183">
        <f t="shared" si="15"/>
        <v>4.0356340435439338E-3</v>
      </c>
      <c r="R62" s="18"/>
    </row>
    <row r="63" spans="3:18">
      <c r="D63" s="35"/>
      <c r="E63" s="39"/>
      <c r="F63" s="35"/>
      <c r="G63" s="35"/>
      <c r="H63" s="35"/>
      <c r="L63" s="18"/>
      <c r="M63" s="18"/>
      <c r="R63" s="109"/>
    </row>
    <row r="64" spans="3:18">
      <c r="C64" s="3" t="s">
        <v>92</v>
      </c>
      <c r="D64" s="35"/>
      <c r="E64" s="39"/>
      <c r="F64" s="35"/>
      <c r="G64" s="35"/>
      <c r="H64" s="35"/>
      <c r="L64" s="18"/>
      <c r="M64" s="18"/>
      <c r="R64" s="109"/>
    </row>
    <row r="65" spans="1:256" s="11" customFormat="1">
      <c r="A65" s="3"/>
      <c r="B65" s="3"/>
      <c r="C65" s="3"/>
      <c r="D65" s="106">
        <f t="shared" ref="D65:O65" si="16">D39-D40</f>
        <v>65203.489639999993</v>
      </c>
      <c r="E65" s="106">
        <f t="shared" si="16"/>
        <v>60790.772069999999</v>
      </c>
      <c r="F65" s="106">
        <f t="shared" si="16"/>
        <v>65124.71405000001</v>
      </c>
      <c r="G65" s="106">
        <f t="shared" si="16"/>
        <v>60225.064259999999</v>
      </c>
      <c r="H65" s="106">
        <f t="shared" si="16"/>
        <v>60388.459409999989</v>
      </c>
      <c r="I65" s="106">
        <f t="shared" si="16"/>
        <v>56627.505579999997</v>
      </c>
      <c r="J65" s="106">
        <f t="shared" si="16"/>
        <v>57686.371219999994</v>
      </c>
      <c r="K65" s="106">
        <f t="shared" si="16"/>
        <v>57874.717140000001</v>
      </c>
      <c r="L65" s="106">
        <f t="shared" si="16"/>
        <v>56928.209730000002</v>
      </c>
      <c r="M65" s="106">
        <f t="shared" si="16"/>
        <v>58974.330939999993</v>
      </c>
      <c r="N65" s="106">
        <f t="shared" si="16"/>
        <v>58278.265860000007</v>
      </c>
      <c r="O65" s="106">
        <f t="shared" si="16"/>
        <v>60994.103330000013</v>
      </c>
    </row>
    <row r="66" spans="1:256"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</row>
    <row r="67" spans="1:256" ht="15">
      <c r="D67" s="89">
        <f t="shared" ref="D67:O67" si="17">+D38-D39</f>
        <v>0</v>
      </c>
      <c r="E67" s="89">
        <f t="shared" si="17"/>
        <v>0</v>
      </c>
      <c r="F67" s="89">
        <f t="shared" si="17"/>
        <v>0</v>
      </c>
      <c r="G67" s="89">
        <f t="shared" si="17"/>
        <v>0</v>
      </c>
      <c r="H67" s="89">
        <f t="shared" si="17"/>
        <v>0</v>
      </c>
      <c r="I67" s="89">
        <f t="shared" si="17"/>
        <v>0</v>
      </c>
      <c r="J67" s="89">
        <f t="shared" si="17"/>
        <v>0</v>
      </c>
      <c r="K67" s="89">
        <f t="shared" si="17"/>
        <v>0</v>
      </c>
      <c r="L67" s="89">
        <f t="shared" si="17"/>
        <v>0</v>
      </c>
      <c r="M67" s="89">
        <f t="shared" si="17"/>
        <v>0</v>
      </c>
      <c r="N67" s="89">
        <f t="shared" si="17"/>
        <v>0</v>
      </c>
      <c r="O67" s="89">
        <f t="shared" si="17"/>
        <v>0</v>
      </c>
      <c r="P67" s="89"/>
      <c r="R67" s="90"/>
    </row>
    <row r="68" spans="1:256">
      <c r="D68" s="89">
        <f t="shared" ref="D68:O68" si="18">+D67*0.4</f>
        <v>0</v>
      </c>
      <c r="E68" s="89">
        <f t="shared" si="18"/>
        <v>0</v>
      </c>
      <c r="F68" s="89">
        <f t="shared" si="18"/>
        <v>0</v>
      </c>
      <c r="G68" s="89">
        <f t="shared" si="18"/>
        <v>0</v>
      </c>
      <c r="H68" s="89">
        <f t="shared" si="18"/>
        <v>0</v>
      </c>
      <c r="I68" s="89">
        <f>+I67*0.4</f>
        <v>0</v>
      </c>
      <c r="J68" s="89">
        <f t="shared" si="18"/>
        <v>0</v>
      </c>
      <c r="K68" s="89">
        <f t="shared" si="18"/>
        <v>0</v>
      </c>
      <c r="L68" s="89">
        <f t="shared" si="18"/>
        <v>0</v>
      </c>
      <c r="M68" s="89">
        <f t="shared" si="18"/>
        <v>0</v>
      </c>
      <c r="N68" s="89">
        <f t="shared" si="18"/>
        <v>0</v>
      </c>
      <c r="O68" s="89">
        <f t="shared" si="18"/>
        <v>0</v>
      </c>
      <c r="P68" s="89"/>
    </row>
    <row r="69" spans="1:256">
      <c r="D69" s="89">
        <f t="shared" ref="D69:O69" si="19">+D67*0.6</f>
        <v>0</v>
      </c>
      <c r="E69" s="89">
        <f t="shared" si="19"/>
        <v>0</v>
      </c>
      <c r="F69" s="89">
        <f t="shared" si="19"/>
        <v>0</v>
      </c>
      <c r="G69" s="89">
        <f t="shared" si="19"/>
        <v>0</v>
      </c>
      <c r="H69" s="89">
        <f t="shared" si="19"/>
        <v>0</v>
      </c>
      <c r="I69" s="89">
        <f>+I67*0.6</f>
        <v>0</v>
      </c>
      <c r="J69" s="89">
        <f t="shared" si="19"/>
        <v>0</v>
      </c>
      <c r="K69" s="89">
        <f t="shared" si="19"/>
        <v>0</v>
      </c>
      <c r="L69" s="89">
        <f t="shared" si="19"/>
        <v>0</v>
      </c>
      <c r="M69" s="89">
        <f t="shared" si="19"/>
        <v>0</v>
      </c>
      <c r="N69" s="89">
        <f t="shared" si="19"/>
        <v>0</v>
      </c>
      <c r="O69" s="89">
        <f t="shared" si="19"/>
        <v>0</v>
      </c>
      <c r="P69" s="89"/>
    </row>
    <row r="70" spans="1:256"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89"/>
      <c r="P70" s="89"/>
    </row>
    <row r="71" spans="1:256" ht="15">
      <c r="D71" s="94">
        <f t="shared" ref="D71:O71" si="20">D35/D27</f>
        <v>1.371240798143717E-2</v>
      </c>
      <c r="E71" s="94">
        <f t="shared" si="20"/>
        <v>1.1062060974669583E-2</v>
      </c>
      <c r="F71" s="94">
        <f t="shared" si="20"/>
        <v>1.3127979586960997E-2</v>
      </c>
      <c r="G71" s="94">
        <f t="shared" si="20"/>
        <v>1.5619669955734031E-2</v>
      </c>
      <c r="H71" s="94">
        <f t="shared" si="20"/>
        <v>1.5535644768438082E-2</v>
      </c>
      <c r="I71" s="94">
        <f t="shared" si="20"/>
        <v>1.6557643660174391E-2</v>
      </c>
      <c r="J71" s="94">
        <f t="shared" si="20"/>
        <v>1.5332378944443824E-2</v>
      </c>
      <c r="K71" s="94">
        <f t="shared" si="20"/>
        <v>1.3660667705342498E-2</v>
      </c>
      <c r="L71" s="94">
        <f t="shared" si="20"/>
        <v>2.0803781200595995E-2</v>
      </c>
      <c r="M71" s="94">
        <f t="shared" si="20"/>
        <v>1.7467483347633844E-2</v>
      </c>
      <c r="N71" s="94">
        <f t="shared" si="20"/>
        <v>1.4095505103435522E-2</v>
      </c>
      <c r="O71" s="94">
        <f t="shared" si="20"/>
        <v>1.4142502591789332E-2</v>
      </c>
    </row>
    <row r="72" spans="1:256">
      <c r="D72" s="18"/>
      <c r="E72" s="18"/>
      <c r="F72" s="18"/>
      <c r="G72" s="18"/>
      <c r="H72" s="18"/>
      <c r="I72" s="18"/>
      <c r="J72" s="18"/>
      <c r="K72" s="95"/>
      <c r="L72" s="18"/>
      <c r="M72" s="18"/>
      <c r="N72" s="18"/>
      <c r="O72" s="18"/>
    </row>
    <row r="73" spans="1:256">
      <c r="D73" s="43"/>
      <c r="E73" s="43"/>
      <c r="F73" s="18"/>
      <c r="G73" s="43"/>
      <c r="H73" s="43"/>
      <c r="I73" s="43">
        <f>2000*10*3.3/12</f>
        <v>5500</v>
      </c>
      <c r="J73" s="43"/>
      <c r="K73" s="43"/>
      <c r="L73" s="43"/>
      <c r="M73" s="43"/>
      <c r="N73" s="43"/>
      <c r="O73" s="43"/>
    </row>
    <row r="74" spans="1:256">
      <c r="D74" s="181">
        <f>+D43+D54</f>
        <v>65203.489639999985</v>
      </c>
      <c r="E74" s="181">
        <f>+E43+E54</f>
        <v>60790.772069999992</v>
      </c>
      <c r="F74" s="181">
        <f>+F43+F54</f>
        <v>65124.71405000001</v>
      </c>
      <c r="G74" s="181">
        <f>+G43+G54</f>
        <v>60225.064259999999</v>
      </c>
      <c r="I74" s="181"/>
      <c r="J74" s="36"/>
    </row>
    <row r="75" spans="1:256">
      <c r="D75" s="18"/>
      <c r="E75" s="18"/>
      <c r="F75" s="18"/>
      <c r="G75" s="18"/>
      <c r="H75" s="18"/>
      <c r="I75" s="18"/>
      <c r="J75" s="18"/>
      <c r="K75" s="18"/>
      <c r="M75" s="18"/>
      <c r="N75" s="18"/>
    </row>
    <row r="76" spans="1:256">
      <c r="D76" s="18"/>
      <c r="E76" s="18"/>
    </row>
    <row r="77" spans="1:256">
      <c r="B77" s="110" t="s">
        <v>62</v>
      </c>
      <c r="C77" s="110" t="s">
        <v>69</v>
      </c>
      <c r="D77" s="123" t="str">
        <f t="shared" ref="D77:P77" si="21">+D26</f>
        <v>Enero</v>
      </c>
      <c r="E77" s="123" t="str">
        <f t="shared" si="21"/>
        <v>Febrero</v>
      </c>
      <c r="F77" s="123" t="str">
        <f t="shared" si="21"/>
        <v>Marzo</v>
      </c>
      <c r="G77" s="123" t="str">
        <f t="shared" si="21"/>
        <v>Abril</v>
      </c>
      <c r="H77" s="123" t="str">
        <f t="shared" si="21"/>
        <v>Mayo</v>
      </c>
      <c r="I77" s="123" t="str">
        <f t="shared" si="21"/>
        <v>Junio</v>
      </c>
      <c r="J77" s="123" t="str">
        <f t="shared" si="21"/>
        <v>Julio</v>
      </c>
      <c r="K77" s="123" t="str">
        <f t="shared" si="21"/>
        <v>Agosto</v>
      </c>
      <c r="L77" s="123" t="str">
        <f t="shared" si="21"/>
        <v>Septiembre</v>
      </c>
      <c r="M77" s="123" t="str">
        <f t="shared" si="21"/>
        <v>Octubre</v>
      </c>
      <c r="N77" s="123" t="str">
        <f t="shared" si="21"/>
        <v>Noviembre</v>
      </c>
      <c r="O77" s="123" t="str">
        <f t="shared" si="21"/>
        <v>Diciembre</v>
      </c>
      <c r="P77" s="123" t="str">
        <f t="shared" si="21"/>
        <v>Acumulado</v>
      </c>
    </row>
    <row r="78" spans="1:256" ht="15">
      <c r="B78" s="112" t="s">
        <v>16</v>
      </c>
      <c r="C78" s="124" t="s">
        <v>75</v>
      </c>
      <c r="D78" s="114"/>
      <c r="E78" s="114"/>
      <c r="F78" s="114"/>
      <c r="G78" s="114"/>
      <c r="H78" s="114"/>
      <c r="I78" s="115"/>
      <c r="J78" s="141"/>
      <c r="K78" s="115">
        <v>8814.7263067960739</v>
      </c>
      <c r="L78" s="114"/>
      <c r="M78" s="114"/>
      <c r="N78" s="114"/>
      <c r="O78" s="114"/>
      <c r="P78" s="114"/>
    </row>
    <row r="79" spans="1:256" ht="15">
      <c r="B79" s="112" t="s">
        <v>17</v>
      </c>
      <c r="C79" s="124" t="s">
        <v>76</v>
      </c>
      <c r="D79" s="112"/>
      <c r="E79" s="112"/>
      <c r="F79" s="112"/>
      <c r="G79" s="112"/>
      <c r="H79" s="112"/>
      <c r="I79" s="116"/>
      <c r="J79" s="142"/>
      <c r="K79" s="116">
        <v>1527.9247015118599</v>
      </c>
      <c r="L79" s="112"/>
      <c r="M79" s="112"/>
      <c r="N79" s="112"/>
      <c r="O79" s="112"/>
      <c r="P79" s="112"/>
    </row>
    <row r="80" spans="1:256">
      <c r="B80" s="441" t="s">
        <v>18</v>
      </c>
      <c r="C80" s="114" t="s">
        <v>70</v>
      </c>
      <c r="D80" s="114"/>
      <c r="E80" s="114"/>
      <c r="F80" s="114"/>
      <c r="G80" s="114"/>
      <c r="H80" s="114"/>
      <c r="I80" s="130"/>
      <c r="J80" s="115"/>
      <c r="K80" s="115">
        <v>1305.436933785677</v>
      </c>
      <c r="L80" s="114"/>
      <c r="M80" s="114"/>
      <c r="N80" s="114"/>
      <c r="O80" s="114"/>
      <c r="P80" s="114"/>
    </row>
    <row r="81" spans="2:16">
      <c r="B81" s="442"/>
      <c r="C81" s="112" t="s">
        <v>71</v>
      </c>
      <c r="D81" s="112"/>
      <c r="E81" s="112"/>
      <c r="F81" s="112"/>
      <c r="G81" s="112"/>
      <c r="H81" s="112"/>
      <c r="I81" s="117"/>
      <c r="J81" s="116"/>
      <c r="K81" s="116">
        <v>4572.8952873498201</v>
      </c>
      <c r="L81" s="112"/>
      <c r="M81" s="112"/>
      <c r="N81" s="112"/>
      <c r="O81" s="112"/>
      <c r="P81" s="112"/>
    </row>
    <row r="82" spans="2:16">
      <c r="B82" s="442"/>
      <c r="C82" s="112" t="s">
        <v>72</v>
      </c>
      <c r="D82" s="112"/>
      <c r="E82" s="112"/>
      <c r="F82" s="112"/>
      <c r="G82" s="112"/>
      <c r="H82" s="112"/>
      <c r="I82" s="117"/>
      <c r="J82" s="116"/>
      <c r="K82" s="116">
        <v>1555.9969090908792</v>
      </c>
      <c r="L82" s="112"/>
      <c r="M82" s="112"/>
      <c r="N82" s="112"/>
      <c r="O82" s="112"/>
      <c r="P82" s="112"/>
    </row>
    <row r="83" spans="2:16" ht="15">
      <c r="B83" s="443"/>
      <c r="C83" s="131" t="s">
        <v>77</v>
      </c>
      <c r="D83" s="131"/>
      <c r="E83" s="131"/>
      <c r="F83" s="131"/>
      <c r="G83" s="131"/>
      <c r="H83" s="131"/>
      <c r="I83" s="132"/>
      <c r="J83" s="133"/>
      <c r="K83" s="133">
        <f>+K80+K81-K82</f>
        <v>4322.3353120446181</v>
      </c>
      <c r="L83" s="131"/>
      <c r="M83" s="131"/>
      <c r="N83" s="131"/>
      <c r="O83" s="131"/>
      <c r="P83" s="131"/>
    </row>
    <row r="84" spans="2:16" ht="15">
      <c r="B84" s="112" t="s">
        <v>19</v>
      </c>
      <c r="C84" s="124" t="s">
        <v>78</v>
      </c>
      <c r="D84" s="112"/>
      <c r="E84" s="112"/>
      <c r="F84" s="112"/>
      <c r="G84" s="112"/>
      <c r="H84" s="112"/>
      <c r="I84" s="116"/>
      <c r="J84" s="142"/>
      <c r="K84" s="116">
        <v>6657.2091844081879</v>
      </c>
      <c r="L84" s="112"/>
      <c r="M84" s="112"/>
      <c r="N84" s="112"/>
      <c r="O84" s="112"/>
      <c r="P84" s="112"/>
    </row>
    <row r="85" spans="2:16">
      <c r="B85" s="444" t="s">
        <v>20</v>
      </c>
      <c r="C85" s="114" t="s">
        <v>73</v>
      </c>
      <c r="D85" s="125"/>
      <c r="E85" s="126"/>
      <c r="F85" s="127"/>
      <c r="G85" s="127"/>
      <c r="H85" s="127"/>
      <c r="I85" s="128"/>
      <c r="J85" s="128"/>
      <c r="K85" s="115">
        <v>52409.603130340576</v>
      </c>
      <c r="L85" s="129"/>
      <c r="M85" s="114"/>
      <c r="N85" s="114"/>
      <c r="O85" s="114"/>
      <c r="P85" s="114"/>
    </row>
    <row r="86" spans="2:16">
      <c r="B86" s="445"/>
      <c r="C86" s="112" t="s">
        <v>74</v>
      </c>
      <c r="D86" s="122"/>
      <c r="E86" s="118"/>
      <c r="F86" s="119"/>
      <c r="G86" s="119"/>
      <c r="H86" s="119"/>
      <c r="I86" s="120"/>
      <c r="J86" s="120"/>
      <c r="K86" s="116">
        <v>224943.27942657471</v>
      </c>
      <c r="L86" s="112"/>
      <c r="M86" s="112"/>
      <c r="N86" s="112"/>
      <c r="O86" s="112"/>
      <c r="P86" s="112"/>
    </row>
    <row r="87" spans="2:16">
      <c r="B87" s="445"/>
      <c r="C87" s="112" t="s">
        <v>63</v>
      </c>
      <c r="D87" s="122"/>
      <c r="E87" s="118"/>
      <c r="F87" s="119"/>
      <c r="G87" s="119"/>
      <c r="H87" s="119"/>
      <c r="I87" s="120"/>
      <c r="J87" s="120"/>
      <c r="K87" s="116">
        <v>7661.912095785141</v>
      </c>
      <c r="L87" s="112"/>
      <c r="M87" s="112"/>
      <c r="N87" s="112"/>
      <c r="O87" s="112"/>
      <c r="P87" s="112"/>
    </row>
    <row r="88" spans="2:16">
      <c r="B88" s="445"/>
      <c r="C88" s="112" t="s">
        <v>81</v>
      </c>
      <c r="D88" s="122"/>
      <c r="E88" s="118"/>
      <c r="F88" s="119"/>
      <c r="G88" s="119"/>
      <c r="H88" s="119"/>
      <c r="I88" s="120"/>
      <c r="J88" s="120"/>
      <c r="K88" s="116">
        <v>2310.6453409090896</v>
      </c>
      <c r="L88" s="112"/>
      <c r="M88" s="112"/>
      <c r="N88" s="112"/>
      <c r="O88" s="112"/>
      <c r="P88" s="112"/>
    </row>
    <row r="89" spans="2:16" ht="15">
      <c r="B89" s="446"/>
      <c r="C89" s="131" t="s">
        <v>79</v>
      </c>
      <c r="D89" s="134"/>
      <c r="E89" s="135"/>
      <c r="F89" s="136"/>
      <c r="G89" s="136"/>
      <c r="H89" s="136"/>
      <c r="I89" s="137"/>
      <c r="J89" s="139"/>
      <c r="K89" s="139">
        <f>+K85+K86-K87-K88</f>
        <v>267380.32512022107</v>
      </c>
      <c r="L89" s="138"/>
      <c r="M89" s="138"/>
      <c r="N89" s="138"/>
      <c r="O89" s="138"/>
      <c r="P89" s="138"/>
    </row>
    <row r="90" spans="2:16" ht="15">
      <c r="B90" s="112" t="s">
        <v>21</v>
      </c>
      <c r="C90" s="124" t="s">
        <v>80</v>
      </c>
      <c r="D90" s="112"/>
      <c r="E90" s="112"/>
      <c r="F90" s="112"/>
      <c r="G90" s="112"/>
      <c r="H90" s="112"/>
      <c r="I90" s="121"/>
      <c r="J90" s="140"/>
      <c r="K90" s="121">
        <v>15086.135074496269</v>
      </c>
      <c r="L90" s="112"/>
      <c r="M90" s="112"/>
      <c r="N90" s="112"/>
      <c r="O90" s="112"/>
      <c r="P90" s="112"/>
    </row>
    <row r="91" spans="2:16">
      <c r="B91" s="110" t="s">
        <v>64</v>
      </c>
      <c r="C91" s="110" t="s">
        <v>64</v>
      </c>
      <c r="D91" s="110"/>
      <c r="E91" s="110"/>
      <c r="F91" s="110"/>
      <c r="G91" s="110"/>
      <c r="H91" s="110"/>
      <c r="I91" s="111"/>
      <c r="J91" s="113"/>
      <c r="K91" s="113">
        <f>+K78+K79+K83+K84+K89+K90</f>
        <v>303788.65569947805</v>
      </c>
      <c r="L91" s="113" t="e">
        <f>+#REF!-#REF!</f>
        <v>#REF!</v>
      </c>
      <c r="M91" s="113" t="e">
        <f>+#REF!-#REF!</f>
        <v>#REF!</v>
      </c>
      <c r="N91" s="113" t="e">
        <f>+#REF!-#REF!</f>
        <v>#REF!</v>
      </c>
      <c r="O91" s="113" t="e">
        <f>+#REF!-#REF!</f>
        <v>#REF!</v>
      </c>
      <c r="P91" s="113" t="e">
        <f>+#REF!-#REF!</f>
        <v>#REF!</v>
      </c>
    </row>
    <row r="92" spans="2:16">
      <c r="B92" s="112"/>
      <c r="C92" s="112"/>
      <c r="D92" s="112"/>
      <c r="E92" s="112"/>
      <c r="F92" s="112"/>
      <c r="G92" s="112"/>
      <c r="H92" s="112"/>
      <c r="I92" s="112"/>
      <c r="J92" s="112"/>
      <c r="K92" s="121"/>
      <c r="L92" s="112"/>
      <c r="M92" s="112"/>
      <c r="N92" s="112"/>
      <c r="O92" s="112"/>
      <c r="P92" s="112"/>
    </row>
    <row r="93" spans="2:16">
      <c r="B93" s="442" t="s">
        <v>82</v>
      </c>
      <c r="C93" s="112" t="s">
        <v>83</v>
      </c>
      <c r="D93" s="112"/>
      <c r="E93" s="112"/>
      <c r="F93" s="112"/>
      <c r="G93" s="112"/>
      <c r="H93" s="112"/>
      <c r="I93" s="121"/>
      <c r="J93" s="112"/>
      <c r="K93" s="121">
        <v>1032.4929688125849</v>
      </c>
      <c r="L93" s="112"/>
      <c r="M93" s="112"/>
      <c r="N93" s="112"/>
      <c r="O93" s="112"/>
      <c r="P93" s="112"/>
    </row>
    <row r="94" spans="2:16">
      <c r="B94" s="442"/>
      <c r="C94" s="112" t="s">
        <v>87</v>
      </c>
      <c r="D94" s="112"/>
      <c r="E94" s="112"/>
      <c r="F94" s="112"/>
      <c r="G94" s="112"/>
      <c r="H94" s="112"/>
      <c r="I94" s="121"/>
      <c r="J94" s="112"/>
      <c r="K94" s="121">
        <v>43862.024162769318</v>
      </c>
      <c r="L94" s="112"/>
      <c r="M94" s="112"/>
      <c r="N94" s="112"/>
      <c r="O94" s="112"/>
      <c r="P94" s="112"/>
    </row>
    <row r="95" spans="2:16">
      <c r="B95" s="442"/>
      <c r="C95" s="112" t="s">
        <v>84</v>
      </c>
      <c r="D95" s="112"/>
      <c r="E95" s="112"/>
      <c r="F95" s="112"/>
      <c r="G95" s="112"/>
      <c r="H95" s="112"/>
      <c r="I95" s="121"/>
      <c r="J95" s="112"/>
      <c r="K95" s="121">
        <v>421682.454349518</v>
      </c>
      <c r="L95" s="112"/>
      <c r="M95" s="112"/>
      <c r="N95" s="112"/>
      <c r="O95" s="112"/>
      <c r="P95" s="112"/>
    </row>
    <row r="96" spans="2:16">
      <c r="B96" s="112" t="s">
        <v>86</v>
      </c>
      <c r="C96" s="112" t="s">
        <v>88</v>
      </c>
      <c r="D96" s="112"/>
      <c r="E96" s="112"/>
      <c r="F96" s="112"/>
      <c r="G96" s="112"/>
      <c r="H96" s="112"/>
      <c r="I96" s="121"/>
      <c r="J96" s="112"/>
      <c r="K96" s="121">
        <v>122453.65970063658</v>
      </c>
      <c r="L96" s="112"/>
      <c r="M96" s="112"/>
      <c r="N96" s="112"/>
      <c r="O96" s="112"/>
      <c r="P96" s="112"/>
    </row>
    <row r="97" spans="2:16">
      <c r="B97" s="442" t="s">
        <v>85</v>
      </c>
      <c r="C97" s="112" t="s">
        <v>65</v>
      </c>
      <c r="D97" s="112"/>
      <c r="E97" s="112"/>
      <c r="F97" s="112"/>
      <c r="G97" s="112"/>
      <c r="H97" s="112"/>
      <c r="I97" s="121"/>
      <c r="J97" s="112"/>
      <c r="K97" s="121">
        <v>62101.576821313611</v>
      </c>
      <c r="L97" s="112"/>
      <c r="M97" s="112"/>
      <c r="N97" s="112"/>
      <c r="O97" s="112"/>
      <c r="P97" s="112"/>
    </row>
    <row r="98" spans="2:16">
      <c r="B98" s="442"/>
      <c r="C98" s="112" t="s">
        <v>66</v>
      </c>
      <c r="D98" s="112"/>
      <c r="E98" s="112"/>
      <c r="F98" s="112"/>
      <c r="G98" s="112"/>
      <c r="H98" s="112"/>
      <c r="I98" s="121"/>
      <c r="J98" s="112"/>
      <c r="K98" s="121">
        <v>61463.83224773407</v>
      </c>
      <c r="L98" s="112"/>
      <c r="M98" s="112"/>
      <c r="N98" s="112"/>
      <c r="O98" s="112"/>
      <c r="P98" s="112"/>
    </row>
    <row r="99" spans="2:16">
      <c r="B99" s="443"/>
      <c r="C99" s="112" t="s">
        <v>68</v>
      </c>
      <c r="D99" s="112"/>
      <c r="E99" s="112"/>
      <c r="F99" s="112"/>
      <c r="G99" s="112"/>
      <c r="H99" s="112"/>
      <c r="I99" s="121"/>
      <c r="J99" s="112"/>
      <c r="K99" s="121">
        <v>74372.498108408763</v>
      </c>
      <c r="L99" s="112"/>
      <c r="M99" s="112"/>
      <c r="N99" s="112"/>
      <c r="O99" s="112"/>
      <c r="P99" s="112"/>
    </row>
    <row r="100" spans="2:16">
      <c r="B100" s="110" t="s">
        <v>67</v>
      </c>
      <c r="C100" s="110" t="s">
        <v>67</v>
      </c>
      <c r="D100" s="110"/>
      <c r="E100" s="110"/>
      <c r="F100" s="110"/>
      <c r="G100" s="110"/>
      <c r="H100" s="110"/>
      <c r="I100" s="111"/>
      <c r="J100" s="110"/>
      <c r="K100" s="113">
        <f t="shared" ref="K100:P100" si="22">+SUM(K93:K99)</f>
        <v>786968.5383591929</v>
      </c>
      <c r="L100" s="113">
        <f t="shared" si="22"/>
        <v>0</v>
      </c>
      <c r="M100" s="113">
        <f t="shared" si="22"/>
        <v>0</v>
      </c>
      <c r="N100" s="113">
        <f t="shared" si="22"/>
        <v>0</v>
      </c>
      <c r="O100" s="113">
        <f t="shared" si="22"/>
        <v>0</v>
      </c>
      <c r="P100" s="113">
        <f t="shared" si="22"/>
        <v>0</v>
      </c>
    </row>
    <row r="102" spans="2:16">
      <c r="I102" s="109">
        <f>+I100/1000</f>
        <v>0</v>
      </c>
    </row>
    <row r="104" spans="2:16">
      <c r="I104" s="18">
        <f>+I34</f>
        <v>2.7520047950744626E-3</v>
      </c>
    </row>
    <row r="111" spans="2:16">
      <c r="I111" s="109">
        <v>33164.132139999994</v>
      </c>
    </row>
    <row r="112" spans="2:16">
      <c r="I112" s="109">
        <v>33210.250880553096</v>
      </c>
      <c r="J112" s="109">
        <f>+I111-I112</f>
        <v>-46.118740553101816</v>
      </c>
    </row>
  </sheetData>
  <mergeCells count="4">
    <mergeCell ref="B80:B83"/>
    <mergeCell ref="B85:B89"/>
    <mergeCell ref="B93:B95"/>
    <mergeCell ref="B97:B99"/>
  </mergeCells>
  <printOptions horizontalCentered="1"/>
  <pageMargins left="0.39370078740157483" right="0.39370078740157483" top="1.3779527559055118" bottom="1" header="0" footer="0"/>
  <pageSetup paperSize="9" scale="51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B35A-15E6-420A-B37D-79FE9690F3A1}">
  <sheetPr codeName="Sheet7">
    <pageSetUpPr fitToPage="1"/>
  </sheetPr>
  <dimension ref="A1:IV69"/>
  <sheetViews>
    <sheetView view="pageBreakPreview" topLeftCell="A24" zoomScale="80" zoomScaleNormal="80" zoomScaleSheetLayoutView="80" workbookViewId="0">
      <pane xSplit="3" ySplit="3" topLeftCell="D27" activePane="bottomRight" state="frozen"/>
      <selection activeCell="I26" sqref="I26:I61"/>
      <selection pane="topRight" activeCell="I26" sqref="I26:I61"/>
      <selection pane="bottomLeft" activeCell="I26" sqref="I26:I61"/>
      <selection pane="bottomRight" activeCell="J70" sqref="J70"/>
    </sheetView>
  </sheetViews>
  <sheetFormatPr baseColWidth="10" defaultColWidth="9" defaultRowHeight="14.25"/>
  <cols>
    <col min="1" max="1" width="3" style="3" customWidth="1"/>
    <col min="2" max="2" width="15.140625" style="3" customWidth="1"/>
    <col min="3" max="3" width="41.5703125" style="3" bestFit="1" customWidth="1"/>
    <col min="4" max="5" width="18.7109375" style="3" customWidth="1"/>
    <col min="6" max="6" width="21" style="3" customWidth="1"/>
    <col min="7" max="7" width="14.85546875" style="3" bestFit="1" customWidth="1"/>
    <col min="8" max="8" width="18.7109375" style="3" bestFit="1" customWidth="1"/>
    <col min="9" max="10" width="18.7109375" style="3" customWidth="1"/>
    <col min="11" max="11" width="14.85546875" style="3" customWidth="1"/>
    <col min="12" max="12" width="18.7109375" style="3" bestFit="1" customWidth="1"/>
    <col min="13" max="13" width="18.7109375" style="3" customWidth="1"/>
    <col min="14" max="14" width="20.140625" style="3" bestFit="1" customWidth="1"/>
    <col min="15" max="15" width="18.42578125" style="3" customWidth="1"/>
    <col min="16" max="16" width="21.85546875" style="3" customWidth="1"/>
    <col min="17" max="17" width="13.28515625" style="3" customWidth="1"/>
    <col min="18" max="18" width="15.7109375" style="3" customWidth="1"/>
    <col min="19" max="16384" width="9" style="3"/>
  </cols>
  <sheetData>
    <row r="1" spans="3:16" hidden="1"/>
    <row r="2" spans="3:16" hidden="1"/>
    <row r="3" spans="3:16" ht="15" hidden="1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3:16" ht="15" hidden="1">
      <c r="C4" s="1" t="s">
        <v>61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3:16" hidden="1"/>
    <row r="6" spans="3:16" ht="15.75" hidden="1" thickTop="1">
      <c r="C6" s="4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6" t="s">
        <v>13</v>
      </c>
      <c r="P6" s="7" t="s">
        <v>14</v>
      </c>
    </row>
    <row r="7" spans="3:16" ht="15" hidden="1">
      <c r="C7" s="8" t="s">
        <v>15</v>
      </c>
      <c r="D7" s="9"/>
      <c r="E7" s="9"/>
      <c r="F7" s="10"/>
      <c r="G7" s="10"/>
      <c r="H7" s="10"/>
      <c r="I7" s="10"/>
      <c r="J7" s="10"/>
      <c r="K7" s="11"/>
      <c r="L7" s="10"/>
      <c r="M7" s="10"/>
      <c r="N7" s="10"/>
      <c r="O7" s="12"/>
      <c r="P7" s="13"/>
    </row>
    <row r="8" spans="3:16" hidden="1">
      <c r="C8" s="14" t="s">
        <v>16</v>
      </c>
      <c r="D8" s="41">
        <v>1131.6971148209116</v>
      </c>
      <c r="E8" s="41"/>
      <c r="F8" s="42"/>
      <c r="G8" s="42"/>
      <c r="H8" s="42"/>
      <c r="I8" s="42"/>
      <c r="J8" s="42"/>
      <c r="K8" s="43"/>
      <c r="L8" s="42"/>
      <c r="M8" s="42"/>
      <c r="N8" s="42"/>
      <c r="O8" s="44"/>
      <c r="P8" s="45">
        <f t="shared" ref="P8:P14" si="0">+SUM(D8:O8)</f>
        <v>1131.6971148209116</v>
      </c>
    </row>
    <row r="9" spans="3:16" hidden="1">
      <c r="C9" s="14" t="s">
        <v>17</v>
      </c>
      <c r="D9" s="41">
        <v>404.734522462212</v>
      </c>
      <c r="E9" s="41"/>
      <c r="F9" s="42"/>
      <c r="G9" s="42"/>
      <c r="H9" s="42"/>
      <c r="I9" s="42"/>
      <c r="J9" s="42"/>
      <c r="K9" s="43"/>
      <c r="L9" s="42"/>
      <c r="M9" s="42"/>
      <c r="N9" s="42"/>
      <c r="O9" s="44"/>
      <c r="P9" s="45">
        <f t="shared" si="0"/>
        <v>404.734522462212</v>
      </c>
    </row>
    <row r="10" spans="3:16" hidden="1">
      <c r="C10" s="14" t="s">
        <v>18</v>
      </c>
      <c r="D10" s="41">
        <v>3164.3521362183096</v>
      </c>
      <c r="E10" s="41"/>
      <c r="F10" s="42"/>
      <c r="G10" s="42"/>
      <c r="H10" s="42"/>
      <c r="I10" s="42"/>
      <c r="J10" s="42"/>
      <c r="K10" s="43"/>
      <c r="L10" s="42"/>
      <c r="M10" s="42"/>
      <c r="N10" s="42"/>
      <c r="O10" s="44"/>
      <c r="P10" s="45">
        <f t="shared" si="0"/>
        <v>3164.3521362183096</v>
      </c>
    </row>
    <row r="11" spans="3:16" hidden="1">
      <c r="C11" s="14" t="s">
        <v>19</v>
      </c>
      <c r="D11" s="41">
        <v>7358.1596698372414</v>
      </c>
      <c r="E11" s="41"/>
      <c r="F11" s="42"/>
      <c r="G11" s="42"/>
      <c r="H11" s="42"/>
      <c r="I11" s="42"/>
      <c r="J11" s="42"/>
      <c r="K11" s="43"/>
      <c r="L11" s="42"/>
      <c r="M11" s="42"/>
      <c r="N11" s="42"/>
      <c r="O11" s="44"/>
      <c r="P11" s="45">
        <f t="shared" si="0"/>
        <v>7358.1596698372414</v>
      </c>
    </row>
    <row r="12" spans="3:16" hidden="1">
      <c r="C12" s="14" t="s">
        <v>20</v>
      </c>
      <c r="D12" s="41">
        <v>44993.962609077455</v>
      </c>
      <c r="E12" s="41"/>
      <c r="F12" s="42"/>
      <c r="G12" s="42"/>
      <c r="H12" s="42"/>
      <c r="I12" s="42"/>
      <c r="J12" s="42"/>
      <c r="K12" s="43"/>
      <c r="L12" s="42"/>
      <c r="M12" s="42"/>
      <c r="N12" s="42"/>
      <c r="O12" s="44"/>
      <c r="P12" s="45">
        <f t="shared" si="0"/>
        <v>44993.962609077455</v>
      </c>
    </row>
    <row r="13" spans="3:16" hidden="1">
      <c r="C13" s="14" t="s">
        <v>21</v>
      </c>
      <c r="D13" s="41">
        <v>4089.3768671579624</v>
      </c>
      <c r="E13" s="41"/>
      <c r="F13" s="42"/>
      <c r="G13" s="42"/>
      <c r="H13" s="42"/>
      <c r="I13" s="42"/>
      <c r="J13" s="42"/>
      <c r="K13" s="43"/>
      <c r="L13" s="42"/>
      <c r="M13" s="42"/>
      <c r="N13" s="42"/>
      <c r="O13" s="44"/>
      <c r="P13" s="45">
        <f t="shared" si="0"/>
        <v>4089.3768671579624</v>
      </c>
    </row>
    <row r="14" spans="3:16" ht="15" hidden="1">
      <c r="C14" s="15" t="s">
        <v>22</v>
      </c>
      <c r="D14" s="46">
        <f t="shared" ref="D14:O14" si="1">SUM(D8:D13)</f>
        <v>61142.282919574092</v>
      </c>
      <c r="E14" s="46">
        <f t="shared" si="1"/>
        <v>0</v>
      </c>
      <c r="F14" s="46">
        <f t="shared" si="1"/>
        <v>0</v>
      </c>
      <c r="G14" s="46">
        <f t="shared" si="1"/>
        <v>0</v>
      </c>
      <c r="H14" s="46">
        <f t="shared" si="1"/>
        <v>0</v>
      </c>
      <c r="I14" s="46">
        <f t="shared" si="1"/>
        <v>0</v>
      </c>
      <c r="J14" s="46">
        <f t="shared" si="1"/>
        <v>0</v>
      </c>
      <c r="K14" s="46">
        <f t="shared" si="1"/>
        <v>0</v>
      </c>
      <c r="L14" s="46">
        <f t="shared" si="1"/>
        <v>0</v>
      </c>
      <c r="M14" s="46">
        <f t="shared" si="1"/>
        <v>0</v>
      </c>
      <c r="N14" s="46">
        <f t="shared" si="1"/>
        <v>0</v>
      </c>
      <c r="O14" s="47">
        <f t="shared" si="1"/>
        <v>0</v>
      </c>
      <c r="P14" s="48">
        <f t="shared" si="0"/>
        <v>61142.282919574092</v>
      </c>
    </row>
    <row r="15" spans="3:16" ht="15" hidden="1">
      <c r="C15" s="8" t="s">
        <v>23</v>
      </c>
      <c r="D15" s="16"/>
      <c r="E15" s="16"/>
      <c r="F15" s="17"/>
      <c r="G15" s="17"/>
      <c r="H15" s="17"/>
      <c r="I15" s="17"/>
      <c r="J15" s="17"/>
      <c r="K15" s="18"/>
      <c r="L15" s="42"/>
      <c r="M15" s="42"/>
      <c r="N15" s="42"/>
      <c r="O15" s="44"/>
      <c r="P15" s="19"/>
    </row>
    <row r="16" spans="3:16" hidden="1">
      <c r="C16" s="20" t="s">
        <v>24</v>
      </c>
      <c r="D16" s="41">
        <v>0</v>
      </c>
      <c r="E16" s="41"/>
      <c r="F16" s="42"/>
      <c r="G16" s="42"/>
      <c r="H16" s="42"/>
      <c r="I16" s="42"/>
      <c r="J16" s="42"/>
      <c r="K16" s="43"/>
      <c r="L16" s="42"/>
      <c r="M16" s="42"/>
      <c r="N16" s="42"/>
      <c r="O16" s="44"/>
      <c r="P16" s="45">
        <f t="shared" ref="P16:P22" si="2">+SUM(D16:O16)</f>
        <v>0</v>
      </c>
    </row>
    <row r="17" spans="3:18" hidden="1">
      <c r="C17" s="14" t="s">
        <v>25</v>
      </c>
      <c r="D17" s="41">
        <v>11.521423099517822</v>
      </c>
      <c r="E17" s="41"/>
      <c r="F17" s="42"/>
      <c r="G17" s="42"/>
      <c r="H17" s="42"/>
      <c r="I17" s="42"/>
      <c r="J17" s="42"/>
      <c r="K17" s="43"/>
      <c r="L17" s="42"/>
      <c r="M17" s="42"/>
      <c r="N17" s="42"/>
      <c r="O17" s="44"/>
      <c r="P17" s="45">
        <f t="shared" si="2"/>
        <v>11.521423099517822</v>
      </c>
    </row>
    <row r="18" spans="3:18" hidden="1">
      <c r="C18" s="20" t="s">
        <v>26</v>
      </c>
      <c r="D18" s="41">
        <v>701.38252152369171</v>
      </c>
      <c r="E18" s="41"/>
      <c r="F18" s="42"/>
      <c r="G18" s="42"/>
      <c r="H18" s="42"/>
      <c r="I18" s="42"/>
      <c r="J18" s="42"/>
      <c r="K18" s="43"/>
      <c r="L18" s="42"/>
      <c r="M18" s="42"/>
      <c r="N18" s="42"/>
      <c r="O18" s="44"/>
      <c r="P18" s="45">
        <f t="shared" si="2"/>
        <v>701.38252152369171</v>
      </c>
      <c r="Q18" s="21"/>
    </row>
    <row r="19" spans="3:18" hidden="1">
      <c r="C19" s="20" t="s">
        <v>27</v>
      </c>
      <c r="D19" s="41">
        <v>1338.8287362799645</v>
      </c>
      <c r="E19" s="41"/>
      <c r="F19" s="42"/>
      <c r="G19" s="42"/>
      <c r="H19" s="42"/>
      <c r="I19" s="42"/>
      <c r="J19" s="42"/>
      <c r="K19" s="43"/>
      <c r="L19" s="42"/>
      <c r="M19" s="42"/>
      <c r="N19" s="42"/>
      <c r="O19" s="44"/>
      <c r="P19" s="45">
        <f t="shared" si="2"/>
        <v>1338.8287362799645</v>
      </c>
      <c r="Q19" s="21"/>
    </row>
    <row r="20" spans="3:18" hidden="1">
      <c r="C20" s="40" t="s">
        <v>46</v>
      </c>
      <c r="D20" s="41">
        <v>35832.494704200879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3"/>
      <c r="P20" s="45">
        <f t="shared" si="2"/>
        <v>35832.494704200879</v>
      </c>
      <c r="Q20" s="21"/>
    </row>
    <row r="21" spans="3:18" ht="15" hidden="1">
      <c r="C21" s="15" t="s">
        <v>28</v>
      </c>
      <c r="D21" s="46">
        <f t="shared" ref="D21:O21" si="3">SUM(D16:D20)</f>
        <v>37884.227385104052</v>
      </c>
      <c r="E21" s="46">
        <f t="shared" si="3"/>
        <v>0</v>
      </c>
      <c r="F21" s="46">
        <f t="shared" si="3"/>
        <v>0</v>
      </c>
      <c r="G21" s="46">
        <f t="shared" si="3"/>
        <v>0</v>
      </c>
      <c r="H21" s="46">
        <f t="shared" si="3"/>
        <v>0</v>
      </c>
      <c r="I21" s="46">
        <f t="shared" si="3"/>
        <v>0</v>
      </c>
      <c r="J21" s="46">
        <f t="shared" si="3"/>
        <v>0</v>
      </c>
      <c r="K21" s="46">
        <f t="shared" si="3"/>
        <v>0</v>
      </c>
      <c r="L21" s="46">
        <f t="shared" si="3"/>
        <v>0</v>
      </c>
      <c r="M21" s="46">
        <f t="shared" si="3"/>
        <v>0</v>
      </c>
      <c r="N21" s="46">
        <f t="shared" si="3"/>
        <v>0</v>
      </c>
      <c r="O21" s="47">
        <f t="shared" si="3"/>
        <v>0</v>
      </c>
      <c r="P21" s="48">
        <f t="shared" si="2"/>
        <v>37884.227385104052</v>
      </c>
    </row>
    <row r="22" spans="3:18" ht="15.75" hidden="1" thickBot="1">
      <c r="C22" s="22" t="s">
        <v>29</v>
      </c>
      <c r="D22" s="49">
        <f t="shared" ref="D22:O22" si="4">+D14+D21</f>
        <v>99026.510304678144</v>
      </c>
      <c r="E22" s="49">
        <f t="shared" si="4"/>
        <v>0</v>
      </c>
      <c r="F22" s="49">
        <f t="shared" si="4"/>
        <v>0</v>
      </c>
      <c r="G22" s="49">
        <f t="shared" si="4"/>
        <v>0</v>
      </c>
      <c r="H22" s="49">
        <f t="shared" si="4"/>
        <v>0</v>
      </c>
      <c r="I22" s="49">
        <f t="shared" si="4"/>
        <v>0</v>
      </c>
      <c r="J22" s="49">
        <f t="shared" si="4"/>
        <v>0</v>
      </c>
      <c r="K22" s="49">
        <f t="shared" si="4"/>
        <v>0</v>
      </c>
      <c r="L22" s="49">
        <f t="shared" si="4"/>
        <v>0</v>
      </c>
      <c r="M22" s="49">
        <f t="shared" si="4"/>
        <v>0</v>
      </c>
      <c r="N22" s="49">
        <f t="shared" si="4"/>
        <v>0</v>
      </c>
      <c r="O22" s="50">
        <f t="shared" si="4"/>
        <v>0</v>
      </c>
      <c r="P22" s="51">
        <f t="shared" si="2"/>
        <v>99026.510304678144</v>
      </c>
    </row>
    <row r="23" spans="3:18" ht="15" hidden="1" customHeight="1" thickTop="1">
      <c r="Q23" s="3">
        <v>1000</v>
      </c>
    </row>
    <row r="24" spans="3:18" ht="15">
      <c r="C24" s="1" t="s">
        <v>99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3:18" ht="15" thickBot="1"/>
    <row r="26" spans="3:18" ht="15.75" thickTop="1">
      <c r="C26" s="29" t="s">
        <v>30</v>
      </c>
      <c r="D26" s="30" t="s">
        <v>2</v>
      </c>
      <c r="E26" s="31" t="s">
        <v>3</v>
      </c>
      <c r="F26" s="31" t="s">
        <v>4</v>
      </c>
      <c r="G26" s="31" t="s">
        <v>5</v>
      </c>
      <c r="H26" s="31" t="s">
        <v>6</v>
      </c>
      <c r="I26" s="31" t="s">
        <v>7</v>
      </c>
      <c r="J26" s="31" t="s">
        <v>8</v>
      </c>
      <c r="K26" s="31" t="s">
        <v>9</v>
      </c>
      <c r="L26" s="31" t="s">
        <v>10</v>
      </c>
      <c r="M26" s="31" t="s">
        <v>11</v>
      </c>
      <c r="N26" s="31" t="s">
        <v>12</v>
      </c>
      <c r="O26" s="32" t="s">
        <v>13</v>
      </c>
      <c r="P26" s="33" t="s">
        <v>14</v>
      </c>
    </row>
    <row r="27" spans="3:18" ht="15">
      <c r="C27" s="23" t="s">
        <v>31</v>
      </c>
      <c r="D27" s="152">
        <f t="shared" ref="D27:O27" si="5">+D28+D29</f>
        <v>84554.59751323986</v>
      </c>
      <c r="E27" s="153">
        <f t="shared" si="5"/>
        <v>109587.90794787239</v>
      </c>
      <c r="F27" s="154">
        <f t="shared" si="5"/>
        <v>117590.708112127</v>
      </c>
      <c r="G27" s="154">
        <f t="shared" si="5"/>
        <v>90100.445445065663</v>
      </c>
      <c r="H27" s="154">
        <f t="shared" si="5"/>
        <v>71163.375274447753</v>
      </c>
      <c r="I27" s="154">
        <f t="shared" si="5"/>
        <v>69812.027128193993</v>
      </c>
      <c r="J27" s="141">
        <f t="shared" si="5"/>
        <v>71220.666803235334</v>
      </c>
      <c r="K27" s="154">
        <f t="shared" si="5"/>
        <v>72924.134967374892</v>
      </c>
      <c r="L27" s="154">
        <f t="shared" si="5"/>
        <v>70907.866836770161</v>
      </c>
      <c r="M27" s="154">
        <f t="shared" si="5"/>
        <v>78907.008092790755</v>
      </c>
      <c r="N27" s="154">
        <f t="shared" si="5"/>
        <v>81070.081932438843</v>
      </c>
      <c r="O27" s="155">
        <f t="shared" si="5"/>
        <v>75142.668680357674</v>
      </c>
      <c r="P27" s="156">
        <f>SUM(D27:O27)</f>
        <v>992981.48873391433</v>
      </c>
      <c r="R27" s="18"/>
    </row>
    <row r="28" spans="3:18">
      <c r="C28" s="24" t="s">
        <v>32</v>
      </c>
      <c r="D28" s="157">
        <v>74934.188166091306</v>
      </c>
      <c r="E28" s="121">
        <v>97541.91321699362</v>
      </c>
      <c r="F28" s="121">
        <v>108165.2353285834</v>
      </c>
      <c r="G28" s="121">
        <v>90073.526098213275</v>
      </c>
      <c r="H28" s="121">
        <v>71143.135094790778</v>
      </c>
      <c r="I28" s="121">
        <v>69785.813307576318</v>
      </c>
      <c r="J28" s="121">
        <v>71183.253297877949</v>
      </c>
      <c r="K28" s="121">
        <v>72913.25180564812</v>
      </c>
      <c r="L28" s="121">
        <v>70558.253802513063</v>
      </c>
      <c r="M28" s="121">
        <f>+'2019'!M28</f>
        <v>78874.541926726801</v>
      </c>
      <c r="N28" s="121">
        <f>+'2019'!N28</f>
        <v>81026.361450428958</v>
      </c>
      <c r="O28" s="121">
        <f>+'2019'!O28</f>
        <v>75028.635576040135</v>
      </c>
      <c r="P28" s="158">
        <f t="shared" ref="P28:P61" si="6">SUM(D28:O28)</f>
        <v>961228.10907148372</v>
      </c>
      <c r="R28" s="18"/>
    </row>
    <row r="29" spans="3:18">
      <c r="C29" s="25" t="s">
        <v>33</v>
      </c>
      <c r="D29" s="159">
        <v>9620.4093471485485</v>
      </c>
      <c r="E29" s="160">
        <v>12045.99473087877</v>
      </c>
      <c r="F29" s="160">
        <v>9425.4727835436024</v>
      </c>
      <c r="G29" s="160">
        <v>26.919346852381846</v>
      </c>
      <c r="H29" s="160">
        <v>20.240179656982423</v>
      </c>
      <c r="I29" s="160">
        <v>26.213820617675783</v>
      </c>
      <c r="J29" s="160">
        <v>37.413505357384679</v>
      </c>
      <c r="K29" s="160">
        <v>10.883161726774764</v>
      </c>
      <c r="L29" s="160">
        <v>349.6130342570973</v>
      </c>
      <c r="M29" s="121">
        <f>+'2019'!M29</f>
        <v>32.466166063956813</v>
      </c>
      <c r="N29" s="121">
        <f>+'2019'!N29</f>
        <v>43.720482009887697</v>
      </c>
      <c r="O29" s="121">
        <f>+'2019'!O29</f>
        <v>114.03310431754522</v>
      </c>
      <c r="P29" s="161">
        <f t="shared" si="6"/>
        <v>31753.379662430612</v>
      </c>
      <c r="R29" s="18"/>
    </row>
    <row r="30" spans="3:18" ht="15">
      <c r="C30" s="23" t="s">
        <v>34</v>
      </c>
      <c r="D30" s="162">
        <f t="shared" ref="D30:O30" si="7">+D31</f>
        <v>0</v>
      </c>
      <c r="E30" s="141">
        <f t="shared" si="7"/>
        <v>0</v>
      </c>
      <c r="F30" s="141">
        <f t="shared" si="7"/>
        <v>0</v>
      </c>
      <c r="G30" s="141">
        <f t="shared" si="7"/>
        <v>0</v>
      </c>
      <c r="H30" s="154">
        <f t="shared" si="7"/>
        <v>0</v>
      </c>
      <c r="I30" s="154">
        <f t="shared" si="7"/>
        <v>0</v>
      </c>
      <c r="J30" s="141">
        <f t="shared" si="7"/>
        <v>0</v>
      </c>
      <c r="K30" s="141">
        <f t="shared" si="7"/>
        <v>0</v>
      </c>
      <c r="L30" s="141">
        <f t="shared" si="7"/>
        <v>0</v>
      </c>
      <c r="M30" s="141">
        <f t="shared" si="7"/>
        <v>0</v>
      </c>
      <c r="N30" s="141">
        <f t="shared" si="7"/>
        <v>0</v>
      </c>
      <c r="O30" s="155">
        <f t="shared" si="7"/>
        <v>0</v>
      </c>
      <c r="P30" s="156">
        <f t="shared" si="6"/>
        <v>0</v>
      </c>
      <c r="R30" s="18"/>
    </row>
    <row r="31" spans="3:18">
      <c r="C31" s="24" t="s">
        <v>41</v>
      </c>
      <c r="D31" s="163">
        <v>0</v>
      </c>
      <c r="E31" s="164">
        <v>0</v>
      </c>
      <c r="F31" s="164">
        <v>0</v>
      </c>
      <c r="G31" s="164">
        <v>0</v>
      </c>
      <c r="H31" s="121">
        <v>0</v>
      </c>
      <c r="I31" s="121">
        <v>0</v>
      </c>
      <c r="J31" s="116">
        <v>0</v>
      </c>
      <c r="K31" s="116">
        <v>0</v>
      </c>
      <c r="L31" s="116">
        <v>0</v>
      </c>
      <c r="M31" s="116"/>
      <c r="N31" s="116">
        <v>0</v>
      </c>
      <c r="O31" s="206"/>
      <c r="P31" s="158">
        <f t="shared" si="6"/>
        <v>0</v>
      </c>
      <c r="R31" s="18"/>
    </row>
    <row r="32" spans="3:18" ht="15">
      <c r="C32" s="23" t="s">
        <v>35</v>
      </c>
      <c r="D32" s="152">
        <f>+D33+D34</f>
        <v>288.12783552501514</v>
      </c>
      <c r="E32" s="154">
        <f t="shared" ref="E32:O32" si="8">+E33+E34</f>
        <v>292.5777869344505</v>
      </c>
      <c r="F32" s="154">
        <f t="shared" si="8"/>
        <v>285.93087752651149</v>
      </c>
      <c r="G32" s="154">
        <f t="shared" si="8"/>
        <v>315.76657024171749</v>
      </c>
      <c r="H32" s="154">
        <f t="shared" si="8"/>
        <v>289.83999999999997</v>
      </c>
      <c r="I32" s="154">
        <f t="shared" si="8"/>
        <v>295.7338832272282</v>
      </c>
      <c r="J32" s="154">
        <f t="shared" si="8"/>
        <v>300.36435723315873</v>
      </c>
      <c r="K32" s="154">
        <f t="shared" si="8"/>
        <v>307.26588864574018</v>
      </c>
      <c r="L32" s="154">
        <f t="shared" si="8"/>
        <v>308.84187396920476</v>
      </c>
      <c r="M32" s="154">
        <f t="shared" si="8"/>
        <v>306.51000961353878</v>
      </c>
      <c r="N32" s="154">
        <f t="shared" si="8"/>
        <v>295.40711824390536</v>
      </c>
      <c r="O32" s="207">
        <f t="shared" si="8"/>
        <v>310.93106694673719</v>
      </c>
      <c r="P32" s="156">
        <f t="shared" si="6"/>
        <v>3597.2972681072079</v>
      </c>
      <c r="R32" s="18"/>
    </row>
    <row r="33" spans="2:20">
      <c r="C33" s="24" t="s">
        <v>32</v>
      </c>
      <c r="D33" s="163">
        <v>256.33945882034766</v>
      </c>
      <c r="E33" s="189">
        <v>252.02608963283788</v>
      </c>
      <c r="F33" s="116">
        <v>259.60489399494702</v>
      </c>
      <c r="G33" s="116">
        <v>315.52347553455633</v>
      </c>
      <c r="H33" s="116">
        <v>289.64999999999998</v>
      </c>
      <c r="I33" s="116">
        <v>295.73113122243313</v>
      </c>
      <c r="J33" s="116">
        <v>297.81537483798661</v>
      </c>
      <c r="K33" s="116">
        <v>306.12468990654082</v>
      </c>
      <c r="L33" s="116">
        <v>294.24895347794563</v>
      </c>
      <c r="M33" s="116">
        <f>+'2019'!M33</f>
        <v>306.24528478094913</v>
      </c>
      <c r="N33" s="116">
        <f>+'2019'!N33</f>
        <v>293.32614360782748</v>
      </c>
      <c r="O33" s="206">
        <f>+'2019'!O33</f>
        <v>302.78811597131909</v>
      </c>
      <c r="P33" s="158">
        <f t="shared" si="6"/>
        <v>3469.4236117876908</v>
      </c>
      <c r="R33" s="18"/>
    </row>
    <row r="34" spans="2:20">
      <c r="C34" s="26" t="s">
        <v>33</v>
      </c>
      <c r="D34" s="167">
        <v>31.788376704667495</v>
      </c>
      <c r="E34" s="189">
        <v>40.551697301612634</v>
      </c>
      <c r="F34" s="164">
        <v>26.325983531564475</v>
      </c>
      <c r="G34" s="164">
        <v>0.24309470716118814</v>
      </c>
      <c r="H34" s="164">
        <v>0.19</v>
      </c>
      <c r="I34" s="164">
        <v>2.7520047950744626E-3</v>
      </c>
      <c r="J34" s="164">
        <v>2.5489823951721191</v>
      </c>
      <c r="K34" s="164">
        <v>1.1411987391993403</v>
      </c>
      <c r="L34" s="164">
        <v>14.592920491259099</v>
      </c>
      <c r="M34" s="164">
        <f>+'2019'!M34</f>
        <v>0.26472483258962631</v>
      </c>
      <c r="N34" s="164">
        <f>+'2019'!N34</f>
        <v>2.0809746360778809</v>
      </c>
      <c r="O34" s="208">
        <f>+'2019'!O34</f>
        <v>8.1429509754180902</v>
      </c>
      <c r="P34" s="161">
        <f t="shared" si="6"/>
        <v>127.87365631951701</v>
      </c>
      <c r="R34" s="18"/>
    </row>
    <row r="35" spans="2:20" ht="15">
      <c r="C35" s="27" t="s">
        <v>36</v>
      </c>
      <c r="D35" s="168">
        <f t="shared" ref="D35:O35" si="9">+D36+D37</f>
        <v>1158.9719178077648</v>
      </c>
      <c r="E35" s="154">
        <f t="shared" si="9"/>
        <v>1116.8605078630499</v>
      </c>
      <c r="F35" s="140">
        <f t="shared" si="9"/>
        <v>1546.8165857122949</v>
      </c>
      <c r="G35" s="140">
        <f t="shared" si="9"/>
        <v>1283.4079974594497</v>
      </c>
      <c r="H35" s="140">
        <f t="shared" si="9"/>
        <v>1135.0445239592664</v>
      </c>
      <c r="I35" s="140">
        <f t="shared" si="9"/>
        <v>1155.9226683830639</v>
      </c>
      <c r="J35" s="142">
        <f t="shared" si="9"/>
        <v>1091.9822521031747</v>
      </c>
      <c r="K35" s="142">
        <f t="shared" si="9"/>
        <v>992.72223548886541</v>
      </c>
      <c r="L35" s="142">
        <f t="shared" si="9"/>
        <v>1475.1517470731633</v>
      </c>
      <c r="M35" s="142">
        <f t="shared" si="9"/>
        <v>1378.3068498724315</v>
      </c>
      <c r="N35" s="142">
        <f t="shared" si="9"/>
        <v>1142.7237536146276</v>
      </c>
      <c r="O35" s="148">
        <f t="shared" si="9"/>
        <v>1062.7053865659254</v>
      </c>
      <c r="P35" s="169">
        <f t="shared" si="6"/>
        <v>14540.616425903077</v>
      </c>
      <c r="R35" s="18"/>
    </row>
    <row r="36" spans="2:20">
      <c r="C36" s="24" t="s">
        <v>37</v>
      </c>
      <c r="D36" s="163">
        <v>463.58876712310598</v>
      </c>
      <c r="E36" s="116">
        <v>446.74420314521996</v>
      </c>
      <c r="F36" s="116">
        <v>618.72663428491796</v>
      </c>
      <c r="G36" s="116">
        <v>513.36319898377985</v>
      </c>
      <c r="H36" s="116">
        <v>454.01780958370659</v>
      </c>
      <c r="I36" s="116">
        <v>462.36906735322555</v>
      </c>
      <c r="J36" s="116">
        <v>436.7929008412699</v>
      </c>
      <c r="K36" s="116">
        <v>397.08889419554617</v>
      </c>
      <c r="L36" s="116">
        <v>590.06069882926533</v>
      </c>
      <c r="M36" s="116">
        <f>+'2019'!M36</f>
        <v>551.32273994897264</v>
      </c>
      <c r="N36" s="116">
        <f>+'2019'!N36</f>
        <v>457.08950144585106</v>
      </c>
      <c r="O36" s="116">
        <f>+'2019'!O36</f>
        <v>425.0821546263702</v>
      </c>
      <c r="P36" s="158">
        <f t="shared" si="6"/>
        <v>5816.2465703612315</v>
      </c>
      <c r="R36" s="18"/>
      <c r="T36" s="18"/>
    </row>
    <row r="37" spans="2:20">
      <c r="C37" s="24" t="s">
        <v>38</v>
      </c>
      <c r="D37" s="163">
        <v>695.38315068465886</v>
      </c>
      <c r="E37" s="116">
        <v>670.11630471782985</v>
      </c>
      <c r="F37" s="116">
        <v>928.08995142737695</v>
      </c>
      <c r="G37" s="116">
        <v>770.04479847566984</v>
      </c>
      <c r="H37" s="116">
        <v>681.02671437555978</v>
      </c>
      <c r="I37" s="116">
        <v>693.55360102983832</v>
      </c>
      <c r="J37" s="116">
        <v>655.18935126190479</v>
      </c>
      <c r="K37" s="164">
        <v>595.63334129331918</v>
      </c>
      <c r="L37" s="164">
        <v>885.09104824389794</v>
      </c>
      <c r="M37" s="116">
        <f>+'2019'!M37</f>
        <v>826.98410992345885</v>
      </c>
      <c r="N37" s="116">
        <f>+'2019'!N37</f>
        <v>685.63425216877658</v>
      </c>
      <c r="O37" s="116">
        <f>+'2019'!O37</f>
        <v>637.62323193955524</v>
      </c>
      <c r="P37" s="158">
        <f t="shared" si="6"/>
        <v>8724.369855541845</v>
      </c>
      <c r="S37" s="18"/>
      <c r="T37" s="18"/>
    </row>
    <row r="38" spans="2:20" ht="15">
      <c r="B38" s="145"/>
      <c r="C38" s="34" t="s">
        <v>39</v>
      </c>
      <c r="D38" s="170">
        <f t="shared" ref="D38:O38" si="10">+D27+D30-D32-D35</f>
        <v>83107.497759907084</v>
      </c>
      <c r="E38" s="146">
        <f t="shared" si="10"/>
        <v>108178.46965307489</v>
      </c>
      <c r="F38" s="146">
        <f t="shared" si="10"/>
        <v>115757.9606488882</v>
      </c>
      <c r="G38" s="146">
        <f t="shared" si="10"/>
        <v>88501.270877364499</v>
      </c>
      <c r="H38" s="146">
        <f t="shared" si="10"/>
        <v>69738.49075048849</v>
      </c>
      <c r="I38" s="146">
        <f t="shared" si="10"/>
        <v>68360.370576583708</v>
      </c>
      <c r="J38" s="146">
        <f t="shared" si="10"/>
        <v>69828.320193898995</v>
      </c>
      <c r="K38" s="146">
        <f t="shared" si="10"/>
        <v>71624.146843240291</v>
      </c>
      <c r="L38" s="146">
        <f t="shared" si="10"/>
        <v>69123.873215727799</v>
      </c>
      <c r="M38" s="146">
        <f t="shared" si="10"/>
        <v>77222.19123330478</v>
      </c>
      <c r="N38" s="146">
        <f t="shared" si="10"/>
        <v>79631.951060580308</v>
      </c>
      <c r="O38" s="171">
        <f t="shared" si="10"/>
        <v>73769.032226845011</v>
      </c>
      <c r="P38" s="172">
        <f t="shared" si="6"/>
        <v>974843.57503990398</v>
      </c>
      <c r="R38" s="18"/>
    </row>
    <row r="39" spans="2:20" ht="15">
      <c r="B39" s="181"/>
      <c r="C39" s="34" t="s">
        <v>40</v>
      </c>
      <c r="D39" s="191">
        <f t="shared" ref="D39:O39" si="11">+D40+D43+D54</f>
        <v>83107.497759907084</v>
      </c>
      <c r="E39" s="192">
        <f t="shared" si="11"/>
        <v>108178.46965307489</v>
      </c>
      <c r="F39" s="192">
        <f t="shared" si="11"/>
        <v>115757.9606488882</v>
      </c>
      <c r="G39" s="146">
        <f t="shared" si="11"/>
        <v>88501.270877364499</v>
      </c>
      <c r="H39" s="146">
        <f t="shared" si="11"/>
        <v>69738.49075048849</v>
      </c>
      <c r="I39" s="146">
        <f t="shared" si="11"/>
        <v>68360.370576583708</v>
      </c>
      <c r="J39" s="146">
        <f t="shared" si="11"/>
        <v>69828.320193898995</v>
      </c>
      <c r="K39" s="146">
        <f t="shared" si="11"/>
        <v>71624.146843240291</v>
      </c>
      <c r="L39" s="146">
        <f t="shared" si="11"/>
        <v>69123.873215727799</v>
      </c>
      <c r="M39" s="146">
        <f t="shared" si="11"/>
        <v>77222.19123330478</v>
      </c>
      <c r="N39" s="146">
        <f t="shared" si="11"/>
        <v>79631.951060580308</v>
      </c>
      <c r="O39" s="171">
        <f t="shared" si="11"/>
        <v>73769.032226845011</v>
      </c>
      <c r="P39" s="172">
        <f t="shared" si="6"/>
        <v>974843.57503990398</v>
      </c>
      <c r="R39" s="18"/>
    </row>
    <row r="40" spans="2:20" ht="15">
      <c r="C40" s="27" t="s">
        <v>44</v>
      </c>
      <c r="D40" s="149">
        <f t="shared" ref="D40:O40" si="12">+D41+D42</f>
        <v>17903.532899907099</v>
      </c>
      <c r="E40" s="142">
        <f t="shared" si="12"/>
        <v>47387.7782030749</v>
      </c>
      <c r="F40" s="142">
        <f t="shared" si="12"/>
        <v>50636.334768888191</v>
      </c>
      <c r="G40" s="142">
        <f t="shared" si="12"/>
        <v>28276.113077364502</v>
      </c>
      <c r="H40" s="142">
        <f t="shared" si="12"/>
        <v>9350.0313404885001</v>
      </c>
      <c r="I40" s="142">
        <f t="shared" si="12"/>
        <v>11732.86499658371</v>
      </c>
      <c r="J40" s="142">
        <f t="shared" si="12"/>
        <v>12141.948973899</v>
      </c>
      <c r="K40" s="142">
        <f t="shared" si="12"/>
        <v>13745.9595632403</v>
      </c>
      <c r="L40" s="142">
        <f t="shared" si="12"/>
        <v>12195.6634857278</v>
      </c>
      <c r="M40" s="140">
        <f t="shared" si="12"/>
        <v>18247.860293304788</v>
      </c>
      <c r="N40" s="140">
        <f t="shared" si="12"/>
        <v>21353.685200580301</v>
      </c>
      <c r="O40" s="173">
        <f t="shared" si="12"/>
        <v>12774.928896845</v>
      </c>
      <c r="P40" s="169">
        <f t="shared" si="6"/>
        <v>255746.70169990411</v>
      </c>
      <c r="R40" s="18"/>
      <c r="S40" s="18"/>
    </row>
    <row r="41" spans="2:20">
      <c r="C41" s="24" t="s">
        <v>41</v>
      </c>
      <c r="D41" s="186">
        <v>17903.532899907099</v>
      </c>
      <c r="E41" s="116">
        <v>47387.7782030749</v>
      </c>
      <c r="F41" s="116">
        <v>50636.334768888191</v>
      </c>
      <c r="G41" s="147">
        <v>28276.113077364502</v>
      </c>
      <c r="H41" s="116">
        <v>9350.0313404885001</v>
      </c>
      <c r="I41" s="116">
        <v>11732.86499658371</v>
      </c>
      <c r="J41" s="116">
        <v>12141.948973899</v>
      </c>
      <c r="K41" s="116">
        <v>13745.9595632403</v>
      </c>
      <c r="L41" s="116">
        <v>12195.6634857278</v>
      </c>
      <c r="M41" s="116">
        <f>+'2019'!M41</f>
        <v>18247.860293304788</v>
      </c>
      <c r="N41" s="116">
        <f>+'2019'!N41</f>
        <v>21353.685200580301</v>
      </c>
      <c r="O41" s="116">
        <f>+'2019'!O41</f>
        <v>12774.928896845</v>
      </c>
      <c r="P41" s="158">
        <f t="shared" si="6"/>
        <v>255746.70169990411</v>
      </c>
      <c r="Q41" s="18"/>
      <c r="R41" s="18"/>
    </row>
    <row r="42" spans="2:20" hidden="1">
      <c r="C42" s="24" t="s">
        <v>45</v>
      </c>
      <c r="D42" s="163">
        <v>0</v>
      </c>
      <c r="E42" s="116">
        <v>0</v>
      </c>
      <c r="F42" s="147">
        <v>0</v>
      </c>
      <c r="G42" s="116">
        <v>0</v>
      </c>
      <c r="H42" s="116">
        <v>0</v>
      </c>
      <c r="I42" s="116">
        <v>0</v>
      </c>
      <c r="J42" s="116">
        <v>0</v>
      </c>
      <c r="K42" s="116">
        <v>0</v>
      </c>
      <c r="L42" s="116">
        <v>0</v>
      </c>
      <c r="M42" s="116">
        <v>0</v>
      </c>
      <c r="N42" s="116">
        <v>0</v>
      </c>
      <c r="O42" s="165"/>
      <c r="P42" s="158">
        <f t="shared" si="6"/>
        <v>0</v>
      </c>
      <c r="Q42" s="18"/>
      <c r="R42" s="18"/>
    </row>
    <row r="43" spans="2:20" ht="15">
      <c r="C43" s="27" t="s">
        <v>42</v>
      </c>
      <c r="D43" s="148">
        <f>SUM(D44:D53)</f>
        <v>61496.931589999986</v>
      </c>
      <c r="E43" s="149">
        <f t="shared" ref="E43:P43" si="13">SUM(E44:E53)</f>
        <v>57056.192679999993</v>
      </c>
      <c r="F43" s="149">
        <f t="shared" si="13"/>
        <v>60722.552290000007</v>
      </c>
      <c r="G43" s="149">
        <f t="shared" si="13"/>
        <v>56068.513480000009</v>
      </c>
      <c r="H43" s="149">
        <f t="shared" si="13"/>
        <v>55872.384809999989</v>
      </c>
      <c r="I43" s="149">
        <f t="shared" si="13"/>
        <v>52363.766909999998</v>
      </c>
      <c r="J43" s="149">
        <f t="shared" si="13"/>
        <v>53561.127769999999</v>
      </c>
      <c r="K43" s="149">
        <f t="shared" si="13"/>
        <v>53938.483680000005</v>
      </c>
      <c r="L43" s="149">
        <f t="shared" si="13"/>
        <v>53110.761180000001</v>
      </c>
      <c r="M43" s="149">
        <f t="shared" si="13"/>
        <v>55112.227139999995</v>
      </c>
      <c r="N43" s="149">
        <f t="shared" si="13"/>
        <v>54273.772390000006</v>
      </c>
      <c r="O43" s="149">
        <f t="shared" si="13"/>
        <v>57142.469250000002</v>
      </c>
      <c r="P43" s="142">
        <f t="shared" si="13"/>
        <v>670719.18316999986</v>
      </c>
      <c r="R43" s="18"/>
    </row>
    <row r="44" spans="2:20">
      <c r="C44" s="24" t="s">
        <v>47</v>
      </c>
      <c r="D44" s="163">
        <v>12330.970690000002</v>
      </c>
      <c r="E44" s="174">
        <v>11850.139100000002</v>
      </c>
      <c r="F44" s="189">
        <v>12765.48142</v>
      </c>
      <c r="G44" s="116">
        <v>11718.531999999997</v>
      </c>
      <c r="H44" s="116">
        <v>11686.983930000004</v>
      </c>
      <c r="I44" s="116">
        <v>11112.229630000002</v>
      </c>
      <c r="J44" s="116">
        <v>11344.502359999999</v>
      </c>
      <c r="K44" s="116">
        <v>11320.72244</v>
      </c>
      <c r="L44" s="116">
        <v>11002.890959999999</v>
      </c>
      <c r="M44" s="116">
        <f>+'2019'!M44</f>
        <v>11449.634810000001</v>
      </c>
      <c r="N44" s="116">
        <f>+'2019'!N44</f>
        <v>11333.036169999999</v>
      </c>
      <c r="O44" s="116">
        <v>11887.760200000002</v>
      </c>
      <c r="P44" s="158">
        <f t="shared" si="6"/>
        <v>139802.88370999999</v>
      </c>
      <c r="Q44" s="109"/>
      <c r="R44" s="18"/>
    </row>
    <row r="45" spans="2:20">
      <c r="C45" s="24" t="s">
        <v>48</v>
      </c>
      <c r="D45" s="163">
        <v>34799.556289999993</v>
      </c>
      <c r="E45" s="174">
        <v>33692.988629999993</v>
      </c>
      <c r="F45" s="147">
        <v>36001.954160000001</v>
      </c>
      <c r="G45" s="116">
        <v>32883.017480000002</v>
      </c>
      <c r="H45" s="116">
        <v>32283.159889999995</v>
      </c>
      <c r="I45" s="116">
        <v>30637.989249999999</v>
      </c>
      <c r="J45" s="116">
        <v>31423.290300000004</v>
      </c>
      <c r="K45" s="116">
        <v>31595.431970000005</v>
      </c>
      <c r="L45" s="116">
        <v>30469.562680000003</v>
      </c>
      <c r="M45" s="116">
        <f>+'2019'!M45</f>
        <v>31409.56018</v>
      </c>
      <c r="N45" s="116">
        <f>+'2019'!N45</f>
        <v>30891.405250000003</v>
      </c>
      <c r="O45" s="116">
        <f>+'2019'!O45</f>
        <v>32319.660979999997</v>
      </c>
      <c r="P45" s="158">
        <f t="shared" si="6"/>
        <v>388407.57705999992</v>
      </c>
      <c r="Q45" s="109"/>
      <c r="R45" s="18"/>
    </row>
    <row r="46" spans="2:20">
      <c r="C46" s="24" t="s">
        <v>49</v>
      </c>
      <c r="D46" s="163">
        <v>622.65074000000016</v>
      </c>
      <c r="E46" s="174">
        <v>601.53190000000006</v>
      </c>
      <c r="F46" s="147">
        <v>648.62444999999991</v>
      </c>
      <c r="G46" s="116">
        <v>589.21785000000011</v>
      </c>
      <c r="H46" s="116">
        <v>558.39956000000006</v>
      </c>
      <c r="I46" s="116">
        <v>524.88238999999987</v>
      </c>
      <c r="J46" s="116">
        <v>539.81352000000004</v>
      </c>
      <c r="K46" s="116">
        <v>534.82322999999997</v>
      </c>
      <c r="L46" s="116">
        <v>521.43127000000004</v>
      </c>
      <c r="M46" s="116">
        <f>+'2019'!M46</f>
        <v>545.09976000000006</v>
      </c>
      <c r="N46" s="116">
        <f>+'2019'!N46</f>
        <v>528.20470999999998</v>
      </c>
      <c r="O46" s="116">
        <f>+'2019'!O46</f>
        <v>582.74271999999996</v>
      </c>
      <c r="P46" s="158">
        <f t="shared" si="6"/>
        <v>6797.4220999999998</v>
      </c>
      <c r="Q46" s="109"/>
      <c r="R46" s="18"/>
    </row>
    <row r="47" spans="2:20">
      <c r="C47" s="24" t="s">
        <v>50</v>
      </c>
      <c r="D47" s="186">
        <v>1319.3451699999998</v>
      </c>
      <c r="E47" s="190">
        <v>1196.4535699999999</v>
      </c>
      <c r="F47" s="147">
        <v>1243.3732600000001</v>
      </c>
      <c r="G47" s="116">
        <v>1185.94948</v>
      </c>
      <c r="H47" s="116">
        <v>1173.6347700000001</v>
      </c>
      <c r="I47" s="116">
        <v>1150.2816700000001</v>
      </c>
      <c r="J47" s="116">
        <v>1157.5526700000003</v>
      </c>
      <c r="K47" s="116">
        <v>1155.54675</v>
      </c>
      <c r="L47" s="116">
        <v>1124.3564099999999</v>
      </c>
      <c r="M47" s="116">
        <f>+'2019'!M47</f>
        <v>1191.42497</v>
      </c>
      <c r="N47" s="116">
        <f>+'2019'!N47</f>
        <v>1178.0564999999999</v>
      </c>
      <c r="O47" s="116">
        <f>+'2019'!O47</f>
        <v>1256.44102</v>
      </c>
      <c r="P47" s="158">
        <f t="shared" si="6"/>
        <v>14332.416240000002</v>
      </c>
      <c r="Q47" s="109"/>
      <c r="R47" s="18"/>
    </row>
    <row r="48" spans="2:20">
      <c r="C48" s="24" t="s">
        <v>51</v>
      </c>
      <c r="D48" s="163">
        <v>903.84363999999994</v>
      </c>
      <c r="E48" s="174">
        <v>799.76357000000007</v>
      </c>
      <c r="F48" s="147">
        <v>917.28017000000011</v>
      </c>
      <c r="G48" s="189">
        <v>901.18080000000009</v>
      </c>
      <c r="H48" s="116">
        <v>958.87569999999994</v>
      </c>
      <c r="I48" s="116">
        <v>967.77861000000007</v>
      </c>
      <c r="J48" s="116">
        <f>1020370.57/1000</f>
        <v>1020.3705699999999</v>
      </c>
      <c r="K48" s="116">
        <v>1019.3111499999999</v>
      </c>
      <c r="L48" s="116">
        <v>1027.47873</v>
      </c>
      <c r="M48" s="116">
        <f>+'2019'!M48</f>
        <v>1041.8714100000002</v>
      </c>
      <c r="N48" s="116">
        <f>+'2019'!N48</f>
        <v>976.19334000000015</v>
      </c>
      <c r="O48" s="116">
        <f>+'2019'!O48</f>
        <v>972.46780999999999</v>
      </c>
      <c r="P48" s="158">
        <f t="shared" si="6"/>
        <v>11506.415499999999</v>
      </c>
      <c r="Q48" s="109"/>
      <c r="R48" s="18"/>
    </row>
    <row r="49" spans="3:18">
      <c r="C49" s="24" t="s">
        <v>52</v>
      </c>
      <c r="D49" s="163">
        <v>761.56634999999994</v>
      </c>
      <c r="E49" s="174">
        <v>743.46159000000011</v>
      </c>
      <c r="F49" s="147">
        <v>777.40716999999995</v>
      </c>
      <c r="G49" s="116">
        <v>793.10158999999987</v>
      </c>
      <c r="H49" s="116">
        <v>814.37795999999992</v>
      </c>
      <c r="I49" s="116">
        <v>841.50669999999991</v>
      </c>
      <c r="J49" s="116">
        <f>898808.69/1000</f>
        <v>898.80868999999996</v>
      </c>
      <c r="K49" s="116">
        <v>868.10658999999987</v>
      </c>
      <c r="L49" s="116">
        <v>860.81270999999992</v>
      </c>
      <c r="M49" s="116">
        <f>+'2019'!M49</f>
        <v>893.26675999999998</v>
      </c>
      <c r="N49" s="116">
        <f>+'2019'!N49</f>
        <v>825.29009999999994</v>
      </c>
      <c r="O49" s="116">
        <f>+'2019'!O49</f>
        <v>857.94349999999986</v>
      </c>
      <c r="P49" s="158">
        <f t="shared" si="6"/>
        <v>9935.6497099999997</v>
      </c>
      <c r="Q49" s="109"/>
      <c r="R49" s="18"/>
    </row>
    <row r="50" spans="3:18">
      <c r="C50" s="24" t="s">
        <v>90</v>
      </c>
      <c r="D50" s="186">
        <v>1583.55457</v>
      </c>
      <c r="E50" s="190">
        <v>1426.7756900000002</v>
      </c>
      <c r="F50" s="147">
        <v>1593.0615100000002</v>
      </c>
      <c r="G50" s="189">
        <v>1529.78341</v>
      </c>
      <c r="H50" s="116">
        <v>1587.2914500000002</v>
      </c>
      <c r="I50" s="116">
        <v>1512.8235199999999</v>
      </c>
      <c r="J50" s="116">
        <v>1543.99982</v>
      </c>
      <c r="K50" s="189">
        <v>1532.6580300000001</v>
      </c>
      <c r="L50" s="116">
        <v>1511.96477</v>
      </c>
      <c r="M50" s="116">
        <f>+'2019'!M50</f>
        <v>1557.0548999999999</v>
      </c>
      <c r="N50" s="116">
        <f>+'2019'!N50</f>
        <v>1521.5939500000002</v>
      </c>
      <c r="O50" s="116">
        <f>+'2019'!O50</f>
        <v>1559.9052900000002</v>
      </c>
      <c r="P50" s="158">
        <f t="shared" si="6"/>
        <v>18460.466909999999</v>
      </c>
      <c r="Q50" s="109"/>
      <c r="R50" s="18"/>
    </row>
    <row r="51" spans="3:18">
      <c r="C51" s="24" t="s">
        <v>53</v>
      </c>
      <c r="D51" s="163">
        <v>1938.5491</v>
      </c>
      <c r="E51" s="174">
        <v>1691.5996399999997</v>
      </c>
      <c r="F51" s="147">
        <v>1581.9253000000001</v>
      </c>
      <c r="G51" s="116">
        <v>1543.82554</v>
      </c>
      <c r="H51" s="116">
        <v>1619.6753499999998</v>
      </c>
      <c r="I51" s="116">
        <f>1456790.63/1000</f>
        <v>1456.79063</v>
      </c>
      <c r="J51" s="116">
        <f>1619381.74/1000</f>
        <v>1619.38174</v>
      </c>
      <c r="K51" s="116">
        <v>1968.4035999999999</v>
      </c>
      <c r="L51" s="116">
        <v>1913.50035</v>
      </c>
      <c r="M51" s="116">
        <f>+'2019'!M51</f>
        <v>1931.7165699999998</v>
      </c>
      <c r="N51" s="116">
        <f>+'2019'!N51</f>
        <v>1539.97748</v>
      </c>
      <c r="O51" s="116">
        <f>+'2019'!O51</f>
        <v>1818.8330100000001</v>
      </c>
      <c r="P51" s="158">
        <f t="shared" si="6"/>
        <v>20624.178309999999</v>
      </c>
      <c r="Q51" s="109"/>
      <c r="R51" s="18"/>
    </row>
    <row r="52" spans="3:18">
      <c r="C52" s="24" t="s">
        <v>54</v>
      </c>
      <c r="D52" s="163">
        <v>49.145539999999997</v>
      </c>
      <c r="E52" s="174">
        <v>43.038419999999995</v>
      </c>
      <c r="F52" s="147">
        <v>52.576500000000003</v>
      </c>
      <c r="G52" s="116">
        <v>53.216349999999998</v>
      </c>
      <c r="H52" s="116">
        <v>57.392309999999995</v>
      </c>
      <c r="I52" s="116">
        <v>55.416499999999999</v>
      </c>
      <c r="J52" s="116">
        <v>56.682040000000001</v>
      </c>
      <c r="K52" s="116">
        <v>54.239989999999992</v>
      </c>
      <c r="L52" s="116">
        <v>54.709119999999999</v>
      </c>
      <c r="M52" s="116">
        <f>+'2019'!M52</f>
        <v>55.891889999999997</v>
      </c>
      <c r="N52" s="116">
        <f>+'2019'!N52</f>
        <v>53.78128000000001</v>
      </c>
      <c r="O52" s="116">
        <f>+'2019'!O52</f>
        <v>53.540550000000003</v>
      </c>
      <c r="P52" s="158">
        <f t="shared" si="6"/>
        <v>639.63049000000012</v>
      </c>
      <c r="Q52" s="109"/>
      <c r="R52" s="18"/>
    </row>
    <row r="53" spans="3:18">
      <c r="C53" s="107" t="s">
        <v>93</v>
      </c>
      <c r="D53" s="157">
        <v>7187.7494999999999</v>
      </c>
      <c r="E53" s="121">
        <v>5010.4405699999998</v>
      </c>
      <c r="F53" s="121">
        <v>5140.8683500000006</v>
      </c>
      <c r="G53" s="121">
        <v>4870.6889800000008</v>
      </c>
      <c r="H53" s="121">
        <v>5132.5938900000001</v>
      </c>
      <c r="I53" s="121">
        <v>4104.06801</v>
      </c>
      <c r="J53" s="116">
        <v>3956.72606</v>
      </c>
      <c r="K53" s="116">
        <v>3889.2399299999997</v>
      </c>
      <c r="L53" s="121">
        <v>4624.0541800000001</v>
      </c>
      <c r="M53" s="116">
        <f>+'2019'!M53</f>
        <v>5036.7058899999993</v>
      </c>
      <c r="N53" s="116">
        <f>+'2019'!N53</f>
        <v>5426.2336100000002</v>
      </c>
      <c r="O53" s="116">
        <f>+'2019'!O53</f>
        <v>5833.1741700000002</v>
      </c>
      <c r="P53" s="158">
        <f>SUM(D53:O53)</f>
        <v>60212.543139999994</v>
      </c>
      <c r="Q53" s="109"/>
      <c r="R53" s="18"/>
    </row>
    <row r="54" spans="3:18" ht="15">
      <c r="C54" s="27" t="s">
        <v>43</v>
      </c>
      <c r="D54" s="142">
        <f>+SUM(D55:D61)</f>
        <v>3707.0332699999999</v>
      </c>
      <c r="E54" s="142">
        <f>+SUM(E55:E61)</f>
        <v>3734.4987699999997</v>
      </c>
      <c r="F54" s="142">
        <f>+SUM(F55:F61)</f>
        <v>4399.07359</v>
      </c>
      <c r="G54" s="142">
        <f t="shared" ref="G54:P54" si="14">+SUM(G55:G61)</f>
        <v>4156.6443199999994</v>
      </c>
      <c r="H54" s="142">
        <f t="shared" si="14"/>
        <v>4516.0745999999999</v>
      </c>
      <c r="I54" s="142">
        <f t="shared" si="14"/>
        <v>4263.7386700000006</v>
      </c>
      <c r="J54" s="142">
        <f>+SUM(J55:J61)</f>
        <v>4125.2434499999999</v>
      </c>
      <c r="K54" s="142">
        <f t="shared" si="14"/>
        <v>3939.7035999999998</v>
      </c>
      <c r="L54" s="142">
        <f t="shared" si="14"/>
        <v>3817.4485499999996</v>
      </c>
      <c r="M54" s="142">
        <f t="shared" si="14"/>
        <v>3862.1038000000003</v>
      </c>
      <c r="N54" s="142">
        <f t="shared" si="14"/>
        <v>4004.4934700000003</v>
      </c>
      <c r="O54" s="142">
        <f t="shared" si="14"/>
        <v>3851.6340800000003</v>
      </c>
      <c r="P54" s="142">
        <f t="shared" si="14"/>
        <v>48377.690170000002</v>
      </c>
      <c r="Q54" s="109"/>
      <c r="R54" s="18"/>
    </row>
    <row r="55" spans="3:18">
      <c r="C55" s="184" t="s">
        <v>59</v>
      </c>
      <c r="D55" s="121">
        <v>1183.50154</v>
      </c>
      <c r="E55" s="121">
        <v>1320.5526400000001</v>
      </c>
      <c r="F55" s="121">
        <v>1479.0415</v>
      </c>
      <c r="G55" s="121">
        <v>1174.7085300000001</v>
      </c>
      <c r="H55" s="121">
        <v>1329.7346299999999</v>
      </c>
      <c r="I55" s="121">
        <v>1245.73921</v>
      </c>
      <c r="J55" s="116">
        <v>1256.5352499999999</v>
      </c>
      <c r="K55" s="116">
        <v>1072.61725</v>
      </c>
      <c r="L55" s="121">
        <v>940.31644999999992</v>
      </c>
      <c r="M55" s="121">
        <f>+'2019'!M55</f>
        <v>999.23317000000009</v>
      </c>
      <c r="N55" s="121">
        <f>+'2019'!N55</f>
        <v>1105.9978599999999</v>
      </c>
      <c r="O55" s="121">
        <f>+'2019'!O55</f>
        <v>875.03099999999995</v>
      </c>
      <c r="P55" s="185">
        <f t="shared" si="6"/>
        <v>13983.009029999997</v>
      </c>
      <c r="Q55" s="109"/>
      <c r="R55" s="18"/>
    </row>
    <row r="56" spans="3:18">
      <c r="C56" s="184" t="s">
        <v>56</v>
      </c>
      <c r="D56" s="121">
        <v>1064.37094</v>
      </c>
      <c r="E56" s="121">
        <v>875.83038999999997</v>
      </c>
      <c r="F56" s="121">
        <v>809.20312999999999</v>
      </c>
      <c r="G56" s="121">
        <v>1018.01702</v>
      </c>
      <c r="H56" s="121">
        <v>1178.90335</v>
      </c>
      <c r="I56" s="121">
        <v>1153.5775700000002</v>
      </c>
      <c r="J56" s="116">
        <v>874.04074000000003</v>
      </c>
      <c r="K56" s="116">
        <v>919.07189000000005</v>
      </c>
      <c r="L56" s="121">
        <v>1005.31844</v>
      </c>
      <c r="M56" s="121">
        <f>+'2019'!M56</f>
        <v>1013.8690300000001</v>
      </c>
      <c r="N56" s="121">
        <f>+'2019'!N56</f>
        <v>1094.9500399999999</v>
      </c>
      <c r="O56" s="121">
        <f>+'2019'!O56</f>
        <v>1206.2321000000002</v>
      </c>
      <c r="P56" s="185">
        <f t="shared" si="6"/>
        <v>12213.38464</v>
      </c>
      <c r="Q56" s="109"/>
      <c r="R56" s="18"/>
    </row>
    <row r="57" spans="3:18">
      <c r="C57" s="184" t="s">
        <v>89</v>
      </c>
      <c r="D57" s="121">
        <v>224.46007999999998</v>
      </c>
      <c r="E57" s="121">
        <v>209.18875</v>
      </c>
      <c r="F57" s="121">
        <v>228.60396000000003</v>
      </c>
      <c r="G57" s="121">
        <v>212.95136000000002</v>
      </c>
      <c r="H57" s="121">
        <v>212.91764999999998</v>
      </c>
      <c r="I57" s="121">
        <v>202.52126999999999</v>
      </c>
      <c r="J57" s="116">
        <v>249.31908999999999</v>
      </c>
      <c r="K57" s="116">
        <v>216.46636999999998</v>
      </c>
      <c r="L57" s="121">
        <v>213.12469000000002</v>
      </c>
      <c r="M57" s="121">
        <f>+'2019'!M57</f>
        <v>233.16810999999998</v>
      </c>
      <c r="N57" s="121">
        <f>+'2019'!N57</f>
        <v>227.67134000000001</v>
      </c>
      <c r="O57" s="121">
        <f>+'2019'!O57</f>
        <v>231.13652000000002</v>
      </c>
      <c r="P57" s="185">
        <f t="shared" si="6"/>
        <v>2661.5291899999997</v>
      </c>
      <c r="Q57" s="109"/>
      <c r="R57" s="18"/>
    </row>
    <row r="58" spans="3:18">
      <c r="C58" s="184" t="s">
        <v>94</v>
      </c>
      <c r="D58" s="121">
        <v>406.54124999999999</v>
      </c>
      <c r="E58" s="121">
        <v>366.94499000000002</v>
      </c>
      <c r="F58" s="121">
        <v>400.28144999999995</v>
      </c>
      <c r="G58" s="121">
        <v>366.38504999999998</v>
      </c>
      <c r="H58" s="121">
        <v>425.06234999999998</v>
      </c>
      <c r="I58" s="121">
        <v>395.35285999999996</v>
      </c>
      <c r="J58" s="116">
        <v>413.13617000000005</v>
      </c>
      <c r="K58" s="116">
        <v>397.23631</v>
      </c>
      <c r="L58" s="121">
        <v>394.87678999999997</v>
      </c>
      <c r="M58" s="121">
        <f>+'2019'!M58</f>
        <v>404.88915999999995</v>
      </c>
      <c r="N58" s="121">
        <f>+'2019'!N58</f>
        <v>365.65542999999997</v>
      </c>
      <c r="O58" s="121">
        <f>+'2019'!O58</f>
        <v>306.17158000000001</v>
      </c>
      <c r="P58" s="185">
        <f t="shared" si="6"/>
        <v>4642.5333899999996</v>
      </c>
      <c r="Q58" s="109"/>
      <c r="R58" s="18"/>
    </row>
    <row r="59" spans="3:18">
      <c r="C59" s="184" t="s">
        <v>95</v>
      </c>
      <c r="D59" s="121">
        <v>828.15945999999997</v>
      </c>
      <c r="E59" s="121">
        <v>827.14717000000007</v>
      </c>
      <c r="F59" s="121">
        <v>1095.65308</v>
      </c>
      <c r="G59" s="121">
        <v>1056.1338999999998</v>
      </c>
      <c r="H59" s="121">
        <v>1050.8890100000001</v>
      </c>
      <c r="I59" s="121">
        <v>936.16845000000001</v>
      </c>
      <c r="J59" s="116">
        <v>908.64303000000007</v>
      </c>
      <c r="K59" s="116">
        <v>892.27406000000008</v>
      </c>
      <c r="L59" s="121">
        <v>822.03931</v>
      </c>
      <c r="M59" s="121">
        <f>+'2019'!M59</f>
        <v>833.84130000000005</v>
      </c>
      <c r="N59" s="121">
        <f>+'2019'!N59</f>
        <v>775.81583999999998</v>
      </c>
      <c r="O59" s="121">
        <f>+'2019'!O59</f>
        <v>723.41183000000001</v>
      </c>
      <c r="P59" s="185">
        <f t="shared" si="6"/>
        <v>10750.176439999999</v>
      </c>
      <c r="Q59" s="109"/>
      <c r="R59" s="18"/>
    </row>
    <row r="60" spans="3:18">
      <c r="C60" s="184" t="s">
        <v>96</v>
      </c>
      <c r="D60" s="121"/>
      <c r="E60" s="121">
        <v>134.83482999999998</v>
      </c>
      <c r="F60" s="121">
        <v>148.12654000000001</v>
      </c>
      <c r="G60" s="121">
        <v>140.62110000000001</v>
      </c>
      <c r="H60" s="121">
        <v>155.92572999999999</v>
      </c>
      <c r="I60" s="121">
        <v>149.68076000000002</v>
      </c>
      <c r="J60" s="116">
        <v>169.41900000000001</v>
      </c>
      <c r="K60" s="116">
        <v>177.19055</v>
      </c>
      <c r="L60" s="121">
        <v>193.78854999999999</v>
      </c>
      <c r="M60" s="121">
        <f>+'2019'!M60</f>
        <v>190.84011999999998</v>
      </c>
      <c r="N60" s="121">
        <f>+'2019'!N60</f>
        <v>156.34539999999998</v>
      </c>
      <c r="O60" s="121">
        <f>+'2019'!O60</f>
        <v>170.32733999999999</v>
      </c>
      <c r="P60" s="185">
        <f t="shared" si="6"/>
        <v>1787.0999199999999</v>
      </c>
      <c r="Q60" s="109"/>
      <c r="R60" s="18"/>
    </row>
    <row r="61" spans="3:18" ht="15" thickBot="1">
      <c r="C61" s="187" t="s">
        <v>98</v>
      </c>
      <c r="D61" s="151"/>
      <c r="E61" s="151"/>
      <c r="F61" s="151">
        <v>238.16392999999999</v>
      </c>
      <c r="G61" s="151">
        <v>187.82736</v>
      </c>
      <c r="H61" s="151">
        <v>162.64188000000001</v>
      </c>
      <c r="I61" s="151">
        <v>180.69854999999998</v>
      </c>
      <c r="J61" s="177">
        <v>254.15016999999997</v>
      </c>
      <c r="K61" s="177">
        <v>264.84717000000006</v>
      </c>
      <c r="L61" s="151">
        <v>247.98432</v>
      </c>
      <c r="M61" s="151">
        <f>+'2019'!M61</f>
        <v>186.26290999999998</v>
      </c>
      <c r="N61" s="151">
        <f>+'2019'!N61</f>
        <v>278.05756000000002</v>
      </c>
      <c r="O61" s="151">
        <f>+'2019'!O61</f>
        <v>339.32371000000001</v>
      </c>
      <c r="P61" s="188">
        <f t="shared" si="6"/>
        <v>2339.9575599999998</v>
      </c>
      <c r="Q61" s="109"/>
      <c r="R61" s="18"/>
    </row>
    <row r="62" spans="3:18" ht="15" thickTop="1">
      <c r="D62" s="183">
        <f t="shared" ref="D62:O62" si="15">+D33/D28</f>
        <v>3.4208612262826197E-3</v>
      </c>
      <c r="E62" s="183">
        <f t="shared" si="15"/>
        <v>2.5837722607734356E-3</v>
      </c>
      <c r="F62" s="183">
        <f t="shared" si="15"/>
        <v>2.400077004467485E-3</v>
      </c>
      <c r="G62" s="183">
        <f t="shared" si="15"/>
        <v>3.5029546327576839E-3</v>
      </c>
      <c r="H62" s="183">
        <f t="shared" si="15"/>
        <v>4.0713696355111663E-3</v>
      </c>
      <c r="I62" s="183">
        <f t="shared" si="15"/>
        <v>4.2376969932129025E-3</v>
      </c>
      <c r="J62" s="183">
        <f t="shared" si="15"/>
        <v>4.1837842616117803E-3</v>
      </c>
      <c r="K62" s="183">
        <f t="shared" si="15"/>
        <v>4.1984780862952447E-3</v>
      </c>
      <c r="L62" s="183">
        <f t="shared" si="15"/>
        <v>4.170298124178711E-3</v>
      </c>
      <c r="M62" s="183">
        <f t="shared" si="15"/>
        <v>3.8826886001499211E-3</v>
      </c>
      <c r="N62" s="183">
        <f t="shared" si="15"/>
        <v>3.6201322428538419E-3</v>
      </c>
      <c r="O62" s="183">
        <f t="shared" si="15"/>
        <v>4.0356340435439338E-3</v>
      </c>
      <c r="R62" s="18"/>
    </row>
    <row r="63" spans="3:18">
      <c r="D63" s="35"/>
      <c r="E63" s="39"/>
      <c r="F63" s="35"/>
      <c r="G63" s="35"/>
      <c r="H63" s="35"/>
      <c r="L63" s="18"/>
      <c r="M63" s="18"/>
      <c r="R63" s="109"/>
    </row>
    <row r="64" spans="3:18">
      <c r="C64" s="3" t="s">
        <v>92</v>
      </c>
      <c r="D64" s="35"/>
      <c r="E64" s="39"/>
      <c r="F64" s="35"/>
      <c r="G64" s="35"/>
      <c r="H64" s="35"/>
      <c r="L64" s="18"/>
      <c r="M64" s="18"/>
      <c r="R64" s="109"/>
    </row>
    <row r="65" spans="1:256" s="11" customFormat="1">
      <c r="A65" s="3"/>
      <c r="B65" s="3"/>
      <c r="C65" s="3"/>
      <c r="D65" s="106">
        <f t="shared" ref="D65:O65" si="16">D39-D40</f>
        <v>65203.964859999985</v>
      </c>
      <c r="E65" s="106">
        <f t="shared" si="16"/>
        <v>60790.691449999991</v>
      </c>
      <c r="F65" s="106">
        <f t="shared" si="16"/>
        <v>65121.625880000007</v>
      </c>
      <c r="G65" s="106">
        <f t="shared" si="16"/>
        <v>60225.157800000001</v>
      </c>
      <c r="H65" s="106">
        <f t="shared" si="16"/>
        <v>60388.459409999989</v>
      </c>
      <c r="I65" s="106">
        <f t="shared" si="16"/>
        <v>56627.505579999997</v>
      </c>
      <c r="J65" s="106">
        <f t="shared" si="16"/>
        <v>57686.371219999994</v>
      </c>
      <c r="K65" s="106">
        <f t="shared" si="16"/>
        <v>57878.187279999991</v>
      </c>
      <c r="L65" s="106">
        <f t="shared" si="16"/>
        <v>56928.209730000002</v>
      </c>
      <c r="M65" s="106">
        <f t="shared" si="16"/>
        <v>58974.330939999993</v>
      </c>
      <c r="N65" s="106">
        <f t="shared" si="16"/>
        <v>58278.265860000007</v>
      </c>
      <c r="O65" s="106">
        <f t="shared" si="16"/>
        <v>60994.103330000013</v>
      </c>
    </row>
    <row r="66" spans="1:256"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</row>
    <row r="67" spans="1:256" ht="15">
      <c r="D67" s="89">
        <f t="shared" ref="D67:O67" si="17">+D38-D39</f>
        <v>0</v>
      </c>
      <c r="E67" s="89">
        <f t="shared" si="17"/>
        <v>0</v>
      </c>
      <c r="F67" s="89">
        <f t="shared" si="17"/>
        <v>0</v>
      </c>
      <c r="G67" s="89">
        <f>+G38-G39</f>
        <v>0</v>
      </c>
      <c r="H67" s="89">
        <f t="shared" si="17"/>
        <v>0</v>
      </c>
      <c r="I67" s="89">
        <f t="shared" si="17"/>
        <v>0</v>
      </c>
      <c r="J67" s="89">
        <f t="shared" si="17"/>
        <v>0</v>
      </c>
      <c r="K67" s="89">
        <f t="shared" si="17"/>
        <v>0</v>
      </c>
      <c r="L67" s="89">
        <f t="shared" si="17"/>
        <v>0</v>
      </c>
      <c r="M67" s="89">
        <f t="shared" si="17"/>
        <v>0</v>
      </c>
      <c r="N67" s="89">
        <f t="shared" si="17"/>
        <v>0</v>
      </c>
      <c r="O67" s="89">
        <f t="shared" si="17"/>
        <v>0</v>
      </c>
      <c r="P67" s="89"/>
      <c r="R67" s="90"/>
    </row>
    <row r="68" spans="1:256">
      <c r="C68" s="193"/>
      <c r="D68" s="89">
        <f t="shared" ref="D68:O68" si="18">+D67*0.4</f>
        <v>0</v>
      </c>
      <c r="E68" s="89">
        <f t="shared" si="18"/>
        <v>0</v>
      </c>
      <c r="F68" s="89">
        <f t="shared" si="18"/>
        <v>0</v>
      </c>
      <c r="G68" s="89">
        <f>+G67*0.4</f>
        <v>0</v>
      </c>
      <c r="H68" s="89">
        <f t="shared" si="18"/>
        <v>0</v>
      </c>
      <c r="I68" s="89">
        <f>+I67*0.4</f>
        <v>0</v>
      </c>
      <c r="J68" s="89">
        <f t="shared" si="18"/>
        <v>0</v>
      </c>
      <c r="K68" s="89">
        <f t="shared" si="18"/>
        <v>0</v>
      </c>
      <c r="L68" s="89">
        <f t="shared" si="18"/>
        <v>0</v>
      </c>
      <c r="M68" s="89">
        <f t="shared" si="18"/>
        <v>0</v>
      </c>
      <c r="N68" s="89">
        <f t="shared" si="18"/>
        <v>0</v>
      </c>
      <c r="O68" s="89">
        <f t="shared" si="18"/>
        <v>0</v>
      </c>
      <c r="P68" s="89"/>
    </row>
    <row r="69" spans="1:256">
      <c r="D69" s="109">
        <f>+D67*0.6</f>
        <v>0</v>
      </c>
      <c r="E69" s="109">
        <f t="shared" ref="E69:O69" si="19">+E67*0.6</f>
        <v>0</v>
      </c>
      <c r="F69" s="109">
        <f t="shared" si="19"/>
        <v>0</v>
      </c>
      <c r="G69" s="109">
        <f t="shared" si="19"/>
        <v>0</v>
      </c>
      <c r="H69" s="109">
        <f t="shared" si="19"/>
        <v>0</v>
      </c>
      <c r="I69" s="109">
        <f t="shared" si="19"/>
        <v>0</v>
      </c>
      <c r="J69" s="109">
        <f t="shared" si="19"/>
        <v>0</v>
      </c>
      <c r="K69" s="109">
        <f t="shared" si="19"/>
        <v>0</v>
      </c>
      <c r="L69" s="109">
        <f t="shared" si="19"/>
        <v>0</v>
      </c>
      <c r="M69" s="109">
        <f t="shared" si="19"/>
        <v>0</v>
      </c>
      <c r="N69" s="109">
        <f t="shared" si="19"/>
        <v>0</v>
      </c>
      <c r="O69" s="109">
        <f t="shared" si="19"/>
        <v>0</v>
      </c>
    </row>
  </sheetData>
  <printOptions horizontalCentered="1"/>
  <pageMargins left="0.39370078740157483" right="0.39370078740157483" top="1.3779527559055118" bottom="1" header="0" footer="0"/>
  <pageSetup paperSize="9" scale="50" orientation="landscape" horizontalDpi="4294967295" verticalDpi="4294967295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4D81-E824-42AD-AF4E-35CD2626D150}">
  <sheetPr codeName="Sheet8">
    <pageSetUpPr fitToPage="1"/>
  </sheetPr>
  <dimension ref="A3:IV71"/>
  <sheetViews>
    <sheetView view="pageBreakPreview" zoomScale="80" zoomScaleNormal="80" zoomScaleSheetLayoutView="80" workbookViewId="0">
      <selection activeCell="G18" sqref="G18"/>
    </sheetView>
  </sheetViews>
  <sheetFormatPr baseColWidth="10" defaultColWidth="9" defaultRowHeight="14.25"/>
  <cols>
    <col min="1" max="1" width="3" style="3" customWidth="1"/>
    <col min="2" max="2" width="15.140625" style="3" customWidth="1"/>
    <col min="3" max="3" width="41.5703125" style="3" bestFit="1" customWidth="1"/>
    <col min="4" max="5" width="18.7109375" style="3" customWidth="1"/>
    <col min="6" max="6" width="21" style="3" customWidth="1"/>
    <col min="7" max="7" width="14.85546875" style="3" bestFit="1" customWidth="1"/>
    <col min="8" max="8" width="18.7109375" style="3" bestFit="1" customWidth="1"/>
    <col min="9" max="10" width="18.7109375" style="3" customWidth="1"/>
    <col min="11" max="11" width="14.85546875" style="3" customWidth="1"/>
    <col min="12" max="12" width="18.7109375" style="3" bestFit="1" customWidth="1"/>
    <col min="13" max="13" width="18.7109375" style="3" customWidth="1"/>
    <col min="14" max="14" width="20.140625" style="3" bestFit="1" customWidth="1"/>
    <col min="15" max="15" width="18.42578125" style="3" customWidth="1"/>
    <col min="16" max="16" width="21.85546875" style="3" customWidth="1"/>
    <col min="17" max="17" width="13.28515625" style="3" customWidth="1"/>
    <col min="18" max="18" width="15.7109375" style="3" customWidth="1"/>
    <col min="19" max="16384" width="9" style="3"/>
  </cols>
  <sheetData>
    <row r="3" spans="3:16" ht="15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3:16" ht="15">
      <c r="C4" s="1" t="s">
        <v>61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3:16" ht="15" thickBot="1"/>
    <row r="6" spans="3:16" ht="15.75" thickTop="1">
      <c r="C6" s="4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6" t="s">
        <v>13</v>
      </c>
      <c r="P6" s="7" t="s">
        <v>14</v>
      </c>
    </row>
    <row r="7" spans="3:16" ht="15">
      <c r="C7" s="8" t="s">
        <v>15</v>
      </c>
      <c r="D7" s="9"/>
      <c r="E7" s="9"/>
      <c r="F7" s="10"/>
      <c r="G7" s="10"/>
      <c r="H7" s="10"/>
      <c r="I7" s="10"/>
      <c r="J7" s="10"/>
      <c r="K7" s="11"/>
      <c r="L7" s="10"/>
      <c r="M7" s="10"/>
      <c r="N7" s="10"/>
      <c r="O7" s="12"/>
      <c r="P7" s="13"/>
    </row>
    <row r="8" spans="3:16">
      <c r="C8" s="14" t="s">
        <v>16</v>
      </c>
      <c r="D8" s="41">
        <v>1240.9939297561646</v>
      </c>
      <c r="E8" s="41">
        <v>998.70378129243852</v>
      </c>
      <c r="F8" s="42">
        <v>1234.4385763149262</v>
      </c>
      <c r="G8" s="42">
        <v>1199.7256251044273</v>
      </c>
      <c r="H8" s="42">
        <v>1243.9933112640381</v>
      </c>
      <c r="I8" s="42">
        <v>1199.6497713184356</v>
      </c>
      <c r="J8" s="42">
        <v>1214.4943993606566</v>
      </c>
      <c r="K8" s="43">
        <v>1233.4054938735962</v>
      </c>
      <c r="L8" s="42">
        <v>1162.8326134141685</v>
      </c>
      <c r="M8" s="42">
        <v>1217.8174719043971</v>
      </c>
      <c r="N8" s="42">
        <v>1208.2760299491883</v>
      </c>
      <c r="O8" s="44">
        <v>1230.0418670830727</v>
      </c>
      <c r="P8" s="45">
        <f t="shared" ref="P8:P14" si="0">+SUM(D8:O8)</f>
        <v>14384.37287063551</v>
      </c>
    </row>
    <row r="9" spans="3:16">
      <c r="C9" s="14" t="s">
        <v>17</v>
      </c>
      <c r="D9" s="41">
        <v>418.88091194474697</v>
      </c>
      <c r="E9" s="41">
        <v>312.43324025306197</v>
      </c>
      <c r="F9" s="42">
        <v>413.71202063274382</v>
      </c>
      <c r="G9" s="42">
        <v>407.00295605832906</v>
      </c>
      <c r="H9" s="42">
        <v>415.04506767153742</v>
      </c>
      <c r="I9" s="42">
        <v>405.4037246170044</v>
      </c>
      <c r="J9" s="42">
        <v>423.37136547470095</v>
      </c>
      <c r="K9" s="43">
        <v>421.52900800895691</v>
      </c>
      <c r="L9" s="42">
        <v>413.99181422233579</v>
      </c>
      <c r="M9" s="42">
        <v>421.20926207307724</v>
      </c>
      <c r="N9" s="42">
        <v>414.69397303009032</v>
      </c>
      <c r="O9" s="44">
        <v>423.40792320270839</v>
      </c>
      <c r="P9" s="45">
        <f t="shared" si="0"/>
        <v>4890.6812671892931</v>
      </c>
    </row>
    <row r="10" spans="3:16">
      <c r="C10" s="14" t="s">
        <v>18</v>
      </c>
      <c r="D10" s="41">
        <v>3355.0789591379166</v>
      </c>
      <c r="E10" s="41">
        <v>2734.1932248572111</v>
      </c>
      <c r="F10" s="42">
        <v>3343.8868275756836</v>
      </c>
      <c r="G10" s="42">
        <v>3273.7390476379396</v>
      </c>
      <c r="H10" s="42">
        <v>3325.717076309204</v>
      </c>
      <c r="I10" s="42">
        <v>3239.9701756095888</v>
      </c>
      <c r="J10" s="42">
        <v>3315.0189702649118</v>
      </c>
      <c r="K10" s="43">
        <v>3377.7074894542693</v>
      </c>
      <c r="L10" s="42">
        <v>3284.4658989105224</v>
      </c>
      <c r="M10" s="42">
        <v>3396.7428475070001</v>
      </c>
      <c r="N10" s="42">
        <v>3355.7371980590819</v>
      </c>
      <c r="O10" s="44">
        <v>3424.8707363166809</v>
      </c>
      <c r="P10" s="45">
        <f t="shared" si="0"/>
        <v>39427.128451640012</v>
      </c>
    </row>
    <row r="11" spans="3:16">
      <c r="C11" s="14" t="s">
        <v>19</v>
      </c>
      <c r="D11" s="41">
        <v>9128.7618541016309</v>
      </c>
      <c r="E11" s="41">
        <v>7711.1607103656333</v>
      </c>
      <c r="F11" s="42">
        <v>8815.5331417324123</v>
      </c>
      <c r="G11" s="42">
        <v>9375.8924009359034</v>
      </c>
      <c r="H11" s="42">
        <v>8551.3533374984963</v>
      </c>
      <c r="I11" s="42">
        <v>8296.3259463767026</v>
      </c>
      <c r="J11" s="42">
        <v>8302.6151635867209</v>
      </c>
      <c r="K11" s="43">
        <v>8290.0215535666812</v>
      </c>
      <c r="L11" s="42">
        <v>8357.9531711872733</v>
      </c>
      <c r="M11" s="42">
        <v>9505.9844303204936</v>
      </c>
      <c r="N11" s="42">
        <v>9794.5937352905275</v>
      </c>
      <c r="O11" s="44">
        <v>8153.2550993652339</v>
      </c>
      <c r="P11" s="45">
        <f t="shared" si="0"/>
        <v>104283.45054432772</v>
      </c>
    </row>
    <row r="12" spans="3:16">
      <c r="C12" s="14" t="s">
        <v>20</v>
      </c>
      <c r="D12" s="41">
        <v>55201.711550794425</v>
      </c>
      <c r="E12" s="41">
        <v>81546.705198472177</v>
      </c>
      <c r="F12" s="42">
        <v>88417.85891807804</v>
      </c>
      <c r="G12" s="42">
        <v>70217.660022310083</v>
      </c>
      <c r="H12" s="42">
        <v>53420.797183747636</v>
      </c>
      <c r="I12" s="42">
        <v>51705.769526782264</v>
      </c>
      <c r="J12" s="42">
        <v>52709.714440939009</v>
      </c>
      <c r="K12" s="43">
        <v>54146.048197880315</v>
      </c>
      <c r="L12" s="42">
        <v>52136.685709624959</v>
      </c>
      <c r="M12" s="42">
        <v>58454.390851720302</v>
      </c>
      <c r="N12" s="42">
        <v>60178.444098694803</v>
      </c>
      <c r="O12" s="44">
        <v>56312.452048551713</v>
      </c>
      <c r="P12" s="45">
        <f t="shared" si="0"/>
        <v>734448.23774759588</v>
      </c>
    </row>
    <row r="13" spans="3:16">
      <c r="C13" s="14" t="s">
        <v>21</v>
      </c>
      <c r="D13" s="41">
        <v>5588.7609603564242</v>
      </c>
      <c r="E13" s="41">
        <v>4238.7170617530892</v>
      </c>
      <c r="F13" s="42">
        <v>5939.8058442495849</v>
      </c>
      <c r="G13" s="42">
        <v>5599.5060461665898</v>
      </c>
      <c r="H13" s="42">
        <v>4186.2291182998651</v>
      </c>
      <c r="I13" s="42">
        <v>4938.6941628723143</v>
      </c>
      <c r="J13" s="42">
        <v>5218.0389582519529</v>
      </c>
      <c r="K13" s="43">
        <v>5444.5400628643038</v>
      </c>
      <c r="L13" s="42">
        <v>5202.3245951538083</v>
      </c>
      <c r="M13" s="42">
        <v>5878.3970632015298</v>
      </c>
      <c r="N13" s="42">
        <v>6074.6164154052731</v>
      </c>
      <c r="O13" s="44">
        <v>5484.6079015207288</v>
      </c>
      <c r="P13" s="45">
        <f t="shared" si="0"/>
        <v>63794.238190095464</v>
      </c>
    </row>
    <row r="14" spans="3:16" ht="15">
      <c r="C14" s="15" t="s">
        <v>22</v>
      </c>
      <c r="D14" s="46">
        <f t="shared" ref="D14:O14" si="1">SUM(D8:D13)</f>
        <v>74934.188166091306</v>
      </c>
      <c r="E14" s="46">
        <f t="shared" si="1"/>
        <v>97541.91321699362</v>
      </c>
      <c r="F14" s="46">
        <f t="shared" si="1"/>
        <v>108165.2353285834</v>
      </c>
      <c r="G14" s="46">
        <f t="shared" si="1"/>
        <v>90073.526098213275</v>
      </c>
      <c r="H14" s="46">
        <f t="shared" si="1"/>
        <v>71143.135094790778</v>
      </c>
      <c r="I14" s="46">
        <f t="shared" si="1"/>
        <v>69785.813307576318</v>
      </c>
      <c r="J14" s="46">
        <f t="shared" si="1"/>
        <v>71183.253297877949</v>
      </c>
      <c r="K14" s="46">
        <f t="shared" si="1"/>
        <v>72913.25180564812</v>
      </c>
      <c r="L14" s="46">
        <f t="shared" si="1"/>
        <v>70558.253802513063</v>
      </c>
      <c r="M14" s="46">
        <f t="shared" si="1"/>
        <v>78874.541926726801</v>
      </c>
      <c r="N14" s="46">
        <f t="shared" si="1"/>
        <v>81026.361450428958</v>
      </c>
      <c r="O14" s="47">
        <f t="shared" si="1"/>
        <v>75028.635576040135</v>
      </c>
      <c r="P14" s="48">
        <f t="shared" si="0"/>
        <v>961228.10907148372</v>
      </c>
    </row>
    <row r="15" spans="3:16" ht="15">
      <c r="C15" s="8" t="s">
        <v>23</v>
      </c>
      <c r="D15" s="16"/>
      <c r="E15" s="16"/>
      <c r="F15" s="17"/>
      <c r="G15" s="17"/>
      <c r="H15" s="17"/>
      <c r="I15" s="17"/>
      <c r="J15" s="17"/>
      <c r="K15" s="18"/>
      <c r="L15" s="42"/>
      <c r="M15" s="42"/>
      <c r="N15" s="42"/>
      <c r="O15" s="44"/>
      <c r="P15" s="19"/>
    </row>
    <row r="16" spans="3:16">
      <c r="C16" s="20" t="s">
        <v>24</v>
      </c>
      <c r="D16" s="41">
        <v>0</v>
      </c>
      <c r="E16" s="41"/>
      <c r="F16" s="42"/>
      <c r="G16" s="42"/>
      <c r="H16" s="42"/>
      <c r="I16" s="42"/>
      <c r="J16" s="42"/>
      <c r="K16" s="43"/>
      <c r="L16" s="42"/>
      <c r="M16" s="42"/>
      <c r="N16" s="42"/>
      <c r="O16" s="44"/>
      <c r="P16" s="45">
        <f t="shared" ref="P16:P22" si="2">+SUM(D16:O16)</f>
        <v>0</v>
      </c>
    </row>
    <row r="17" spans="3:18">
      <c r="C17" s="14" t="s">
        <v>25</v>
      </c>
      <c r="D17" s="41">
        <v>0</v>
      </c>
      <c r="E17" s="41">
        <v>0</v>
      </c>
      <c r="F17" s="42">
        <v>0</v>
      </c>
      <c r="G17" s="42">
        <v>26.366883605957032</v>
      </c>
      <c r="H17" s="42">
        <v>0</v>
      </c>
      <c r="I17" s="42">
        <v>26.213820617675783</v>
      </c>
      <c r="J17" s="42">
        <v>0</v>
      </c>
      <c r="K17" s="43">
        <v>1.2625818176269532</v>
      </c>
      <c r="L17" s="42">
        <v>80.511742474164819</v>
      </c>
      <c r="M17" s="42">
        <v>31.170961952615961</v>
      </c>
      <c r="N17" s="42">
        <v>0</v>
      </c>
      <c r="O17" s="44">
        <v>0</v>
      </c>
      <c r="P17" s="45">
        <f t="shared" si="2"/>
        <v>165.52599046804053</v>
      </c>
    </row>
    <row r="18" spans="3:18">
      <c r="C18" s="20" t="s">
        <v>26</v>
      </c>
      <c r="D18" s="41">
        <v>0</v>
      </c>
      <c r="E18" s="41">
        <v>66.181883968353276</v>
      </c>
      <c r="F18" s="42">
        <v>1.0150506439208984</v>
      </c>
      <c r="G18" s="42">
        <v>0.55246324642481337</v>
      </c>
      <c r="H18" s="42">
        <v>0</v>
      </c>
      <c r="I18" s="42">
        <v>0</v>
      </c>
      <c r="J18" s="42">
        <v>14.927645499825477</v>
      </c>
      <c r="K18" s="43">
        <v>9.6205799091478124</v>
      </c>
      <c r="L18" s="42">
        <v>89.402195267992212</v>
      </c>
      <c r="M18" s="42">
        <v>1.2952041113408477</v>
      </c>
      <c r="N18" s="42">
        <v>0</v>
      </c>
      <c r="O18" s="44">
        <v>94.277912440742625</v>
      </c>
      <c r="P18" s="45">
        <f t="shared" si="2"/>
        <v>277.2729350877479</v>
      </c>
      <c r="Q18" s="21"/>
    </row>
    <row r="19" spans="3:18">
      <c r="C19" s="20" t="s">
        <v>27</v>
      </c>
      <c r="D19" s="41">
        <v>0.68935513305664065</v>
      </c>
      <c r="E19" s="41">
        <v>61.431323266656719</v>
      </c>
      <c r="F19" s="42">
        <v>9.1660029754638686</v>
      </c>
      <c r="G19" s="42">
        <v>0</v>
      </c>
      <c r="H19" s="42">
        <v>20.240179656982423</v>
      </c>
      <c r="I19" s="42">
        <v>0</v>
      </c>
      <c r="J19" s="42">
        <v>22.485859857559202</v>
      </c>
      <c r="K19" s="43">
        <v>0</v>
      </c>
      <c r="L19" s="42">
        <v>179.69909651494027</v>
      </c>
      <c r="M19" s="42">
        <v>0</v>
      </c>
      <c r="N19" s="42">
        <v>43.720482009887689</v>
      </c>
      <c r="O19" s="44">
        <v>19.755191876802595</v>
      </c>
      <c r="P19" s="45">
        <f t="shared" si="2"/>
        <v>357.18749129134943</v>
      </c>
      <c r="Q19" s="21"/>
    </row>
    <row r="20" spans="3:18">
      <c r="C20" s="40" t="s">
        <v>46</v>
      </c>
      <c r="D20" s="41">
        <v>9619.7199920154926</v>
      </c>
      <c r="E20" s="41">
        <v>11918.38152364376</v>
      </c>
      <c r="F20" s="41">
        <v>9415.2917299242181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3">
        <v>0</v>
      </c>
      <c r="P20" s="45">
        <f t="shared" si="2"/>
        <v>30953.393245583473</v>
      </c>
      <c r="Q20" s="21"/>
    </row>
    <row r="21" spans="3:18" ht="15">
      <c r="C21" s="15" t="s">
        <v>28</v>
      </c>
      <c r="D21" s="46">
        <f t="shared" ref="D21:O21" si="3">SUM(D16:D20)</f>
        <v>9620.4093471485485</v>
      </c>
      <c r="E21" s="46">
        <f t="shared" si="3"/>
        <v>12045.99473087877</v>
      </c>
      <c r="F21" s="46">
        <f t="shared" si="3"/>
        <v>9425.4727835436024</v>
      </c>
      <c r="G21" s="46">
        <f t="shared" si="3"/>
        <v>26.919346852381846</v>
      </c>
      <c r="H21" s="46">
        <f t="shared" si="3"/>
        <v>20.240179656982423</v>
      </c>
      <c r="I21" s="46">
        <f t="shared" si="3"/>
        <v>26.213820617675783</v>
      </c>
      <c r="J21" s="46">
        <f t="shared" si="3"/>
        <v>37.413505357384679</v>
      </c>
      <c r="K21" s="46">
        <f t="shared" si="3"/>
        <v>10.883161726774766</v>
      </c>
      <c r="L21" s="46">
        <f t="shared" si="3"/>
        <v>349.6130342570973</v>
      </c>
      <c r="M21" s="46">
        <f t="shared" si="3"/>
        <v>32.466166063956805</v>
      </c>
      <c r="N21" s="46">
        <f t="shared" si="3"/>
        <v>43.720482009887689</v>
      </c>
      <c r="O21" s="47">
        <f t="shared" si="3"/>
        <v>114.03310431754522</v>
      </c>
      <c r="P21" s="48">
        <f t="shared" si="2"/>
        <v>31753.379662430612</v>
      </c>
    </row>
    <row r="22" spans="3:18" ht="15.75" thickBot="1">
      <c r="C22" s="22" t="s">
        <v>29</v>
      </c>
      <c r="D22" s="49">
        <f t="shared" ref="D22:O22" si="4">+D14+D21</f>
        <v>84554.59751323986</v>
      </c>
      <c r="E22" s="49">
        <f t="shared" si="4"/>
        <v>109587.90794787239</v>
      </c>
      <c r="F22" s="49">
        <f t="shared" si="4"/>
        <v>117590.708112127</v>
      </c>
      <c r="G22" s="49">
        <f t="shared" si="4"/>
        <v>90100.445445065663</v>
      </c>
      <c r="H22" s="49">
        <f t="shared" si="4"/>
        <v>71163.375274447753</v>
      </c>
      <c r="I22" s="49">
        <f t="shared" si="4"/>
        <v>69812.027128193993</v>
      </c>
      <c r="J22" s="49">
        <f t="shared" si="4"/>
        <v>71220.666803235334</v>
      </c>
      <c r="K22" s="49">
        <f t="shared" si="4"/>
        <v>72924.134967374892</v>
      </c>
      <c r="L22" s="49">
        <f t="shared" si="4"/>
        <v>70907.866836770161</v>
      </c>
      <c r="M22" s="49">
        <f t="shared" si="4"/>
        <v>78907.008092790755</v>
      </c>
      <c r="N22" s="49">
        <f t="shared" si="4"/>
        <v>81070.081932438843</v>
      </c>
      <c r="O22" s="50">
        <f t="shared" si="4"/>
        <v>75142.668680357674</v>
      </c>
      <c r="P22" s="51">
        <f t="shared" si="2"/>
        <v>992981.48873391433</v>
      </c>
    </row>
    <row r="23" spans="3:18" ht="15" thickTop="1"/>
    <row r="24" spans="3:18" ht="15">
      <c r="C24" s="1" t="s">
        <v>99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3:18" ht="15" thickBot="1"/>
    <row r="26" spans="3:18" ht="15.75" thickTop="1">
      <c r="C26" s="209" t="s">
        <v>30</v>
      </c>
      <c r="D26" s="210" t="s">
        <v>2</v>
      </c>
      <c r="E26" s="210" t="s">
        <v>3</v>
      </c>
      <c r="F26" s="210" t="s">
        <v>4</v>
      </c>
      <c r="G26" s="210" t="s">
        <v>5</v>
      </c>
      <c r="H26" s="210" t="s">
        <v>6</v>
      </c>
      <c r="I26" s="210" t="s">
        <v>7</v>
      </c>
      <c r="J26" s="210" t="s">
        <v>8</v>
      </c>
      <c r="K26" s="210" t="s">
        <v>9</v>
      </c>
      <c r="L26" s="210" t="s">
        <v>10</v>
      </c>
      <c r="M26" s="210" t="s">
        <v>11</v>
      </c>
      <c r="N26" s="210" t="s">
        <v>12</v>
      </c>
      <c r="O26" s="210" t="s">
        <v>13</v>
      </c>
      <c r="P26" s="211" t="s">
        <v>14</v>
      </c>
    </row>
    <row r="27" spans="3:18" ht="15">
      <c r="C27" s="212" t="s">
        <v>31</v>
      </c>
      <c r="D27" s="154">
        <f t="shared" ref="D27:O27" si="5">+D28+D29</f>
        <v>84554.59751323986</v>
      </c>
      <c r="E27" s="153">
        <f t="shared" si="5"/>
        <v>109587.90794787239</v>
      </c>
      <c r="F27" s="154">
        <f t="shared" si="5"/>
        <v>117590.708112127</v>
      </c>
      <c r="G27" s="154">
        <f t="shared" si="5"/>
        <v>90100.445445065663</v>
      </c>
      <c r="H27" s="154">
        <f t="shared" si="5"/>
        <v>71163.375274447753</v>
      </c>
      <c r="I27" s="154">
        <f t="shared" si="5"/>
        <v>69812.027128193993</v>
      </c>
      <c r="J27" s="141">
        <f t="shared" si="5"/>
        <v>71220.666803235334</v>
      </c>
      <c r="K27" s="154">
        <f t="shared" si="5"/>
        <v>72924.134967374892</v>
      </c>
      <c r="L27" s="154">
        <f t="shared" si="5"/>
        <v>70907.866836770161</v>
      </c>
      <c r="M27" s="154">
        <f t="shared" si="5"/>
        <v>78907.008092790755</v>
      </c>
      <c r="N27" s="154">
        <f t="shared" si="5"/>
        <v>81070.081932438843</v>
      </c>
      <c r="O27" s="154">
        <f t="shared" si="5"/>
        <v>75142.668680357674</v>
      </c>
      <c r="P27" s="213">
        <f>SUM(D27:O27)</f>
        <v>992981.48873391433</v>
      </c>
      <c r="R27" s="18"/>
    </row>
    <row r="28" spans="3:18">
      <c r="C28" s="214" t="s">
        <v>32</v>
      </c>
      <c r="D28" s="121">
        <v>74934.188166091306</v>
      </c>
      <c r="E28" s="121">
        <v>97541.91321699362</v>
      </c>
      <c r="F28" s="121">
        <v>108165.2353285834</v>
      </c>
      <c r="G28" s="121">
        <v>90073.526098213275</v>
      </c>
      <c r="H28" s="121">
        <v>71143.135094790778</v>
      </c>
      <c r="I28" s="121">
        <v>69785.813307576318</v>
      </c>
      <c r="J28" s="121">
        <v>71183.253297877949</v>
      </c>
      <c r="K28" s="121">
        <v>72913.25180564812</v>
      </c>
      <c r="L28" s="121">
        <v>70558.253802513063</v>
      </c>
      <c r="M28" s="121">
        <f>+'2019'!M28</f>
        <v>78874.541926726801</v>
      </c>
      <c r="N28" s="121">
        <f>+'2019'!N28</f>
        <v>81026.361450428958</v>
      </c>
      <c r="O28" s="121">
        <f>+'2019'!O28</f>
        <v>75028.635576040135</v>
      </c>
      <c r="P28" s="185">
        <f t="shared" ref="P28:P61" si="6">SUM(D28:O28)</f>
        <v>961228.10907148372</v>
      </c>
      <c r="R28" s="18"/>
    </row>
    <row r="29" spans="3:18">
      <c r="C29" s="215" t="s">
        <v>33</v>
      </c>
      <c r="D29" s="160">
        <v>9620.4093471485485</v>
      </c>
      <c r="E29" s="160">
        <v>12045.99473087877</v>
      </c>
      <c r="F29" s="160">
        <v>9425.4727835436024</v>
      </c>
      <c r="G29" s="160">
        <v>26.919346852381846</v>
      </c>
      <c r="H29" s="160">
        <v>20.240179656982423</v>
      </c>
      <c r="I29" s="160">
        <v>26.213820617675783</v>
      </c>
      <c r="J29" s="160">
        <v>37.413505357384679</v>
      </c>
      <c r="K29" s="160">
        <v>10.883161726774764</v>
      </c>
      <c r="L29" s="160">
        <v>349.6130342570973</v>
      </c>
      <c r="M29" s="121">
        <f>+'2019'!M29</f>
        <v>32.466166063956813</v>
      </c>
      <c r="N29" s="121">
        <f>+'2019'!N29</f>
        <v>43.720482009887697</v>
      </c>
      <c r="O29" s="121">
        <f>+'2019'!O29</f>
        <v>114.03310431754522</v>
      </c>
      <c r="P29" s="216">
        <f t="shared" si="6"/>
        <v>31753.379662430612</v>
      </c>
      <c r="R29" s="18"/>
    </row>
    <row r="30" spans="3:18" ht="15">
      <c r="C30" s="212" t="s">
        <v>34</v>
      </c>
      <c r="D30" s="141">
        <f t="shared" ref="D30:O30" si="7">+D31</f>
        <v>0</v>
      </c>
      <c r="E30" s="141">
        <f t="shared" si="7"/>
        <v>0</v>
      </c>
      <c r="F30" s="141">
        <f t="shared" si="7"/>
        <v>0</v>
      </c>
      <c r="G30" s="141">
        <f t="shared" si="7"/>
        <v>0</v>
      </c>
      <c r="H30" s="154">
        <f t="shared" si="7"/>
        <v>0</v>
      </c>
      <c r="I30" s="154">
        <f t="shared" si="7"/>
        <v>0</v>
      </c>
      <c r="J30" s="141">
        <f t="shared" si="7"/>
        <v>0</v>
      </c>
      <c r="K30" s="141">
        <f t="shared" si="7"/>
        <v>0</v>
      </c>
      <c r="L30" s="141">
        <f t="shared" si="7"/>
        <v>0</v>
      </c>
      <c r="M30" s="141">
        <f t="shared" si="7"/>
        <v>0</v>
      </c>
      <c r="N30" s="141">
        <f t="shared" si="7"/>
        <v>0</v>
      </c>
      <c r="O30" s="154">
        <f t="shared" si="7"/>
        <v>0</v>
      </c>
      <c r="P30" s="213">
        <f t="shared" si="6"/>
        <v>0</v>
      </c>
      <c r="R30" s="18"/>
    </row>
    <row r="31" spans="3:18">
      <c r="C31" s="214" t="s">
        <v>41</v>
      </c>
      <c r="D31" s="116">
        <v>0</v>
      </c>
      <c r="E31" s="164">
        <v>0</v>
      </c>
      <c r="F31" s="164">
        <v>0</v>
      </c>
      <c r="G31" s="164">
        <v>0</v>
      </c>
      <c r="H31" s="121">
        <v>0</v>
      </c>
      <c r="I31" s="121">
        <v>0</v>
      </c>
      <c r="J31" s="116">
        <v>0</v>
      </c>
      <c r="K31" s="116">
        <v>0</v>
      </c>
      <c r="L31" s="116">
        <v>0</v>
      </c>
      <c r="M31" s="116"/>
      <c r="N31" s="116">
        <v>0</v>
      </c>
      <c r="O31" s="116"/>
      <c r="P31" s="185">
        <f t="shared" si="6"/>
        <v>0</v>
      </c>
      <c r="R31" s="18"/>
    </row>
    <row r="32" spans="3:18" ht="15">
      <c r="C32" s="212" t="s">
        <v>35</v>
      </c>
      <c r="D32" s="154">
        <f>+D33+D34</f>
        <v>288.12783552501514</v>
      </c>
      <c r="E32" s="154">
        <f t="shared" ref="E32:O32" si="8">+E33+E34</f>
        <v>292.5777869344505</v>
      </c>
      <c r="F32" s="154">
        <f t="shared" si="8"/>
        <v>285.93087752651149</v>
      </c>
      <c r="G32" s="154">
        <f t="shared" si="8"/>
        <v>315.76657024171749</v>
      </c>
      <c r="H32" s="154">
        <f t="shared" si="8"/>
        <v>289.83999999999997</v>
      </c>
      <c r="I32" s="154">
        <f t="shared" si="8"/>
        <v>295.7338832272282</v>
      </c>
      <c r="J32" s="154">
        <f t="shared" si="8"/>
        <v>300.36435723315873</v>
      </c>
      <c r="K32" s="154">
        <f t="shared" si="8"/>
        <v>307.26588864574018</v>
      </c>
      <c r="L32" s="154">
        <f t="shared" si="8"/>
        <v>308.84187396920476</v>
      </c>
      <c r="M32" s="154">
        <f t="shared" si="8"/>
        <v>306.51000961353878</v>
      </c>
      <c r="N32" s="154">
        <f t="shared" si="8"/>
        <v>295.40711824390536</v>
      </c>
      <c r="O32" s="154">
        <f t="shared" si="8"/>
        <v>310.93106694673719</v>
      </c>
      <c r="P32" s="213">
        <f t="shared" si="6"/>
        <v>3597.2972681072079</v>
      </c>
      <c r="R32" s="18"/>
    </row>
    <row r="33" spans="2:20">
      <c r="C33" s="214" t="s">
        <v>32</v>
      </c>
      <c r="D33" s="116">
        <v>256.33945882034766</v>
      </c>
      <c r="E33" s="116">
        <v>252.02608963283788</v>
      </c>
      <c r="F33" s="116">
        <v>259.60489399494702</v>
      </c>
      <c r="G33" s="116">
        <v>315.52347553455633</v>
      </c>
      <c r="H33" s="116">
        <v>289.64999999999998</v>
      </c>
      <c r="I33" s="116">
        <v>295.73113122243313</v>
      </c>
      <c r="J33" s="116">
        <v>297.81537483798661</v>
      </c>
      <c r="K33" s="116">
        <v>306.12468990654082</v>
      </c>
      <c r="L33" s="116">
        <v>294.24895347794563</v>
      </c>
      <c r="M33" s="116">
        <f>+'2019'!M33</f>
        <v>306.24528478094913</v>
      </c>
      <c r="N33" s="116">
        <f>+'2019'!N33</f>
        <v>293.32614360782748</v>
      </c>
      <c r="O33" s="116">
        <f>+'2019'!O33</f>
        <v>302.78811597131909</v>
      </c>
      <c r="P33" s="185">
        <f t="shared" si="6"/>
        <v>3469.4236117876908</v>
      </c>
      <c r="R33" s="18"/>
    </row>
    <row r="34" spans="2:20">
      <c r="C34" s="215" t="s">
        <v>33</v>
      </c>
      <c r="D34" s="164">
        <v>31.788376704667495</v>
      </c>
      <c r="E34" s="116">
        <v>40.551697301612634</v>
      </c>
      <c r="F34" s="164">
        <v>26.325983531564475</v>
      </c>
      <c r="G34" s="164">
        <v>0.24309470716118814</v>
      </c>
      <c r="H34" s="164">
        <v>0.19</v>
      </c>
      <c r="I34" s="164">
        <v>2.7520047950744626E-3</v>
      </c>
      <c r="J34" s="164">
        <v>2.5489823951721191</v>
      </c>
      <c r="K34" s="164">
        <v>1.1411987391993403</v>
      </c>
      <c r="L34" s="164">
        <v>14.592920491259099</v>
      </c>
      <c r="M34" s="164">
        <f>+'2019'!M34</f>
        <v>0.26472483258962631</v>
      </c>
      <c r="N34" s="164">
        <f>+'2019'!N34</f>
        <v>2.0809746360778809</v>
      </c>
      <c r="O34" s="164">
        <f>+'2019'!O34</f>
        <v>8.1429509754180902</v>
      </c>
      <c r="P34" s="216">
        <f t="shared" si="6"/>
        <v>127.87365631951701</v>
      </c>
      <c r="R34" s="18"/>
    </row>
    <row r="35" spans="2:20" ht="15">
      <c r="C35" s="217" t="s">
        <v>36</v>
      </c>
      <c r="D35" s="140">
        <f t="shared" ref="D35:O35" si="9">+D36+D37</f>
        <v>1158.9719178077503</v>
      </c>
      <c r="E35" s="154">
        <f t="shared" si="9"/>
        <v>1116.8605078630499</v>
      </c>
      <c r="F35" s="140">
        <f t="shared" si="9"/>
        <v>1546.8165857095737</v>
      </c>
      <c r="G35" s="140">
        <f t="shared" si="9"/>
        <v>1283.4079974594497</v>
      </c>
      <c r="H35" s="140">
        <f t="shared" si="9"/>
        <v>1135.0445239583787</v>
      </c>
      <c r="I35" s="140">
        <f t="shared" si="9"/>
        <v>1090.2527117444843</v>
      </c>
      <c r="J35" s="142">
        <f t="shared" si="9"/>
        <v>1116.953775247166</v>
      </c>
      <c r="K35" s="142">
        <f t="shared" si="9"/>
        <v>1120.1630663613469</v>
      </c>
      <c r="L35" s="142">
        <f t="shared" si="9"/>
        <v>1109.655092253859</v>
      </c>
      <c r="M35" s="142">
        <f t="shared" si="9"/>
        <v>1276.7589587146213</v>
      </c>
      <c r="N35" s="142">
        <f t="shared" si="9"/>
        <v>1277.2826580067194</v>
      </c>
      <c r="O35" s="142">
        <f t="shared" si="9"/>
        <v>1237.8036154744332</v>
      </c>
      <c r="P35" s="218">
        <f t="shared" si="6"/>
        <v>14469.971410600832</v>
      </c>
      <c r="R35" s="18"/>
    </row>
    <row r="36" spans="2:20">
      <c r="C36" s="214" t="s">
        <v>37</v>
      </c>
      <c r="D36" s="116">
        <v>463.58876712310013</v>
      </c>
      <c r="E36" s="116">
        <v>446.74420314521996</v>
      </c>
      <c r="F36" s="116">
        <v>618.72663428382953</v>
      </c>
      <c r="G36" s="116">
        <v>513.36319898377985</v>
      </c>
      <c r="H36" s="116">
        <v>454.01780958335149</v>
      </c>
      <c r="I36" s="116">
        <v>436.10108469779374</v>
      </c>
      <c r="J36" s="116">
        <v>446.78151009886642</v>
      </c>
      <c r="K36" s="116">
        <v>448.06522654453875</v>
      </c>
      <c r="L36" s="116">
        <v>443.86203690154366</v>
      </c>
      <c r="M36" s="116">
        <v>510.70358348584853</v>
      </c>
      <c r="N36" s="116">
        <v>510.91306320268779</v>
      </c>
      <c r="O36" s="116">
        <v>495.12144618977328</v>
      </c>
      <c r="P36" s="185">
        <f t="shared" si="6"/>
        <v>5787.9885642403342</v>
      </c>
      <c r="R36" s="18"/>
      <c r="T36" s="18"/>
    </row>
    <row r="37" spans="2:20">
      <c r="C37" s="214" t="s">
        <v>38</v>
      </c>
      <c r="D37" s="116">
        <v>695.3831506846501</v>
      </c>
      <c r="E37" s="116">
        <v>670.11630471782985</v>
      </c>
      <c r="F37" s="116">
        <v>928.08995142574418</v>
      </c>
      <c r="G37" s="116">
        <v>770.04479847566984</v>
      </c>
      <c r="H37" s="116">
        <v>681.02671437502715</v>
      </c>
      <c r="I37" s="116">
        <v>654.15162704669058</v>
      </c>
      <c r="J37" s="116">
        <v>670.17226514829963</v>
      </c>
      <c r="K37" s="164">
        <v>672.09783981680812</v>
      </c>
      <c r="L37" s="164">
        <v>665.79305535231538</v>
      </c>
      <c r="M37" s="116">
        <v>766.05537522877273</v>
      </c>
      <c r="N37" s="116">
        <v>766.36959480403164</v>
      </c>
      <c r="O37" s="116">
        <v>742.68216928465995</v>
      </c>
      <c r="P37" s="185">
        <f t="shared" si="6"/>
        <v>8681.982846360499</v>
      </c>
      <c r="S37" s="18"/>
      <c r="T37" s="18"/>
    </row>
    <row r="38" spans="2:20" ht="15">
      <c r="B38" s="145"/>
      <c r="C38" s="219" t="s">
        <v>39</v>
      </c>
      <c r="D38" s="146">
        <f t="shared" ref="D38:O38" si="10">+D27+D30-D32-D35</f>
        <v>83107.497759907099</v>
      </c>
      <c r="E38" s="146">
        <f t="shared" si="10"/>
        <v>108178.46965307489</v>
      </c>
      <c r="F38" s="146">
        <f t="shared" si="10"/>
        <v>115757.96064889092</v>
      </c>
      <c r="G38" s="146">
        <f t="shared" si="10"/>
        <v>88501.270877364499</v>
      </c>
      <c r="H38" s="146">
        <f t="shared" si="10"/>
        <v>69738.490750489378</v>
      </c>
      <c r="I38" s="146">
        <f t="shared" si="10"/>
        <v>68426.040533222287</v>
      </c>
      <c r="J38" s="146">
        <f t="shared" si="10"/>
        <v>69803.348670755004</v>
      </c>
      <c r="K38" s="146">
        <f t="shared" si="10"/>
        <v>71496.706012367809</v>
      </c>
      <c r="L38" s="146">
        <f t="shared" si="10"/>
        <v>69489.369870547103</v>
      </c>
      <c r="M38" s="146">
        <f t="shared" si="10"/>
        <v>77323.739124462591</v>
      </c>
      <c r="N38" s="146">
        <f t="shared" si="10"/>
        <v>79497.392156188216</v>
      </c>
      <c r="O38" s="146">
        <f t="shared" si="10"/>
        <v>73593.933997936503</v>
      </c>
      <c r="P38" s="220">
        <f t="shared" si="6"/>
        <v>974914.22005520645</v>
      </c>
      <c r="R38" s="18"/>
    </row>
    <row r="39" spans="2:20" ht="15">
      <c r="B39" s="181"/>
      <c r="C39" s="219" t="s">
        <v>40</v>
      </c>
      <c r="D39" s="192">
        <f t="shared" ref="D39:O39" si="11">+D40+D43+D54</f>
        <v>83107.497759907099</v>
      </c>
      <c r="E39" s="192">
        <f t="shared" si="11"/>
        <v>108178.46965307489</v>
      </c>
      <c r="F39" s="192">
        <f t="shared" si="11"/>
        <v>115757.96064889092</v>
      </c>
      <c r="G39" s="146">
        <f t="shared" si="11"/>
        <v>88501.270877364499</v>
      </c>
      <c r="H39" s="146">
        <f t="shared" si="11"/>
        <v>69738.490750489378</v>
      </c>
      <c r="I39" s="146">
        <f t="shared" si="11"/>
        <v>68426.040533222287</v>
      </c>
      <c r="J39" s="146">
        <f t="shared" si="11"/>
        <v>69803.348670755004</v>
      </c>
      <c r="K39" s="146">
        <f t="shared" si="11"/>
        <v>71496.706012367809</v>
      </c>
      <c r="L39" s="146">
        <f t="shared" si="11"/>
        <v>69489.369870547103</v>
      </c>
      <c r="M39" s="146">
        <f t="shared" si="11"/>
        <v>77323.739124462591</v>
      </c>
      <c r="N39" s="146">
        <f t="shared" si="11"/>
        <v>79497.392156188216</v>
      </c>
      <c r="O39" s="146">
        <f t="shared" si="11"/>
        <v>73593.933997936503</v>
      </c>
      <c r="P39" s="220">
        <f t="shared" si="6"/>
        <v>974914.22005520645</v>
      </c>
      <c r="R39" s="18"/>
    </row>
    <row r="40" spans="2:20" ht="15">
      <c r="C40" s="217" t="s">
        <v>44</v>
      </c>
      <c r="D40" s="142">
        <f t="shared" ref="D40:O40" si="12">+D41+D42</f>
        <v>17903.532899907106</v>
      </c>
      <c r="E40" s="142">
        <f t="shared" si="12"/>
        <v>47387.7782030749</v>
      </c>
      <c r="F40" s="142">
        <f t="shared" si="12"/>
        <v>50636.334768890905</v>
      </c>
      <c r="G40" s="142">
        <f t="shared" si="12"/>
        <v>28276.113077364505</v>
      </c>
      <c r="H40" s="142">
        <f t="shared" si="12"/>
        <v>9350.0313404893968</v>
      </c>
      <c r="I40" s="142">
        <f t="shared" si="12"/>
        <v>11798.53495322229</v>
      </c>
      <c r="J40" s="142">
        <f t="shared" si="12"/>
        <v>12116.977450755003</v>
      </c>
      <c r="K40" s="142">
        <f t="shared" si="12"/>
        <v>13609.726972367804</v>
      </c>
      <c r="L40" s="142">
        <f t="shared" si="12"/>
        <v>12560.693980547105</v>
      </c>
      <c r="M40" s="140">
        <f t="shared" si="12"/>
        <v>18349.408184462598</v>
      </c>
      <c r="N40" s="140">
        <f t="shared" si="12"/>
        <v>21218.306886188198</v>
      </c>
      <c r="O40" s="140">
        <f t="shared" si="12"/>
        <v>12598.8616879365</v>
      </c>
      <c r="P40" s="218">
        <f t="shared" si="6"/>
        <v>255806.30040520628</v>
      </c>
      <c r="R40" s="18"/>
      <c r="S40" s="18"/>
    </row>
    <row r="41" spans="2:20">
      <c r="C41" s="214" t="s">
        <v>41</v>
      </c>
      <c r="D41" s="116">
        <v>17903.532899907106</v>
      </c>
      <c r="E41" s="116">
        <v>47387.7782030749</v>
      </c>
      <c r="F41" s="116">
        <v>50636.334768890905</v>
      </c>
      <c r="G41" s="116">
        <v>28276.113077364505</v>
      </c>
      <c r="H41" s="116">
        <v>9350.0313404893968</v>
      </c>
      <c r="I41" s="116">
        <v>11798.53495322229</v>
      </c>
      <c r="J41" s="116">
        <v>12116.977450755003</v>
      </c>
      <c r="K41" s="116">
        <v>13609.726972367804</v>
      </c>
      <c r="L41" s="116">
        <v>12560.693980547105</v>
      </c>
      <c r="M41" s="116">
        <v>18349.408184462598</v>
      </c>
      <c r="N41" s="116">
        <v>21218.306886188198</v>
      </c>
      <c r="O41" s="116">
        <v>12598.8616879365</v>
      </c>
      <c r="P41" s="185">
        <f t="shared" si="6"/>
        <v>255806.30040520628</v>
      </c>
      <c r="Q41" s="18"/>
      <c r="R41" s="18"/>
    </row>
    <row r="42" spans="2:20">
      <c r="C42" s="214" t="s">
        <v>45</v>
      </c>
      <c r="D42" s="116">
        <v>0</v>
      </c>
      <c r="E42" s="116">
        <v>0</v>
      </c>
      <c r="F42" s="116">
        <v>0</v>
      </c>
      <c r="G42" s="116">
        <v>0</v>
      </c>
      <c r="H42" s="116">
        <v>0</v>
      </c>
      <c r="I42" s="116">
        <v>0</v>
      </c>
      <c r="J42" s="116">
        <v>0</v>
      </c>
      <c r="K42" s="116">
        <v>0</v>
      </c>
      <c r="L42" s="116">
        <v>0</v>
      </c>
      <c r="M42" s="116">
        <v>0</v>
      </c>
      <c r="N42" s="116">
        <v>0</v>
      </c>
      <c r="O42" s="116"/>
      <c r="P42" s="185">
        <f t="shared" si="6"/>
        <v>0</v>
      </c>
      <c r="Q42" s="18"/>
      <c r="R42" s="18"/>
    </row>
    <row r="43" spans="2:20" ht="15">
      <c r="C43" s="217" t="s">
        <v>42</v>
      </c>
      <c r="D43" s="142">
        <f>SUM(D44:D53)</f>
        <v>61496.931589999993</v>
      </c>
      <c r="E43" s="142">
        <f t="shared" ref="E43:O43" si="13">SUM(E44:E53)</f>
        <v>57056.192679999993</v>
      </c>
      <c r="F43" s="142">
        <f t="shared" si="13"/>
        <v>60722.552290000007</v>
      </c>
      <c r="G43" s="142">
        <f t="shared" si="13"/>
        <v>56068.513480000009</v>
      </c>
      <c r="H43" s="142">
        <f t="shared" si="13"/>
        <v>55872.384809999989</v>
      </c>
      <c r="I43" s="142">
        <f t="shared" si="13"/>
        <v>52363.766909999998</v>
      </c>
      <c r="J43" s="142">
        <f t="shared" si="13"/>
        <v>53561.127769999999</v>
      </c>
      <c r="K43" s="142">
        <f t="shared" si="13"/>
        <v>53947.275440000012</v>
      </c>
      <c r="L43" s="142">
        <f t="shared" si="13"/>
        <v>53111.227339999998</v>
      </c>
      <c r="M43" s="142">
        <f t="shared" si="13"/>
        <v>55112.227139999995</v>
      </c>
      <c r="N43" s="142">
        <f t="shared" si="13"/>
        <v>54274.306300000011</v>
      </c>
      <c r="O43" s="142">
        <f t="shared" si="13"/>
        <v>57143.43823</v>
      </c>
      <c r="P43" s="142">
        <f>SUM(P44:P53)</f>
        <v>670729.94397999987</v>
      </c>
      <c r="R43" s="18"/>
    </row>
    <row r="44" spans="2:20">
      <c r="C44" s="214" t="s">
        <v>47</v>
      </c>
      <c r="D44" s="116">
        <v>12330.970690000002</v>
      </c>
      <c r="E44" s="174">
        <v>11850.139100000002</v>
      </c>
      <c r="F44" s="116">
        <v>12765.481419999998</v>
      </c>
      <c r="G44" s="116">
        <v>11718.531999999997</v>
      </c>
      <c r="H44" s="116">
        <v>11686.983930000002</v>
      </c>
      <c r="I44" s="116">
        <v>11112.229630000002</v>
      </c>
      <c r="J44" s="116">
        <v>11344.50236</v>
      </c>
      <c r="K44" s="116">
        <v>11320.72244</v>
      </c>
      <c r="L44" s="116">
        <v>11002.890959999997</v>
      </c>
      <c r="M44" s="116">
        <v>11449.634810000001</v>
      </c>
      <c r="N44" s="116">
        <v>11333.036170000001</v>
      </c>
      <c r="O44" s="116">
        <v>11887.760200000002</v>
      </c>
      <c r="P44" s="185">
        <f t="shared" si="6"/>
        <v>139802.88370999999</v>
      </c>
      <c r="Q44" s="109"/>
      <c r="R44" s="18"/>
    </row>
    <row r="45" spans="2:20">
      <c r="C45" s="214" t="s">
        <v>48</v>
      </c>
      <c r="D45" s="116">
        <v>34799.55629</v>
      </c>
      <c r="E45" s="174">
        <v>33692.988629999993</v>
      </c>
      <c r="F45" s="116">
        <v>36001.954160000008</v>
      </c>
      <c r="G45" s="116">
        <v>32883.017480000002</v>
      </c>
      <c r="H45" s="116">
        <v>32283.159889999995</v>
      </c>
      <c r="I45" s="116">
        <v>30637.989249999999</v>
      </c>
      <c r="J45" s="116">
        <v>31423.290300000004</v>
      </c>
      <c r="K45" s="116">
        <v>31595.431970000001</v>
      </c>
      <c r="L45" s="116">
        <v>30469.562680000003</v>
      </c>
      <c r="M45" s="116">
        <v>31409.560180000004</v>
      </c>
      <c r="N45" s="116">
        <v>30891.405250000003</v>
      </c>
      <c r="O45" s="116">
        <v>32319.660979999997</v>
      </c>
      <c r="P45" s="185">
        <f t="shared" si="6"/>
        <v>388407.57705999992</v>
      </c>
      <c r="Q45" s="109"/>
      <c r="R45" s="18"/>
    </row>
    <row r="46" spans="2:20">
      <c r="C46" s="214" t="s">
        <v>49</v>
      </c>
      <c r="D46" s="116">
        <v>622.65074000000016</v>
      </c>
      <c r="E46" s="174">
        <v>601.53190000000006</v>
      </c>
      <c r="F46" s="116">
        <v>648.62444999999991</v>
      </c>
      <c r="G46" s="116">
        <v>589.21785</v>
      </c>
      <c r="H46" s="116">
        <v>558.39956000000006</v>
      </c>
      <c r="I46" s="116">
        <v>524.88238999999987</v>
      </c>
      <c r="J46" s="116">
        <v>539.81352000000004</v>
      </c>
      <c r="K46" s="116">
        <v>534.82322999999997</v>
      </c>
      <c r="L46" s="116">
        <v>521.43127000000004</v>
      </c>
      <c r="M46" s="116">
        <v>545.09976000000006</v>
      </c>
      <c r="N46" s="116">
        <v>528.20470999999998</v>
      </c>
      <c r="O46" s="116">
        <v>582.74272000000008</v>
      </c>
      <c r="P46" s="185">
        <f t="shared" si="6"/>
        <v>6797.4220999999998</v>
      </c>
      <c r="Q46" s="109"/>
      <c r="R46" s="18"/>
    </row>
    <row r="47" spans="2:20">
      <c r="C47" s="214" t="s">
        <v>50</v>
      </c>
      <c r="D47" s="116">
        <v>1319.3451699999998</v>
      </c>
      <c r="E47" s="174">
        <v>1196.4535699999999</v>
      </c>
      <c r="F47" s="116">
        <v>1243.3732600000001</v>
      </c>
      <c r="G47" s="116">
        <v>1185.94948</v>
      </c>
      <c r="H47" s="116">
        <v>1173.6347700000001</v>
      </c>
      <c r="I47" s="116">
        <v>1150.2816700000001</v>
      </c>
      <c r="J47" s="116">
        <v>1157.5526700000003</v>
      </c>
      <c r="K47" s="116">
        <v>1155.54675</v>
      </c>
      <c r="L47" s="116">
        <v>1124.3564099999999</v>
      </c>
      <c r="M47" s="116">
        <v>1191.42497</v>
      </c>
      <c r="N47" s="116">
        <v>1178.0564999999999</v>
      </c>
      <c r="O47" s="116">
        <v>1256.44102</v>
      </c>
      <c r="P47" s="185">
        <f t="shared" si="6"/>
        <v>14332.416240000002</v>
      </c>
      <c r="Q47" s="109"/>
      <c r="R47" s="18"/>
    </row>
    <row r="48" spans="2:20">
      <c r="C48" s="214" t="s">
        <v>51</v>
      </c>
      <c r="D48" s="116">
        <v>903.84363999999994</v>
      </c>
      <c r="E48" s="174">
        <v>799.76357000000007</v>
      </c>
      <c r="F48" s="116">
        <v>917.28017000000011</v>
      </c>
      <c r="G48" s="116">
        <v>901.18080000000009</v>
      </c>
      <c r="H48" s="116">
        <v>958.87569999999994</v>
      </c>
      <c r="I48" s="116">
        <v>967.77861000000007</v>
      </c>
      <c r="J48" s="116">
        <v>1020.37057</v>
      </c>
      <c r="K48" s="116">
        <v>1028.1029099999998</v>
      </c>
      <c r="L48" s="116">
        <v>1027.9448900000002</v>
      </c>
      <c r="M48" s="116">
        <v>1041.8714100000002</v>
      </c>
      <c r="N48" s="116">
        <v>976.74960000000021</v>
      </c>
      <c r="O48" s="116">
        <v>973.43678999999986</v>
      </c>
      <c r="P48" s="185">
        <f t="shared" si="6"/>
        <v>11517.19866</v>
      </c>
      <c r="Q48" s="109"/>
      <c r="R48" s="18"/>
    </row>
    <row r="49" spans="3:18">
      <c r="C49" s="214" t="s">
        <v>52</v>
      </c>
      <c r="D49" s="116">
        <v>761.56634999999994</v>
      </c>
      <c r="E49" s="174">
        <v>743.46159000000011</v>
      </c>
      <c r="F49" s="116">
        <v>777.40716999999995</v>
      </c>
      <c r="G49" s="116">
        <v>793.10158999999987</v>
      </c>
      <c r="H49" s="116">
        <v>814.37795999999992</v>
      </c>
      <c r="I49" s="116">
        <v>841.50669999999991</v>
      </c>
      <c r="J49" s="116">
        <v>898.80869000000007</v>
      </c>
      <c r="K49" s="116">
        <v>868.10658999999987</v>
      </c>
      <c r="L49" s="116">
        <v>860.81270999999992</v>
      </c>
      <c r="M49" s="116">
        <v>893.26675999999998</v>
      </c>
      <c r="N49" s="116">
        <v>825.29146000000003</v>
      </c>
      <c r="O49" s="116">
        <v>857.94349999999986</v>
      </c>
      <c r="P49" s="185">
        <f t="shared" si="6"/>
        <v>9935.6510699999999</v>
      </c>
      <c r="Q49" s="109"/>
      <c r="R49" s="18"/>
    </row>
    <row r="50" spans="3:18">
      <c r="C50" s="214" t="s">
        <v>90</v>
      </c>
      <c r="D50" s="116">
        <v>1583.55457</v>
      </c>
      <c r="E50" s="174">
        <v>1426.7756899999999</v>
      </c>
      <c r="F50" s="116">
        <v>1593.0615100000002</v>
      </c>
      <c r="G50" s="116">
        <v>1529.78341</v>
      </c>
      <c r="H50" s="116">
        <v>1587.2914500000002</v>
      </c>
      <c r="I50" s="116">
        <v>1512.8235199999999</v>
      </c>
      <c r="J50" s="116">
        <v>1543.99982</v>
      </c>
      <c r="K50" s="116">
        <v>1532.6580300000001</v>
      </c>
      <c r="L50" s="116">
        <v>1511.96477</v>
      </c>
      <c r="M50" s="116">
        <v>1557.0549000000001</v>
      </c>
      <c r="N50" s="116">
        <v>1521.57024</v>
      </c>
      <c r="O50" s="116">
        <v>1559.9052900000002</v>
      </c>
      <c r="P50" s="185">
        <f t="shared" si="6"/>
        <v>18460.443200000002</v>
      </c>
      <c r="Q50" s="109"/>
      <c r="R50" s="18"/>
    </row>
    <row r="51" spans="3:18">
      <c r="C51" s="214" t="s">
        <v>53</v>
      </c>
      <c r="D51" s="116">
        <v>1938.5491</v>
      </c>
      <c r="E51" s="174">
        <v>1691.5996399999997</v>
      </c>
      <c r="F51" s="116">
        <v>1581.9252999999999</v>
      </c>
      <c r="G51" s="116">
        <v>1543.82554</v>
      </c>
      <c r="H51" s="116">
        <v>1619.6753499999998</v>
      </c>
      <c r="I51" s="116">
        <v>1456.79063</v>
      </c>
      <c r="J51" s="116">
        <v>1619.3817399999998</v>
      </c>
      <c r="K51" s="116">
        <v>1968.4035999999999</v>
      </c>
      <c r="L51" s="116">
        <v>1913.50035</v>
      </c>
      <c r="M51" s="116">
        <v>1931.7165699999998</v>
      </c>
      <c r="N51" s="116">
        <v>1539.97748</v>
      </c>
      <c r="O51" s="116">
        <v>1818.8330100000001</v>
      </c>
      <c r="P51" s="185">
        <f t="shared" si="6"/>
        <v>20624.178309999999</v>
      </c>
      <c r="Q51" s="109"/>
      <c r="R51" s="18"/>
    </row>
    <row r="52" spans="3:18">
      <c r="C52" s="214" t="s">
        <v>54</v>
      </c>
      <c r="D52" s="116">
        <v>49.145539999999997</v>
      </c>
      <c r="E52" s="174">
        <v>43.038419999999995</v>
      </c>
      <c r="F52" s="116">
        <v>52.576500000000003</v>
      </c>
      <c r="G52" s="116">
        <v>53.216349999999998</v>
      </c>
      <c r="H52" s="116">
        <v>57.392309999999995</v>
      </c>
      <c r="I52" s="116">
        <v>55.416499999999999</v>
      </c>
      <c r="J52" s="116">
        <v>56.682040000000001</v>
      </c>
      <c r="K52" s="116">
        <v>54.239989999999992</v>
      </c>
      <c r="L52" s="116">
        <v>54.709119999999999</v>
      </c>
      <c r="M52" s="116">
        <v>55.891889999999997</v>
      </c>
      <c r="N52" s="116">
        <v>53.78128000000001</v>
      </c>
      <c r="O52" s="116">
        <v>53.540550000000003</v>
      </c>
      <c r="P52" s="185">
        <f t="shared" si="6"/>
        <v>639.63049000000012</v>
      </c>
      <c r="Q52" s="109"/>
      <c r="R52" s="18"/>
    </row>
    <row r="53" spans="3:18">
      <c r="C53" s="184" t="s">
        <v>93</v>
      </c>
      <c r="D53" s="116">
        <v>7187.7494999999999</v>
      </c>
      <c r="E53" s="116">
        <v>5010.4405699999998</v>
      </c>
      <c r="F53" s="116">
        <v>5140.8683500000006</v>
      </c>
      <c r="G53" s="116">
        <v>4870.6889800000008</v>
      </c>
      <c r="H53" s="116">
        <v>5132.5938900000001</v>
      </c>
      <c r="I53" s="116">
        <v>4104.06801</v>
      </c>
      <c r="J53" s="116">
        <v>3956.72606</v>
      </c>
      <c r="K53" s="116">
        <v>3889.2399299999997</v>
      </c>
      <c r="L53" s="116">
        <v>4624.0541800000001</v>
      </c>
      <c r="M53" s="116">
        <v>5036.7058899999993</v>
      </c>
      <c r="N53" s="116">
        <v>5426.2336100000002</v>
      </c>
      <c r="O53" s="116">
        <v>5833.1741700000002</v>
      </c>
      <c r="P53" s="185">
        <f>SUM(D53:O53)</f>
        <v>60212.543139999994</v>
      </c>
      <c r="Q53" s="109"/>
      <c r="R53" s="18"/>
    </row>
    <row r="54" spans="3:18" ht="15">
      <c r="C54" s="217" t="s">
        <v>43</v>
      </c>
      <c r="D54" s="142">
        <f>+SUM(D55:D61)</f>
        <v>3707.0332699999999</v>
      </c>
      <c r="E54" s="142">
        <f>+SUM(E55:E61)</f>
        <v>3734.4987699999992</v>
      </c>
      <c r="F54" s="142">
        <f>+SUM(F55:F61)</f>
        <v>4399.07359</v>
      </c>
      <c r="G54" s="142">
        <f t="shared" ref="G54:P54" si="14">+SUM(G55:G61)</f>
        <v>4156.6443199999994</v>
      </c>
      <c r="H54" s="142">
        <f t="shared" si="14"/>
        <v>4516.0745999999999</v>
      </c>
      <c r="I54" s="142">
        <f t="shared" si="14"/>
        <v>4263.7386700000006</v>
      </c>
      <c r="J54" s="142">
        <f>+SUM(J55:J61)</f>
        <v>4125.2434499999999</v>
      </c>
      <c r="K54" s="142">
        <f t="shared" si="14"/>
        <v>3939.7035999999998</v>
      </c>
      <c r="L54" s="142">
        <f t="shared" si="14"/>
        <v>3817.4485499999996</v>
      </c>
      <c r="M54" s="142">
        <f t="shared" si="14"/>
        <v>3862.1038000000003</v>
      </c>
      <c r="N54" s="142">
        <f t="shared" si="14"/>
        <v>4004.7789699999994</v>
      </c>
      <c r="O54" s="142">
        <f t="shared" si="14"/>
        <v>3851.6340800000003</v>
      </c>
      <c r="P54" s="142">
        <f t="shared" si="14"/>
        <v>48377.97567</v>
      </c>
      <c r="Q54" s="109"/>
      <c r="R54" s="18"/>
    </row>
    <row r="55" spans="3:18">
      <c r="C55" s="184" t="s">
        <v>56</v>
      </c>
      <c r="D55" s="121">
        <v>1064.37094</v>
      </c>
      <c r="E55" s="121">
        <v>875.83038999999997</v>
      </c>
      <c r="F55" s="121">
        <v>809.20312999999999</v>
      </c>
      <c r="G55" s="121">
        <v>1018.01702</v>
      </c>
      <c r="H55" s="121">
        <v>1178.90335</v>
      </c>
      <c r="I55" s="121">
        <v>1153.5775700000002</v>
      </c>
      <c r="J55" s="116">
        <v>874.04074000000003</v>
      </c>
      <c r="K55" s="116">
        <v>919.07189000000005</v>
      </c>
      <c r="L55" s="121">
        <v>1005.31844</v>
      </c>
      <c r="M55" s="121">
        <v>1013.8690300000001</v>
      </c>
      <c r="N55" s="121">
        <v>1094.9500399999999</v>
      </c>
      <c r="O55" s="121">
        <v>1206.2321000000002</v>
      </c>
      <c r="P55" s="185">
        <f t="shared" si="6"/>
        <v>12213.38464</v>
      </c>
      <c r="Q55" s="109"/>
      <c r="R55" s="18"/>
    </row>
    <row r="56" spans="3:18">
      <c r="C56" s="184" t="s">
        <v>59</v>
      </c>
      <c r="D56" s="121">
        <v>1183.50154</v>
      </c>
      <c r="E56" s="121">
        <v>1320.5526399999999</v>
      </c>
      <c r="F56" s="121">
        <v>1479.0415</v>
      </c>
      <c r="G56" s="121">
        <v>1174.7085300000001</v>
      </c>
      <c r="H56" s="121">
        <v>1329.7346299999999</v>
      </c>
      <c r="I56" s="121">
        <v>1245.73921</v>
      </c>
      <c r="J56" s="116">
        <v>1256.5352499999999</v>
      </c>
      <c r="K56" s="116">
        <v>1072.61725</v>
      </c>
      <c r="L56" s="121">
        <v>940.31644999999992</v>
      </c>
      <c r="M56" s="121">
        <v>999.23317000000009</v>
      </c>
      <c r="N56" s="121">
        <v>1106.1063899999999</v>
      </c>
      <c r="O56" s="121">
        <v>875.03099999999995</v>
      </c>
      <c r="P56" s="185">
        <f t="shared" si="6"/>
        <v>13983.117559999999</v>
      </c>
      <c r="Q56" s="109"/>
      <c r="R56" s="18"/>
    </row>
    <row r="57" spans="3:18">
      <c r="C57" s="184" t="s">
        <v>89</v>
      </c>
      <c r="D57" s="121">
        <v>224.46007999999998</v>
      </c>
      <c r="E57" s="121">
        <v>209.18875</v>
      </c>
      <c r="F57" s="121">
        <v>228.60396000000003</v>
      </c>
      <c r="G57" s="121">
        <v>212.95136000000002</v>
      </c>
      <c r="H57" s="121">
        <v>212.91764999999998</v>
      </c>
      <c r="I57" s="121">
        <v>202.52126999999999</v>
      </c>
      <c r="J57" s="116">
        <v>249.31908999999999</v>
      </c>
      <c r="K57" s="116">
        <v>216.46636999999998</v>
      </c>
      <c r="L57" s="121">
        <v>213.12469000000002</v>
      </c>
      <c r="M57" s="121">
        <v>233.16810999999998</v>
      </c>
      <c r="N57" s="121">
        <v>227.69368000000003</v>
      </c>
      <c r="O57" s="121">
        <v>231.13652000000002</v>
      </c>
      <c r="P57" s="185">
        <f t="shared" si="6"/>
        <v>2661.5515299999997</v>
      </c>
      <c r="Q57" s="109"/>
      <c r="R57" s="18"/>
    </row>
    <row r="58" spans="3:18">
      <c r="C58" s="184" t="s">
        <v>94</v>
      </c>
      <c r="D58" s="121">
        <v>406.54124999999999</v>
      </c>
      <c r="E58" s="121">
        <v>366.94499000000002</v>
      </c>
      <c r="F58" s="121">
        <v>400.28144999999995</v>
      </c>
      <c r="G58" s="121">
        <v>366.38504999999998</v>
      </c>
      <c r="H58" s="121">
        <v>425.06234999999998</v>
      </c>
      <c r="I58" s="121">
        <v>395.35285999999996</v>
      </c>
      <c r="J58" s="116">
        <v>413.13617000000005</v>
      </c>
      <c r="K58" s="116">
        <v>397.23631</v>
      </c>
      <c r="L58" s="121">
        <v>394.87678999999997</v>
      </c>
      <c r="M58" s="121">
        <v>404.88915999999995</v>
      </c>
      <c r="N58" s="121">
        <v>365.69130999999999</v>
      </c>
      <c r="O58" s="121">
        <v>306.17158000000001</v>
      </c>
      <c r="P58" s="185">
        <f t="shared" si="6"/>
        <v>4642.56927</v>
      </c>
      <c r="Q58" s="109"/>
      <c r="R58" s="18"/>
    </row>
    <row r="59" spans="3:18">
      <c r="C59" s="184" t="s">
        <v>95</v>
      </c>
      <c r="D59" s="121">
        <v>828.15945999999997</v>
      </c>
      <c r="E59" s="121">
        <v>827.14716999999996</v>
      </c>
      <c r="F59" s="121">
        <v>1095.65308</v>
      </c>
      <c r="G59" s="121">
        <v>1056.1338999999998</v>
      </c>
      <c r="H59" s="121">
        <v>1050.8890100000001</v>
      </c>
      <c r="I59" s="121">
        <v>936.16845000000001</v>
      </c>
      <c r="J59" s="116">
        <v>908.64303000000007</v>
      </c>
      <c r="K59" s="116">
        <v>892.27406000000008</v>
      </c>
      <c r="L59" s="121">
        <v>822.03931</v>
      </c>
      <c r="M59" s="121">
        <v>833.84130000000005</v>
      </c>
      <c r="N59" s="121">
        <v>775.89195999999993</v>
      </c>
      <c r="O59" s="121">
        <v>723.41183000000012</v>
      </c>
      <c r="P59" s="185">
        <f t="shared" si="6"/>
        <v>10750.252560000001</v>
      </c>
      <c r="Q59" s="109"/>
      <c r="R59" s="18"/>
    </row>
    <row r="60" spans="3:18">
      <c r="C60" s="184" t="s">
        <v>96</v>
      </c>
      <c r="D60" s="121">
        <v>0</v>
      </c>
      <c r="E60" s="121">
        <v>134.83482999999998</v>
      </c>
      <c r="F60" s="121">
        <v>148.12654000000001</v>
      </c>
      <c r="G60" s="121">
        <v>140.62110000000001</v>
      </c>
      <c r="H60" s="121">
        <v>155.92572999999999</v>
      </c>
      <c r="I60" s="121">
        <v>149.68076000000002</v>
      </c>
      <c r="J60" s="116">
        <v>169.41900000000001</v>
      </c>
      <c r="K60" s="116">
        <v>177.19055</v>
      </c>
      <c r="L60" s="121">
        <v>193.78854999999999</v>
      </c>
      <c r="M60" s="121">
        <v>190.84011999999998</v>
      </c>
      <c r="N60" s="121">
        <v>156.36073999999999</v>
      </c>
      <c r="O60" s="121">
        <v>170.32733999999999</v>
      </c>
      <c r="P60" s="185">
        <f t="shared" si="6"/>
        <v>1787.11526</v>
      </c>
      <c r="Q60" s="109"/>
      <c r="R60" s="18"/>
    </row>
    <row r="61" spans="3:18" ht="15" thickBot="1">
      <c r="C61" s="187" t="s">
        <v>98</v>
      </c>
      <c r="D61" s="151">
        <v>0</v>
      </c>
      <c r="E61" s="151">
        <v>0</v>
      </c>
      <c r="F61" s="151">
        <v>238.16392999999999</v>
      </c>
      <c r="G61" s="151">
        <v>187.82736</v>
      </c>
      <c r="H61" s="151">
        <v>162.64188000000001</v>
      </c>
      <c r="I61" s="151">
        <v>180.69854999999998</v>
      </c>
      <c r="J61" s="177">
        <v>254.15016999999997</v>
      </c>
      <c r="K61" s="177">
        <v>264.84717000000006</v>
      </c>
      <c r="L61" s="151">
        <v>247.98432</v>
      </c>
      <c r="M61" s="151">
        <v>186.26290999999998</v>
      </c>
      <c r="N61" s="151">
        <v>278.08484999999996</v>
      </c>
      <c r="O61" s="151">
        <v>339.32371000000001</v>
      </c>
      <c r="P61" s="188">
        <f t="shared" si="6"/>
        <v>2339.9848499999998</v>
      </c>
      <c r="Q61" s="109"/>
      <c r="R61" s="18"/>
    </row>
    <row r="62" spans="3:18" ht="15" thickTop="1">
      <c r="D62" s="183">
        <f t="shared" ref="D62:O62" si="15">+D33/D28</f>
        <v>3.4208612262826197E-3</v>
      </c>
      <c r="E62" s="183">
        <f t="shared" si="15"/>
        <v>2.5837722607734356E-3</v>
      </c>
      <c r="F62" s="183">
        <f t="shared" si="15"/>
        <v>2.400077004467485E-3</v>
      </c>
      <c r="G62" s="183">
        <f t="shared" si="15"/>
        <v>3.5029546327576839E-3</v>
      </c>
      <c r="H62" s="183">
        <f t="shared" si="15"/>
        <v>4.0713696355111663E-3</v>
      </c>
      <c r="I62" s="183">
        <f t="shared" si="15"/>
        <v>4.2376969932129025E-3</v>
      </c>
      <c r="J62" s="183">
        <f t="shared" si="15"/>
        <v>4.1837842616117803E-3</v>
      </c>
      <c r="K62" s="183">
        <f t="shared" si="15"/>
        <v>4.1984780862952447E-3</v>
      </c>
      <c r="L62" s="183">
        <f t="shared" si="15"/>
        <v>4.170298124178711E-3</v>
      </c>
      <c r="M62" s="183">
        <f t="shared" si="15"/>
        <v>3.8826886001499211E-3</v>
      </c>
      <c r="N62" s="183">
        <f t="shared" si="15"/>
        <v>3.6201322428538419E-3</v>
      </c>
      <c r="O62" s="183">
        <f t="shared" si="15"/>
        <v>4.0356340435439338E-3</v>
      </c>
      <c r="R62" s="18"/>
    </row>
    <row r="63" spans="3:18">
      <c r="D63" s="35"/>
      <c r="E63" s="39"/>
      <c r="F63" s="35"/>
      <c r="G63" s="35"/>
      <c r="H63" s="35"/>
      <c r="L63" s="18"/>
      <c r="M63" s="18"/>
      <c r="R63" s="109"/>
    </row>
    <row r="64" spans="3:18">
      <c r="C64" s="3" t="s">
        <v>92</v>
      </c>
      <c r="D64" s="35"/>
      <c r="E64" s="39"/>
      <c r="F64" s="35"/>
      <c r="G64" s="35"/>
      <c r="H64" s="35"/>
      <c r="L64" s="18"/>
      <c r="M64" s="18"/>
      <c r="R64" s="109"/>
    </row>
    <row r="65" spans="1:256" s="11" customFormat="1">
      <c r="A65" s="3"/>
      <c r="B65" s="3"/>
      <c r="C65" s="3"/>
      <c r="D65" s="106">
        <f t="shared" ref="D65:O65" si="16">D39-D40</f>
        <v>65203.964859999993</v>
      </c>
      <c r="E65" s="106">
        <f t="shared" si="16"/>
        <v>60790.691449999991</v>
      </c>
      <c r="F65" s="106">
        <f t="shared" si="16"/>
        <v>65121.625880000014</v>
      </c>
      <c r="G65" s="106">
        <f t="shared" si="16"/>
        <v>60225.157799999994</v>
      </c>
      <c r="H65" s="106">
        <f t="shared" si="16"/>
        <v>60388.459409999981</v>
      </c>
      <c r="I65" s="106">
        <f t="shared" si="16"/>
        <v>56627.505579999997</v>
      </c>
      <c r="J65" s="106">
        <f t="shared" si="16"/>
        <v>57686.371220000001</v>
      </c>
      <c r="K65" s="106">
        <f t="shared" si="16"/>
        <v>57886.979040000006</v>
      </c>
      <c r="L65" s="106">
        <f t="shared" si="16"/>
        <v>56928.675889999999</v>
      </c>
      <c r="M65" s="106">
        <f t="shared" si="16"/>
        <v>58974.330939999993</v>
      </c>
      <c r="N65" s="106">
        <f t="shared" si="16"/>
        <v>58279.085270000018</v>
      </c>
      <c r="O65" s="106">
        <f t="shared" si="16"/>
        <v>60995.072310000003</v>
      </c>
    </row>
    <row r="66" spans="1:256"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</row>
    <row r="67" spans="1:256" ht="15">
      <c r="D67" s="89">
        <f t="shared" ref="D67:O67" si="17">+D38-D39</f>
        <v>0</v>
      </c>
      <c r="E67" s="89">
        <f t="shared" si="17"/>
        <v>0</v>
      </c>
      <c r="F67" s="89">
        <f t="shared" si="17"/>
        <v>0</v>
      </c>
      <c r="G67" s="89">
        <f>+G38-G39</f>
        <v>0</v>
      </c>
      <c r="H67" s="89">
        <f t="shared" si="17"/>
        <v>0</v>
      </c>
      <c r="I67" s="89">
        <f t="shared" si="17"/>
        <v>0</v>
      </c>
      <c r="J67" s="89">
        <f t="shared" si="17"/>
        <v>0</v>
      </c>
      <c r="K67" s="89">
        <f t="shared" si="17"/>
        <v>0</v>
      </c>
      <c r="L67" s="89">
        <f t="shared" si="17"/>
        <v>0</v>
      </c>
      <c r="M67" s="89">
        <f t="shared" si="17"/>
        <v>0</v>
      </c>
      <c r="N67" s="89">
        <f t="shared" si="17"/>
        <v>0</v>
      </c>
      <c r="O67" s="89">
        <f t="shared" si="17"/>
        <v>0</v>
      </c>
      <c r="P67" s="89"/>
      <c r="R67" s="90"/>
    </row>
    <row r="68" spans="1:256">
      <c r="C68" s="193"/>
      <c r="D68" s="89">
        <f t="shared" ref="D68:O68" si="18">+D67*0.4</f>
        <v>0</v>
      </c>
      <c r="E68" s="89">
        <f t="shared" si="18"/>
        <v>0</v>
      </c>
      <c r="F68" s="89">
        <f t="shared" si="18"/>
        <v>0</v>
      </c>
      <c r="G68" s="89">
        <f>+G67*0.4</f>
        <v>0</v>
      </c>
      <c r="H68" s="89">
        <f t="shared" si="18"/>
        <v>0</v>
      </c>
      <c r="I68" s="89">
        <f>+I67*0.4</f>
        <v>0</v>
      </c>
      <c r="J68" s="89">
        <f t="shared" si="18"/>
        <v>0</v>
      </c>
      <c r="K68" s="89">
        <f t="shared" si="18"/>
        <v>0</v>
      </c>
      <c r="L68" s="89">
        <f t="shared" si="18"/>
        <v>0</v>
      </c>
      <c r="M68" s="89">
        <f t="shared" si="18"/>
        <v>0</v>
      </c>
      <c r="N68" s="89">
        <f t="shared" si="18"/>
        <v>0</v>
      </c>
      <c r="O68" s="89">
        <f t="shared" si="18"/>
        <v>0</v>
      </c>
      <c r="P68" s="89"/>
    </row>
    <row r="69" spans="1:256">
      <c r="D69" s="109">
        <f>+D67*0.6</f>
        <v>0</v>
      </c>
      <c r="E69" s="109">
        <f t="shared" ref="E69:O69" si="19">+E67*0.6</f>
        <v>0</v>
      </c>
      <c r="F69" s="109">
        <f t="shared" si="19"/>
        <v>0</v>
      </c>
      <c r="G69" s="109">
        <f t="shared" si="19"/>
        <v>0</v>
      </c>
      <c r="H69" s="109">
        <f t="shared" si="19"/>
        <v>0</v>
      </c>
      <c r="I69" s="109">
        <f t="shared" si="19"/>
        <v>0</v>
      </c>
      <c r="J69" s="109">
        <f t="shared" si="19"/>
        <v>0</v>
      </c>
      <c r="K69" s="109">
        <f t="shared" si="19"/>
        <v>0</v>
      </c>
      <c r="L69" s="109">
        <f t="shared" si="19"/>
        <v>0</v>
      </c>
      <c r="M69" s="109">
        <f t="shared" si="19"/>
        <v>0</v>
      </c>
      <c r="N69" s="109">
        <f t="shared" si="19"/>
        <v>0</v>
      </c>
      <c r="O69" s="109">
        <f t="shared" si="19"/>
        <v>0</v>
      </c>
      <c r="P69" s="89"/>
    </row>
    <row r="71" spans="1:256">
      <c r="D71" s="181">
        <f>+D54+D43</f>
        <v>65203.964859999993</v>
      </c>
      <c r="E71" s="181">
        <f t="shared" ref="E71:O71" si="20">+E54+E43</f>
        <v>60790.691449999991</v>
      </c>
      <c r="F71" s="181">
        <f t="shared" si="20"/>
        <v>65121.625880000007</v>
      </c>
      <c r="G71" s="181">
        <f t="shared" si="20"/>
        <v>60225.157800000008</v>
      </c>
      <c r="H71" s="181">
        <f t="shared" si="20"/>
        <v>60388.459409999989</v>
      </c>
      <c r="I71" s="181">
        <f t="shared" si="20"/>
        <v>56627.505579999997</v>
      </c>
      <c r="J71" s="181">
        <f t="shared" si="20"/>
        <v>57686.371220000001</v>
      </c>
      <c r="K71" s="181">
        <f t="shared" si="20"/>
        <v>57886.979040000013</v>
      </c>
      <c r="L71" s="181">
        <f t="shared" si="20"/>
        <v>56928.675889999999</v>
      </c>
      <c r="M71" s="181">
        <f t="shared" si="20"/>
        <v>58974.330939999993</v>
      </c>
      <c r="N71" s="181">
        <f t="shared" si="20"/>
        <v>58279.08527000001</v>
      </c>
      <c r="O71" s="181">
        <f t="shared" si="20"/>
        <v>60995.072310000003</v>
      </c>
    </row>
  </sheetData>
  <printOptions horizontalCentered="1"/>
  <pageMargins left="0.39370078740157483" right="0.39370078740157483" top="1.3779527559055118" bottom="1" header="0" footer="0"/>
  <pageSetup paperSize="9" scale="50" orientation="landscape" horizontalDpi="4294967295" verticalDpi="4294967295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9DCE-6ED2-4C50-8B0D-F6D45B34498C}">
  <sheetPr codeName="Sheet9">
    <pageSetUpPr fitToPage="1"/>
  </sheetPr>
  <dimension ref="A1:IV81"/>
  <sheetViews>
    <sheetView view="pageBreakPreview" topLeftCell="A24" zoomScale="70" zoomScaleNormal="80" zoomScaleSheetLayoutView="70" workbookViewId="0">
      <pane xSplit="3" ySplit="3" topLeftCell="I27" activePane="bottomRight" state="frozen"/>
      <selection activeCell="G38" sqref="G38"/>
      <selection pane="topRight" activeCell="G38" sqref="G38"/>
      <selection pane="bottomLeft" activeCell="G38" sqref="G38"/>
      <selection pane="bottomRight" activeCell="K31" sqref="K31"/>
    </sheetView>
  </sheetViews>
  <sheetFormatPr baseColWidth="10" defaultColWidth="9" defaultRowHeight="14.25"/>
  <cols>
    <col min="1" max="1" width="3" style="3" customWidth="1"/>
    <col min="2" max="2" width="15.140625" style="3" customWidth="1"/>
    <col min="3" max="3" width="41.5703125" style="3" bestFit="1" customWidth="1"/>
    <col min="4" max="5" width="18.7109375" style="3" customWidth="1"/>
    <col min="6" max="6" width="15.42578125" style="3" bestFit="1" customWidth="1"/>
    <col min="7" max="7" width="15.85546875" style="3" bestFit="1" customWidth="1"/>
    <col min="8" max="8" width="18.7109375" style="3" bestFit="1" customWidth="1"/>
    <col min="9" max="10" width="18.7109375" style="3" customWidth="1"/>
    <col min="11" max="11" width="15.85546875" style="3" bestFit="1" customWidth="1"/>
    <col min="12" max="12" width="18.7109375" style="3" bestFit="1" customWidth="1"/>
    <col min="13" max="13" width="18.7109375" style="3" customWidth="1"/>
    <col min="14" max="14" width="20.140625" style="3" bestFit="1" customWidth="1"/>
    <col min="15" max="15" width="18.42578125" style="3" customWidth="1"/>
    <col min="16" max="16" width="21.85546875" style="3" customWidth="1"/>
    <col min="17" max="17" width="13.28515625" style="3" customWidth="1"/>
    <col min="18" max="18" width="15.7109375" style="3" customWidth="1"/>
    <col min="19" max="16384" width="9" style="3"/>
  </cols>
  <sheetData>
    <row r="1" spans="3:16" hidden="1"/>
    <row r="2" spans="3:16" hidden="1"/>
    <row r="3" spans="3:16" ht="15" hidden="1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3:16" ht="15" hidden="1">
      <c r="C4" s="1" t="s">
        <v>61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3:16" hidden="1"/>
    <row r="6" spans="3:16" ht="15.75" hidden="1" thickTop="1">
      <c r="C6" s="4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6" t="s">
        <v>13</v>
      </c>
      <c r="P6" s="7" t="s">
        <v>14</v>
      </c>
    </row>
    <row r="7" spans="3:16" ht="15" hidden="1">
      <c r="C7" s="8" t="s">
        <v>15</v>
      </c>
      <c r="D7" s="9"/>
      <c r="E7" s="9"/>
      <c r="F7" s="10"/>
      <c r="G7" s="10"/>
      <c r="H7" s="10"/>
      <c r="I7" s="10"/>
      <c r="J7" s="10"/>
      <c r="K7" s="11"/>
      <c r="L7" s="10"/>
      <c r="M7" s="10"/>
      <c r="N7" s="10"/>
      <c r="O7" s="12"/>
      <c r="P7" s="13"/>
    </row>
    <row r="8" spans="3:16" hidden="1">
      <c r="C8" s="14" t="s">
        <v>16</v>
      </c>
      <c r="D8" s="41">
        <v>1131.6971148209116</v>
      </c>
      <c r="E8" s="41"/>
      <c r="F8" s="42"/>
      <c r="G8" s="42"/>
      <c r="H8" s="42"/>
      <c r="I8" s="42"/>
      <c r="J8" s="42"/>
      <c r="K8" s="43"/>
      <c r="L8" s="42"/>
      <c r="M8" s="42"/>
      <c r="N8" s="42"/>
      <c r="O8" s="44"/>
      <c r="P8" s="45">
        <f t="shared" ref="P8:P14" si="0">+SUM(D8:O8)</f>
        <v>1131.6971148209116</v>
      </c>
    </row>
    <row r="9" spans="3:16" hidden="1">
      <c r="C9" s="14" t="s">
        <v>17</v>
      </c>
      <c r="D9" s="41">
        <v>404.734522462212</v>
      </c>
      <c r="E9" s="41"/>
      <c r="F9" s="42"/>
      <c r="G9" s="42"/>
      <c r="H9" s="42"/>
      <c r="I9" s="42"/>
      <c r="J9" s="42"/>
      <c r="K9" s="43"/>
      <c r="L9" s="42"/>
      <c r="M9" s="42"/>
      <c r="N9" s="42"/>
      <c r="O9" s="44"/>
      <c r="P9" s="45">
        <f t="shared" si="0"/>
        <v>404.734522462212</v>
      </c>
    </row>
    <row r="10" spans="3:16" hidden="1">
      <c r="C10" s="14" t="s">
        <v>18</v>
      </c>
      <c r="D10" s="41">
        <v>3164.3521362183096</v>
      </c>
      <c r="E10" s="41"/>
      <c r="F10" s="42"/>
      <c r="G10" s="42"/>
      <c r="H10" s="42"/>
      <c r="I10" s="42"/>
      <c r="J10" s="42"/>
      <c r="K10" s="43"/>
      <c r="L10" s="42"/>
      <c r="M10" s="42"/>
      <c r="N10" s="42"/>
      <c r="O10" s="44"/>
      <c r="P10" s="45">
        <f t="shared" si="0"/>
        <v>3164.3521362183096</v>
      </c>
    </row>
    <row r="11" spans="3:16" hidden="1">
      <c r="C11" s="14" t="s">
        <v>19</v>
      </c>
      <c r="D11" s="41">
        <v>7358.1596698372414</v>
      </c>
      <c r="E11" s="41"/>
      <c r="F11" s="42"/>
      <c r="G11" s="42"/>
      <c r="H11" s="42"/>
      <c r="I11" s="42"/>
      <c r="J11" s="42"/>
      <c r="K11" s="43"/>
      <c r="L11" s="42"/>
      <c r="M11" s="42"/>
      <c r="N11" s="42"/>
      <c r="O11" s="44"/>
      <c r="P11" s="45">
        <f t="shared" si="0"/>
        <v>7358.1596698372414</v>
      </c>
    </row>
    <row r="12" spans="3:16" hidden="1">
      <c r="C12" s="14" t="s">
        <v>20</v>
      </c>
      <c r="D12" s="41">
        <v>44993.962609077455</v>
      </c>
      <c r="E12" s="41"/>
      <c r="F12" s="42"/>
      <c r="G12" s="42"/>
      <c r="H12" s="42"/>
      <c r="I12" s="42"/>
      <c r="J12" s="42"/>
      <c r="K12" s="43"/>
      <c r="L12" s="42"/>
      <c r="M12" s="42"/>
      <c r="N12" s="42"/>
      <c r="O12" s="44"/>
      <c r="P12" s="45">
        <f t="shared" si="0"/>
        <v>44993.962609077455</v>
      </c>
    </row>
    <row r="13" spans="3:16" hidden="1">
      <c r="C13" s="14" t="s">
        <v>21</v>
      </c>
      <c r="D13" s="41">
        <v>4089.3768671579624</v>
      </c>
      <c r="E13" s="41"/>
      <c r="F13" s="42"/>
      <c r="G13" s="42"/>
      <c r="H13" s="42"/>
      <c r="I13" s="42"/>
      <c r="J13" s="42"/>
      <c r="K13" s="43"/>
      <c r="L13" s="42"/>
      <c r="M13" s="42"/>
      <c r="N13" s="42"/>
      <c r="O13" s="44"/>
      <c r="P13" s="45">
        <f t="shared" si="0"/>
        <v>4089.3768671579624</v>
      </c>
    </row>
    <row r="14" spans="3:16" ht="15" hidden="1">
      <c r="C14" s="15" t="s">
        <v>22</v>
      </c>
      <c r="D14" s="46">
        <f t="shared" ref="D14:O14" si="1">SUM(D8:D13)</f>
        <v>61142.282919574092</v>
      </c>
      <c r="E14" s="46">
        <f t="shared" si="1"/>
        <v>0</v>
      </c>
      <c r="F14" s="46">
        <f t="shared" si="1"/>
        <v>0</v>
      </c>
      <c r="G14" s="46">
        <f t="shared" si="1"/>
        <v>0</v>
      </c>
      <c r="H14" s="46">
        <f t="shared" si="1"/>
        <v>0</v>
      </c>
      <c r="I14" s="46">
        <f t="shared" si="1"/>
        <v>0</v>
      </c>
      <c r="J14" s="46">
        <f t="shared" si="1"/>
        <v>0</v>
      </c>
      <c r="K14" s="46">
        <f t="shared" si="1"/>
        <v>0</v>
      </c>
      <c r="L14" s="46">
        <f t="shared" si="1"/>
        <v>0</v>
      </c>
      <c r="M14" s="46">
        <f t="shared" si="1"/>
        <v>0</v>
      </c>
      <c r="N14" s="46">
        <f t="shared" si="1"/>
        <v>0</v>
      </c>
      <c r="O14" s="47">
        <f t="shared" si="1"/>
        <v>0</v>
      </c>
      <c r="P14" s="48">
        <f t="shared" si="0"/>
        <v>61142.282919574092</v>
      </c>
    </row>
    <row r="15" spans="3:16" ht="15" hidden="1">
      <c r="C15" s="8" t="s">
        <v>23</v>
      </c>
      <c r="D15" s="16"/>
      <c r="E15" s="16"/>
      <c r="F15" s="17"/>
      <c r="G15" s="17"/>
      <c r="H15" s="17"/>
      <c r="I15" s="17"/>
      <c r="J15" s="17"/>
      <c r="K15" s="18"/>
      <c r="L15" s="42"/>
      <c r="M15" s="42"/>
      <c r="N15" s="42"/>
      <c r="O15" s="44"/>
      <c r="P15" s="19"/>
    </row>
    <row r="16" spans="3:16" hidden="1">
      <c r="C16" s="20" t="s">
        <v>24</v>
      </c>
      <c r="D16" s="41">
        <v>0</v>
      </c>
      <c r="E16" s="41"/>
      <c r="F16" s="42"/>
      <c r="G16" s="42"/>
      <c r="H16" s="42"/>
      <c r="I16" s="42"/>
      <c r="J16" s="42"/>
      <c r="K16" s="43"/>
      <c r="L16" s="42"/>
      <c r="M16" s="42"/>
      <c r="N16" s="42"/>
      <c r="O16" s="44"/>
      <c r="P16" s="45">
        <f t="shared" ref="P16:P22" si="2">+SUM(D16:O16)</f>
        <v>0</v>
      </c>
    </row>
    <row r="17" spans="3:18" hidden="1">
      <c r="C17" s="14" t="s">
        <v>25</v>
      </c>
      <c r="D17" s="41">
        <v>11.521423099517822</v>
      </c>
      <c r="E17" s="41"/>
      <c r="F17" s="42"/>
      <c r="G17" s="42"/>
      <c r="H17" s="42"/>
      <c r="I17" s="42"/>
      <c r="J17" s="42"/>
      <c r="K17" s="43"/>
      <c r="L17" s="42"/>
      <c r="M17" s="42"/>
      <c r="N17" s="42"/>
      <c r="O17" s="44"/>
      <c r="P17" s="45">
        <f t="shared" si="2"/>
        <v>11.521423099517822</v>
      </c>
    </row>
    <row r="18" spans="3:18" hidden="1">
      <c r="C18" s="20" t="s">
        <v>26</v>
      </c>
      <c r="D18" s="41">
        <v>701.38252152369171</v>
      </c>
      <c r="E18" s="41"/>
      <c r="F18" s="42"/>
      <c r="G18" s="42"/>
      <c r="H18" s="42"/>
      <c r="I18" s="42"/>
      <c r="J18" s="42"/>
      <c r="K18" s="43"/>
      <c r="L18" s="42"/>
      <c r="M18" s="42"/>
      <c r="N18" s="42"/>
      <c r="O18" s="44"/>
      <c r="P18" s="45">
        <f t="shared" si="2"/>
        <v>701.38252152369171</v>
      </c>
      <c r="Q18" s="21"/>
    </row>
    <row r="19" spans="3:18" hidden="1">
      <c r="C19" s="20" t="s">
        <v>27</v>
      </c>
      <c r="D19" s="41">
        <v>1338.8287362799645</v>
      </c>
      <c r="E19" s="41"/>
      <c r="F19" s="42"/>
      <c r="G19" s="42"/>
      <c r="H19" s="42"/>
      <c r="I19" s="42"/>
      <c r="J19" s="42"/>
      <c r="K19" s="43"/>
      <c r="L19" s="42"/>
      <c r="M19" s="42"/>
      <c r="N19" s="42"/>
      <c r="O19" s="44"/>
      <c r="P19" s="45">
        <f t="shared" si="2"/>
        <v>1338.8287362799645</v>
      </c>
      <c r="Q19" s="21"/>
    </row>
    <row r="20" spans="3:18" hidden="1">
      <c r="C20" s="40" t="s">
        <v>46</v>
      </c>
      <c r="D20" s="41">
        <v>35832.494704200879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3"/>
      <c r="P20" s="45">
        <f t="shared" si="2"/>
        <v>35832.494704200879</v>
      </c>
      <c r="Q20" s="21"/>
    </row>
    <row r="21" spans="3:18" ht="15" hidden="1">
      <c r="C21" s="15" t="s">
        <v>28</v>
      </c>
      <c r="D21" s="46">
        <f t="shared" ref="D21:O21" si="3">SUM(D16:D20)</f>
        <v>37884.227385104052</v>
      </c>
      <c r="E21" s="46">
        <f t="shared" si="3"/>
        <v>0</v>
      </c>
      <c r="F21" s="46">
        <f t="shared" si="3"/>
        <v>0</v>
      </c>
      <c r="G21" s="46">
        <f t="shared" si="3"/>
        <v>0</v>
      </c>
      <c r="H21" s="46">
        <f t="shared" si="3"/>
        <v>0</v>
      </c>
      <c r="I21" s="46">
        <f t="shared" si="3"/>
        <v>0</v>
      </c>
      <c r="J21" s="46">
        <f t="shared" si="3"/>
        <v>0</v>
      </c>
      <c r="K21" s="46">
        <f t="shared" si="3"/>
        <v>0</v>
      </c>
      <c r="L21" s="46">
        <f t="shared" si="3"/>
        <v>0</v>
      </c>
      <c r="M21" s="46">
        <f t="shared" si="3"/>
        <v>0</v>
      </c>
      <c r="N21" s="46">
        <f t="shared" si="3"/>
        <v>0</v>
      </c>
      <c r="O21" s="47">
        <f t="shared" si="3"/>
        <v>0</v>
      </c>
      <c r="P21" s="48">
        <f t="shared" si="2"/>
        <v>37884.227385104052</v>
      </c>
    </row>
    <row r="22" spans="3:18" ht="15.75" hidden="1" thickBot="1">
      <c r="C22" s="22" t="s">
        <v>29</v>
      </c>
      <c r="D22" s="49">
        <f t="shared" ref="D22:O22" si="4">+D14+D21</f>
        <v>99026.510304678144</v>
      </c>
      <c r="E22" s="49">
        <f t="shared" si="4"/>
        <v>0</v>
      </c>
      <c r="F22" s="49">
        <f t="shared" si="4"/>
        <v>0</v>
      </c>
      <c r="G22" s="49">
        <f t="shared" si="4"/>
        <v>0</v>
      </c>
      <c r="H22" s="49">
        <f t="shared" si="4"/>
        <v>0</v>
      </c>
      <c r="I22" s="49">
        <f t="shared" si="4"/>
        <v>0</v>
      </c>
      <c r="J22" s="49">
        <f t="shared" si="4"/>
        <v>0</v>
      </c>
      <c r="K22" s="49">
        <f t="shared" si="4"/>
        <v>0</v>
      </c>
      <c r="L22" s="49">
        <f t="shared" si="4"/>
        <v>0</v>
      </c>
      <c r="M22" s="49">
        <f t="shared" si="4"/>
        <v>0</v>
      </c>
      <c r="N22" s="49">
        <f t="shared" si="4"/>
        <v>0</v>
      </c>
      <c r="O22" s="50">
        <f t="shared" si="4"/>
        <v>0</v>
      </c>
      <c r="P22" s="51">
        <f t="shared" si="2"/>
        <v>99026.510304678144</v>
      </c>
    </row>
    <row r="23" spans="3:18" ht="15" hidden="1" customHeight="1" thickTop="1">
      <c r="Q23" s="3">
        <v>1000</v>
      </c>
    </row>
    <row r="24" spans="3:18" ht="15">
      <c r="C24" s="1" t="s">
        <v>105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3:18" ht="15" thickBot="1"/>
    <row r="26" spans="3:18" ht="15.75" thickTop="1">
      <c r="C26" s="29" t="s">
        <v>30</v>
      </c>
      <c r="D26" s="30" t="s">
        <v>2</v>
      </c>
      <c r="E26" s="31" t="s">
        <v>3</v>
      </c>
      <c r="F26" s="31" t="s">
        <v>4</v>
      </c>
      <c r="G26" s="31" t="s">
        <v>5</v>
      </c>
      <c r="H26" s="31" t="s">
        <v>6</v>
      </c>
      <c r="I26" s="31" t="s">
        <v>7</v>
      </c>
      <c r="J26" s="31" t="s">
        <v>8</v>
      </c>
      <c r="K26" s="31" t="s">
        <v>9</v>
      </c>
      <c r="L26" s="31" t="s">
        <v>10</v>
      </c>
      <c r="M26" s="31" t="s">
        <v>11</v>
      </c>
      <c r="N26" s="31" t="s">
        <v>12</v>
      </c>
      <c r="O26" s="32" t="s">
        <v>13</v>
      </c>
      <c r="P26" s="33" t="s">
        <v>14</v>
      </c>
      <c r="Q26" s="3">
        <v>1000</v>
      </c>
    </row>
    <row r="27" spans="3:18" ht="15">
      <c r="C27" s="23" t="s">
        <v>31</v>
      </c>
      <c r="D27" s="152">
        <f t="shared" ref="D27:O27" si="5">+D28+D29</f>
        <v>92857.776708628109</v>
      </c>
      <c r="E27" s="153">
        <f t="shared" si="5"/>
        <v>102484.09496847109</v>
      </c>
      <c r="F27" s="154">
        <f t="shared" si="5"/>
        <v>126779.93443193726</v>
      </c>
      <c r="G27" s="154">
        <f t="shared" si="5"/>
        <v>104875.21983912554</v>
      </c>
      <c r="H27" s="154">
        <f t="shared" si="5"/>
        <v>73281.987113497118</v>
      </c>
      <c r="I27" s="154">
        <f t="shared" si="5"/>
        <v>70159.468229576145</v>
      </c>
      <c r="J27" s="141">
        <f t="shared" si="5"/>
        <v>72200.469319792013</v>
      </c>
      <c r="K27" s="154">
        <f t="shared" si="5"/>
        <v>72097.472679394748</v>
      </c>
      <c r="L27" s="154">
        <f t="shared" si="5"/>
        <v>73574.094427083546</v>
      </c>
      <c r="M27" s="154">
        <f t="shared" si="5"/>
        <v>78280.37249160085</v>
      </c>
      <c r="N27" s="154">
        <f t="shared" si="5"/>
        <v>74674.737419058874</v>
      </c>
      <c r="O27" s="155">
        <f t="shared" si="5"/>
        <v>82686.959405202681</v>
      </c>
      <c r="P27" s="156">
        <f>SUM(D27:O27)</f>
        <v>1023952.5870333678</v>
      </c>
      <c r="R27" s="18"/>
    </row>
    <row r="28" spans="3:18">
      <c r="C28" s="24" t="s">
        <v>32</v>
      </c>
      <c r="D28" s="157">
        <v>92836.625345331064</v>
      </c>
      <c r="E28" s="121">
        <v>102442.21549509146</v>
      </c>
      <c r="F28" s="121">
        <v>126778.99591645626</v>
      </c>
      <c r="G28" s="121">
        <v>104873.40520075883</v>
      </c>
      <c r="H28" s="121">
        <v>73278.571884048099</v>
      </c>
      <c r="I28" s="121">
        <v>70157.800835827962</v>
      </c>
      <c r="J28" s="121">
        <v>72196.912906284051</v>
      </c>
      <c r="K28" s="121">
        <v>72095.727010194896</v>
      </c>
      <c r="L28" s="121">
        <v>73550.316783644914</v>
      </c>
      <c r="M28" s="121">
        <v>78229.384306494132</v>
      </c>
      <c r="N28" s="121">
        <v>74624.332872791376</v>
      </c>
      <c r="O28" s="121">
        <v>82658.822000010303</v>
      </c>
      <c r="P28" s="158">
        <f t="shared" ref="P28:P64" si="6">SUM(D28:O28)</f>
        <v>1023723.1105569334</v>
      </c>
      <c r="R28" s="18"/>
    </row>
    <row r="29" spans="3:18">
      <c r="C29" s="25" t="s">
        <v>33</v>
      </c>
      <c r="D29" s="159">
        <v>21.15136329704788</v>
      </c>
      <c r="E29" s="160">
        <v>41.879473379645091</v>
      </c>
      <c r="F29" s="160">
        <v>0.93851548099517801</v>
      </c>
      <c r="G29" s="160">
        <v>1.814638366699219</v>
      </c>
      <c r="H29" s="160">
        <v>3.415229449020325</v>
      </c>
      <c r="I29" s="160">
        <v>1.667393748186587</v>
      </c>
      <c r="J29" s="160">
        <v>3.5564135079628323</v>
      </c>
      <c r="K29" s="160">
        <v>1.7456691998542664</v>
      </c>
      <c r="L29" s="160">
        <v>23.777643438636417</v>
      </c>
      <c r="M29" s="160">
        <v>50.988185106721716</v>
      </c>
      <c r="N29" s="160">
        <v>50.404546267491767</v>
      </c>
      <c r="O29" s="160">
        <v>28.137405192380719</v>
      </c>
      <c r="P29" s="161">
        <f t="shared" si="6"/>
        <v>229.47647643464197</v>
      </c>
      <c r="R29" s="18"/>
    </row>
    <row r="30" spans="3:18" ht="15">
      <c r="C30" s="23" t="s">
        <v>34</v>
      </c>
      <c r="D30" s="162">
        <f t="shared" ref="D30:O30" si="7">+D31</f>
        <v>0</v>
      </c>
      <c r="E30" s="141">
        <f t="shared" si="7"/>
        <v>0</v>
      </c>
      <c r="F30" s="141">
        <f t="shared" si="7"/>
        <v>0</v>
      </c>
      <c r="G30" s="141">
        <f t="shared" si="7"/>
        <v>0</v>
      </c>
      <c r="H30" s="154">
        <f t="shared" si="7"/>
        <v>0</v>
      </c>
      <c r="I30" s="154">
        <f t="shared" si="7"/>
        <v>0</v>
      </c>
      <c r="J30" s="141">
        <f t="shared" si="7"/>
        <v>0</v>
      </c>
      <c r="K30" s="141">
        <f t="shared" si="7"/>
        <v>32572.8218195644</v>
      </c>
      <c r="L30" s="141">
        <f t="shared" si="7"/>
        <v>0</v>
      </c>
      <c r="M30" s="141">
        <f t="shared" si="7"/>
        <v>0</v>
      </c>
      <c r="N30" s="141">
        <f t="shared" si="7"/>
        <v>0</v>
      </c>
      <c r="O30" s="155">
        <f t="shared" si="7"/>
        <v>0</v>
      </c>
      <c r="P30" s="156">
        <f t="shared" si="6"/>
        <v>32572.8218195644</v>
      </c>
      <c r="R30" s="18"/>
    </row>
    <row r="31" spans="3:18">
      <c r="C31" s="24" t="s">
        <v>41</v>
      </c>
      <c r="D31" s="163">
        <v>0</v>
      </c>
      <c r="E31" s="164">
        <v>0</v>
      </c>
      <c r="F31" s="164">
        <v>0</v>
      </c>
      <c r="G31" s="164">
        <v>0</v>
      </c>
      <c r="H31" s="121">
        <v>0</v>
      </c>
      <c r="I31" s="121">
        <v>0</v>
      </c>
      <c r="J31" s="116"/>
      <c r="K31" s="116">
        <v>32572.8218195644</v>
      </c>
      <c r="L31" s="116">
        <v>0</v>
      </c>
      <c r="M31" s="116">
        <v>0</v>
      </c>
      <c r="N31" s="116">
        <v>0</v>
      </c>
      <c r="O31" s="165"/>
      <c r="P31" s="158">
        <f t="shared" si="6"/>
        <v>32572.8218195644</v>
      </c>
      <c r="R31" s="18"/>
    </row>
    <row r="32" spans="3:18" ht="15">
      <c r="C32" s="23" t="s">
        <v>35</v>
      </c>
      <c r="D32" s="152">
        <f>+D33+D34</f>
        <v>322.81552739629518</v>
      </c>
      <c r="E32" s="154">
        <f t="shared" ref="E32:O32" si="8">+E33+E34</f>
        <v>315.22511432633627</v>
      </c>
      <c r="F32" s="154">
        <f t="shared" si="8"/>
        <v>352.64487279364681</v>
      </c>
      <c r="G32" s="154">
        <f t="shared" si="8"/>
        <v>317.29171381295731</v>
      </c>
      <c r="H32" s="154">
        <f t="shared" si="8"/>
        <v>310.6665574798559</v>
      </c>
      <c r="I32" s="154">
        <f t="shared" si="8"/>
        <v>298.06515541861449</v>
      </c>
      <c r="J32" s="154">
        <f t="shared" si="8"/>
        <v>313.62659825809976</v>
      </c>
      <c r="K32" s="154">
        <f t="shared" si="8"/>
        <v>302.80875758231349</v>
      </c>
      <c r="L32" s="154">
        <f t="shared" si="8"/>
        <v>298.06986474282576</v>
      </c>
      <c r="M32" s="154">
        <f t="shared" si="8"/>
        <v>310.80625102067114</v>
      </c>
      <c r="N32" s="154">
        <f t="shared" si="8"/>
        <v>295.67298983167842</v>
      </c>
      <c r="O32" s="166">
        <f t="shared" si="8"/>
        <v>314.82172509286374</v>
      </c>
      <c r="P32" s="156">
        <f t="shared" si="6"/>
        <v>3752.5151277561581</v>
      </c>
      <c r="R32" s="18"/>
    </row>
    <row r="33" spans="2:20">
      <c r="C33" s="24" t="s">
        <v>32</v>
      </c>
      <c r="D33" s="163">
        <v>320.85607217473756</v>
      </c>
      <c r="E33" s="116">
        <v>312.97738378229366</v>
      </c>
      <c r="F33" s="116">
        <v>352.50086369940851</v>
      </c>
      <c r="G33" s="116">
        <v>317.07147512672952</v>
      </c>
      <c r="H33" s="116">
        <v>310.27671979140985</v>
      </c>
      <c r="I33" s="116">
        <v>297.90985022781194</v>
      </c>
      <c r="J33" s="116">
        <v>313.05756128605384</v>
      </c>
      <c r="K33" s="116">
        <v>302.71555181821054</v>
      </c>
      <c r="L33" s="116">
        <v>296.91128294045757</v>
      </c>
      <c r="M33" s="116">
        <v>309.2177109466565</v>
      </c>
      <c r="N33" s="116">
        <v>294.28988049046262</v>
      </c>
      <c r="O33" s="165">
        <v>312.88988875129195</v>
      </c>
      <c r="P33" s="158">
        <f t="shared" si="6"/>
        <v>3740.6742410355241</v>
      </c>
      <c r="Q33" s="3">
        <f>+P33/12</f>
        <v>311.72285341962703</v>
      </c>
      <c r="R33" s="18"/>
    </row>
    <row r="34" spans="2:20">
      <c r="C34" s="26" t="s">
        <v>33</v>
      </c>
      <c r="D34" s="163">
        <v>1.9594552215576171</v>
      </c>
      <c r="E34" s="116">
        <v>2.2477305440425877</v>
      </c>
      <c r="F34" s="116">
        <v>0.14400909423828126</v>
      </c>
      <c r="G34" s="164">
        <v>0.22023868622779846</v>
      </c>
      <c r="H34" s="164">
        <v>0.38983768844604494</v>
      </c>
      <c r="I34" s="164">
        <v>0.15530519080257416</v>
      </c>
      <c r="J34" s="164">
        <v>0.56903697204589843</v>
      </c>
      <c r="K34" s="164">
        <v>9.3205764102935781E-2</v>
      </c>
      <c r="L34" s="164">
        <v>1.158581802368164</v>
      </c>
      <c r="M34" s="116">
        <v>1.5885400740146638</v>
      </c>
      <c r="N34" s="164">
        <v>1.3831093412157893</v>
      </c>
      <c r="O34" s="182">
        <v>1.9318363415718078</v>
      </c>
      <c r="P34" s="161">
        <f t="shared" si="6"/>
        <v>11.840886720634161</v>
      </c>
      <c r="Q34" s="3">
        <f>+P34/12</f>
        <v>0.98674056005284683</v>
      </c>
      <c r="R34" s="18"/>
    </row>
    <row r="35" spans="2:20" ht="15">
      <c r="C35" s="27" t="s">
        <v>36</v>
      </c>
      <c r="D35" s="152">
        <f t="shared" ref="D35:O35" si="9">+D36+D37</f>
        <v>1399.137125915935</v>
      </c>
      <c r="E35" s="154">
        <f t="shared" si="9"/>
        <v>1412.0078645494505</v>
      </c>
      <c r="F35" s="154">
        <f t="shared" si="9"/>
        <v>1732.108833068196</v>
      </c>
      <c r="G35" s="140">
        <f t="shared" si="9"/>
        <v>1476.0584790295834</v>
      </c>
      <c r="H35" s="140">
        <f t="shared" si="9"/>
        <v>1202.4578416246659</v>
      </c>
      <c r="I35" s="140">
        <f t="shared" si="9"/>
        <v>1136.7151265203865</v>
      </c>
      <c r="J35" s="142">
        <f t="shared" si="9"/>
        <v>1147.4329171775025</v>
      </c>
      <c r="K35" s="142">
        <f t="shared" si="9"/>
        <v>1135.2848285437212</v>
      </c>
      <c r="L35" s="142">
        <f t="shared" si="9"/>
        <v>1195.5727173732012</v>
      </c>
      <c r="M35" s="141">
        <f t="shared" si="9"/>
        <v>1240.5677330295439</v>
      </c>
      <c r="N35" s="142">
        <f t="shared" si="9"/>
        <v>1109.6796070392593</v>
      </c>
      <c r="O35" s="148">
        <f t="shared" si="9"/>
        <v>1031.8896526442113</v>
      </c>
      <c r="P35" s="169">
        <f t="shared" si="6"/>
        <v>15218.912726515657</v>
      </c>
      <c r="R35" s="18"/>
    </row>
    <row r="36" spans="2:20">
      <c r="C36" s="24" t="s">
        <v>37</v>
      </c>
      <c r="D36" s="163">
        <v>559.65485036637403</v>
      </c>
      <c r="E36" s="116">
        <v>564.80314581978018</v>
      </c>
      <c r="F36" s="116">
        <v>692.84353322727839</v>
      </c>
      <c r="G36" s="116">
        <v>590.42339161183338</v>
      </c>
      <c r="H36" s="116">
        <v>480.98313664986637</v>
      </c>
      <c r="I36" s="116">
        <v>454.68605060815463</v>
      </c>
      <c r="J36" s="116">
        <v>458.97316687100101</v>
      </c>
      <c r="K36" s="116">
        <v>454.11393141748852</v>
      </c>
      <c r="L36" s="116">
        <v>478.22908694928049</v>
      </c>
      <c r="M36" s="116">
        <v>496.22709321181759</v>
      </c>
      <c r="N36" s="116">
        <v>443.87184281570376</v>
      </c>
      <c r="O36" s="116">
        <v>412.75586105768457</v>
      </c>
      <c r="P36" s="158">
        <f t="shared" si="6"/>
        <v>6087.5650906062629</v>
      </c>
      <c r="R36" s="18"/>
      <c r="T36" s="18"/>
    </row>
    <row r="37" spans="2:20">
      <c r="C37" s="24" t="s">
        <v>38</v>
      </c>
      <c r="D37" s="167">
        <v>839.482275549561</v>
      </c>
      <c r="E37" s="164">
        <v>847.20471872967028</v>
      </c>
      <c r="F37" s="164">
        <v>1039.2652998409176</v>
      </c>
      <c r="G37" s="116">
        <v>885.63508741775001</v>
      </c>
      <c r="H37" s="116">
        <v>721.47470497479947</v>
      </c>
      <c r="I37" s="116">
        <v>682.02907591223186</v>
      </c>
      <c r="J37" s="116">
        <v>688.45975030650152</v>
      </c>
      <c r="K37" s="164">
        <v>681.17089712623272</v>
      </c>
      <c r="L37" s="164">
        <v>717.34363042392067</v>
      </c>
      <c r="M37" s="164">
        <v>744.34063981772636</v>
      </c>
      <c r="N37" s="164">
        <v>665.80776422355552</v>
      </c>
      <c r="O37" s="164">
        <v>619.13379158652674</v>
      </c>
      <c r="P37" s="158">
        <f t="shared" si="6"/>
        <v>9131.3476359093929</v>
      </c>
      <c r="S37" s="18"/>
      <c r="T37" s="18"/>
    </row>
    <row r="38" spans="2:20" ht="15">
      <c r="B38" s="145"/>
      <c r="C38" s="34" t="s">
        <v>39</v>
      </c>
      <c r="D38" s="170">
        <f t="shared" ref="D38:O38" si="10">+D27+D30-D32-D35</f>
        <v>91135.824055315883</v>
      </c>
      <c r="E38" s="146">
        <f t="shared" si="10"/>
        <v>100756.8619895953</v>
      </c>
      <c r="F38" s="146">
        <f t="shared" si="10"/>
        <v>124695.18072607541</v>
      </c>
      <c r="G38" s="146">
        <f t="shared" si="10"/>
        <v>103081.869646283</v>
      </c>
      <c r="H38" s="146">
        <f t="shared" si="10"/>
        <v>71768.862714392599</v>
      </c>
      <c r="I38" s="146">
        <f t="shared" si="10"/>
        <v>68724.68794763714</v>
      </c>
      <c r="J38" s="146">
        <f t="shared" si="10"/>
        <v>70739.409804356415</v>
      </c>
      <c r="K38" s="146">
        <f>+K27+K30-K32-K35</f>
        <v>103232.20091283311</v>
      </c>
      <c r="L38" s="146">
        <f t="shared" si="10"/>
        <v>72080.451844967523</v>
      </c>
      <c r="M38" s="146">
        <f t="shared" si="10"/>
        <v>76728.998507550641</v>
      </c>
      <c r="N38" s="146">
        <f t="shared" si="10"/>
        <v>73269.384822187931</v>
      </c>
      <c r="O38" s="171">
        <f t="shared" si="10"/>
        <v>81340.248027465612</v>
      </c>
      <c r="P38" s="172">
        <f t="shared" si="6"/>
        <v>1037553.9809986607</v>
      </c>
      <c r="R38" s="18"/>
    </row>
    <row r="39" spans="2:20" ht="15">
      <c r="B39" s="181"/>
      <c r="C39" s="34" t="s">
        <v>40</v>
      </c>
      <c r="D39" s="170">
        <f t="shared" ref="D39:O39" si="11">+D40+D43+D55</f>
        <v>91135.824055315883</v>
      </c>
      <c r="E39" s="146">
        <f t="shared" si="11"/>
        <v>100756.8619895953</v>
      </c>
      <c r="F39" s="146">
        <f t="shared" si="11"/>
        <v>124695.18072607541</v>
      </c>
      <c r="G39" s="146">
        <f t="shared" si="11"/>
        <v>103081.869646283</v>
      </c>
      <c r="H39" s="146">
        <f t="shared" si="11"/>
        <v>71768.862714392599</v>
      </c>
      <c r="I39" s="146">
        <f t="shared" si="11"/>
        <v>68724.68794763714</v>
      </c>
      <c r="J39" s="146">
        <f t="shared" si="11"/>
        <v>70739.409804356415</v>
      </c>
      <c r="K39" s="146">
        <f t="shared" si="11"/>
        <v>103232.20091283311</v>
      </c>
      <c r="L39" s="146">
        <f t="shared" si="11"/>
        <v>72080.451844967523</v>
      </c>
      <c r="M39" s="146">
        <f t="shared" si="11"/>
        <v>76728.998507550641</v>
      </c>
      <c r="N39" s="146">
        <f t="shared" si="11"/>
        <v>73269.384822187931</v>
      </c>
      <c r="O39" s="171">
        <f t="shared" si="11"/>
        <v>81340.248027465612</v>
      </c>
      <c r="P39" s="172">
        <f t="shared" si="6"/>
        <v>1037553.9809986607</v>
      </c>
      <c r="R39" s="18"/>
    </row>
    <row r="40" spans="2:20" ht="15">
      <c r="C40" s="27" t="s">
        <v>44</v>
      </c>
      <c r="D40" s="141">
        <f t="shared" ref="D40:O40" si="12">+D41+D42</f>
        <v>28392.408465315872</v>
      </c>
      <c r="E40" s="141">
        <f t="shared" si="12"/>
        <v>39655.692219595301</v>
      </c>
      <c r="F40" s="141">
        <f t="shared" si="12"/>
        <v>66682.429836075404</v>
      </c>
      <c r="G40" s="141">
        <f t="shared" si="12"/>
        <v>55410.090106282994</v>
      </c>
      <c r="H40" s="141">
        <f t="shared" si="12"/>
        <v>21564.182204392593</v>
      </c>
      <c r="I40" s="141">
        <f t="shared" si="12"/>
        <v>17650.36273763713</v>
      </c>
      <c r="J40" s="141">
        <f t="shared" si="12"/>
        <v>16704.738414356412</v>
      </c>
      <c r="K40" s="141">
        <f t="shared" si="12"/>
        <v>48643.781812833098</v>
      </c>
      <c r="L40" s="141">
        <f t="shared" si="12"/>
        <v>17827.456264967492</v>
      </c>
      <c r="M40" s="154">
        <f t="shared" si="12"/>
        <v>19010.820535560277</v>
      </c>
      <c r="N40" s="154">
        <f t="shared" si="12"/>
        <v>15878.892922187908</v>
      </c>
      <c r="O40" s="154">
        <f t="shared" si="12"/>
        <v>21293.726947465613</v>
      </c>
      <c r="P40" s="154">
        <f t="shared" si="6"/>
        <v>368714.58246667014</v>
      </c>
      <c r="R40" s="18"/>
      <c r="S40" s="18"/>
    </row>
    <row r="41" spans="2:20">
      <c r="C41" s="24" t="s">
        <v>41</v>
      </c>
      <c r="D41" s="116">
        <v>28392.408465315872</v>
      </c>
      <c r="E41" s="116">
        <v>39655.692219595301</v>
      </c>
      <c r="F41" s="116">
        <v>66682.429836075404</v>
      </c>
      <c r="G41" s="116">
        <v>55410.090106282994</v>
      </c>
      <c r="H41" s="116">
        <v>21564.182204392593</v>
      </c>
      <c r="I41" s="116">
        <v>17650.36273763713</v>
      </c>
      <c r="J41" s="116">
        <v>16704.738414356412</v>
      </c>
      <c r="K41" s="116">
        <v>48643.781812833098</v>
      </c>
      <c r="L41" s="116">
        <v>17827.456264967492</v>
      </c>
      <c r="M41" s="116">
        <v>19010.820535560277</v>
      </c>
      <c r="N41" s="116">
        <v>15878.892922187908</v>
      </c>
      <c r="O41" s="116">
        <v>21293.726947465613</v>
      </c>
      <c r="P41" s="121">
        <f t="shared" si="6"/>
        <v>368714.58246667014</v>
      </c>
      <c r="Q41" s="18"/>
      <c r="R41" s="18"/>
    </row>
    <row r="42" spans="2:20" hidden="1">
      <c r="C42" s="24" t="s">
        <v>45</v>
      </c>
      <c r="D42" s="116">
        <v>0</v>
      </c>
      <c r="E42" s="116">
        <v>0</v>
      </c>
      <c r="F42" s="116">
        <v>0</v>
      </c>
      <c r="G42" s="116">
        <v>0</v>
      </c>
      <c r="H42" s="116">
        <v>0</v>
      </c>
      <c r="I42" s="116">
        <v>0</v>
      </c>
      <c r="J42" s="116">
        <v>0</v>
      </c>
      <c r="K42" s="116">
        <v>0</v>
      </c>
      <c r="L42" s="116">
        <v>0</v>
      </c>
      <c r="M42" s="116">
        <v>0</v>
      </c>
      <c r="N42" s="116">
        <v>0</v>
      </c>
      <c r="O42" s="116"/>
      <c r="P42" s="121">
        <f t="shared" si="6"/>
        <v>0</v>
      </c>
      <c r="Q42" s="18"/>
      <c r="R42" s="18"/>
    </row>
    <row r="43" spans="2:20" ht="15">
      <c r="C43" s="27" t="s">
        <v>42</v>
      </c>
      <c r="D43" s="142">
        <f t="shared" ref="D43:J43" si="13">SUM(D44:D54)</f>
        <v>58804.167190000007</v>
      </c>
      <c r="E43" s="142">
        <f t="shared" si="13"/>
        <v>56242.478999999992</v>
      </c>
      <c r="F43" s="142">
        <f t="shared" si="13"/>
        <v>54750.569479999998</v>
      </c>
      <c r="G43" s="142">
        <f t="shared" si="13"/>
        <v>46351.273559999994</v>
      </c>
      <c r="H43" s="142">
        <f t="shared" si="13"/>
        <v>47498.146390000002</v>
      </c>
      <c r="I43" s="142">
        <f t="shared" si="13"/>
        <v>46405.965140000008</v>
      </c>
      <c r="J43" s="142">
        <f t="shared" si="13"/>
        <v>49198.435899999997</v>
      </c>
      <c r="K43" s="142">
        <f t="shared" ref="K43:P43" si="14">SUM(K44:K54)</f>
        <v>49986.01703000001</v>
      </c>
      <c r="L43" s="142">
        <f t="shared" si="14"/>
        <v>49565.755930000021</v>
      </c>
      <c r="M43" s="142">
        <f t="shared" si="14"/>
        <v>52950.170661990371</v>
      </c>
      <c r="N43" s="142">
        <f t="shared" si="14"/>
        <v>52544.381720000012</v>
      </c>
      <c r="O43" s="142">
        <f t="shared" si="14"/>
        <v>54871.07948</v>
      </c>
      <c r="P43" s="142">
        <f t="shared" si="14"/>
        <v>619168.44148199039</v>
      </c>
      <c r="R43" s="18"/>
    </row>
    <row r="44" spans="2:20">
      <c r="C44" s="24" t="s">
        <v>47</v>
      </c>
      <c r="D44" s="116">
        <v>12342.276390000001</v>
      </c>
      <c r="E44" s="116">
        <v>11997.73518</v>
      </c>
      <c r="F44" s="116">
        <v>11821.794260000001</v>
      </c>
      <c r="G44" s="116">
        <v>9953.8958799999982</v>
      </c>
      <c r="H44" s="116">
        <v>10247.130559999998</v>
      </c>
      <c r="I44" s="116">
        <v>10280.96292</v>
      </c>
      <c r="J44" s="116">
        <v>10847.547719999999</v>
      </c>
      <c r="K44" s="116">
        <v>10920.82523</v>
      </c>
      <c r="L44" s="116">
        <v>10800.263570000001</v>
      </c>
      <c r="M44" s="116">
        <v>11247.041219999999</v>
      </c>
      <c r="N44" s="116">
        <v>10960.757150000001</v>
      </c>
      <c r="O44" s="116">
        <v>11561.156999999999</v>
      </c>
      <c r="P44" s="121">
        <f t="shared" si="6"/>
        <v>132981.38708000001</v>
      </c>
      <c r="Q44" s="109"/>
      <c r="R44" s="18"/>
    </row>
    <row r="45" spans="2:20">
      <c r="C45" s="24" t="s">
        <v>48</v>
      </c>
      <c r="D45" s="116">
        <v>33943.877960000013</v>
      </c>
      <c r="E45" s="116">
        <v>33095.967580000004</v>
      </c>
      <c r="F45" s="116">
        <v>31905.199979999998</v>
      </c>
      <c r="G45" s="116">
        <v>25889.502259999997</v>
      </c>
      <c r="H45" s="116">
        <v>26598.393649999998</v>
      </c>
      <c r="I45" s="116">
        <v>26870.396239999998</v>
      </c>
      <c r="J45" s="116">
        <v>28864.724689999999</v>
      </c>
      <c r="K45" s="116">
        <v>29037.651830000003</v>
      </c>
      <c r="L45" s="116">
        <v>28319.41188</v>
      </c>
      <c r="M45" s="116">
        <v>29376.751029999999</v>
      </c>
      <c r="N45" s="116">
        <v>28422.498490000002</v>
      </c>
      <c r="O45" s="116">
        <v>29706.916929999996</v>
      </c>
      <c r="P45" s="121">
        <f t="shared" si="6"/>
        <v>352031.29252000002</v>
      </c>
      <c r="Q45" s="109"/>
      <c r="R45" s="18">
        <f>+O45+O46</f>
        <v>30297.903729999995</v>
      </c>
    </row>
    <row r="46" spans="2:20">
      <c r="C46" s="24" t="s">
        <v>49</v>
      </c>
      <c r="D46" s="116">
        <v>615.60149999999999</v>
      </c>
      <c r="E46" s="174">
        <v>594.42335000000014</v>
      </c>
      <c r="F46" s="116">
        <v>618.64903000000004</v>
      </c>
      <c r="G46" s="116">
        <v>554.01344999999992</v>
      </c>
      <c r="H46" s="116">
        <v>547.81224999999995</v>
      </c>
      <c r="I46" s="116">
        <v>524.82470999999998</v>
      </c>
      <c r="J46" s="116">
        <v>544.11793999999998</v>
      </c>
      <c r="K46" s="116">
        <v>551.68174999999997</v>
      </c>
      <c r="L46" s="116">
        <v>523.26429999999993</v>
      </c>
      <c r="M46" s="116">
        <v>564.22034999999994</v>
      </c>
      <c r="N46" s="205">
        <v>549.50720999999999</v>
      </c>
      <c r="O46" s="116">
        <v>590.98680000000002</v>
      </c>
      <c r="P46" s="121">
        <f t="shared" si="6"/>
        <v>6779.1026399999992</v>
      </c>
      <c r="Q46" s="109"/>
      <c r="R46" s="18"/>
    </row>
    <row r="47" spans="2:20">
      <c r="C47" s="24" t="s">
        <v>50</v>
      </c>
      <c r="D47" s="116">
        <v>1290.11699</v>
      </c>
      <c r="E47" s="116">
        <v>1217.6573999999998</v>
      </c>
      <c r="F47" s="116">
        <v>1216.9077899999997</v>
      </c>
      <c r="G47" s="116">
        <v>1065.8568499999999</v>
      </c>
      <c r="H47" s="116">
        <v>1067.0700300000001</v>
      </c>
      <c r="I47" s="116">
        <v>1037.2767099999999</v>
      </c>
      <c r="J47" s="116">
        <v>1096.55214</v>
      </c>
      <c r="K47" s="116">
        <v>1113.72696</v>
      </c>
      <c r="L47" s="116">
        <v>1089.1474900000001</v>
      </c>
      <c r="M47" s="116">
        <v>1153.2510199999999</v>
      </c>
      <c r="N47" s="116">
        <v>1125.5971800000002</v>
      </c>
      <c r="O47" s="116">
        <v>1221.7271899999998</v>
      </c>
      <c r="P47" s="121">
        <f t="shared" si="6"/>
        <v>13694.887749999998</v>
      </c>
      <c r="Q47" s="109"/>
      <c r="R47" s="18"/>
    </row>
    <row r="48" spans="2:20">
      <c r="C48" s="24" t="s">
        <v>102</v>
      </c>
      <c r="D48" s="116">
        <v>927.90904</v>
      </c>
      <c r="E48" s="116">
        <v>864.18830000000003</v>
      </c>
      <c r="F48" s="116">
        <v>846.96972000000005</v>
      </c>
      <c r="G48" s="116">
        <v>716.07745</v>
      </c>
      <c r="H48" s="116">
        <v>753.99480000000017</v>
      </c>
      <c r="I48" s="116">
        <v>787.43648999999994</v>
      </c>
      <c r="J48" s="116">
        <v>871.12732999999992</v>
      </c>
      <c r="K48" s="116">
        <v>909.28702999999996</v>
      </c>
      <c r="L48" s="116">
        <v>924.79617000000007</v>
      </c>
      <c r="M48" s="116">
        <v>986.27641999999992</v>
      </c>
      <c r="N48" s="116">
        <v>971.63301999999999</v>
      </c>
      <c r="O48" s="116">
        <v>982.80043000000001</v>
      </c>
      <c r="P48" s="121">
        <f t="shared" si="6"/>
        <v>10542.4962</v>
      </c>
      <c r="Q48" s="109"/>
      <c r="R48" s="18"/>
    </row>
    <row r="49" spans="3:18">
      <c r="C49" s="24" t="s">
        <v>52</v>
      </c>
      <c r="D49" s="116">
        <v>797.62724000000003</v>
      </c>
      <c r="E49" s="116">
        <v>771.91992999999991</v>
      </c>
      <c r="F49" s="116">
        <v>722.38586999999995</v>
      </c>
      <c r="G49" s="116">
        <v>611.69853000000001</v>
      </c>
      <c r="H49" s="116">
        <v>647.96726000000001</v>
      </c>
      <c r="I49" s="116">
        <v>670.79826000000003</v>
      </c>
      <c r="J49" s="116">
        <v>767.37504999999987</v>
      </c>
      <c r="K49" s="116">
        <v>802.87052000000006</v>
      </c>
      <c r="L49" s="116">
        <v>803.30157999999994</v>
      </c>
      <c r="M49" s="116">
        <v>852.62058000000002</v>
      </c>
      <c r="N49" s="116">
        <v>808.75493000000006</v>
      </c>
      <c r="O49" s="116">
        <v>852.65780999999981</v>
      </c>
      <c r="P49" s="121">
        <f t="shared" si="6"/>
        <v>9109.9775600000012</v>
      </c>
      <c r="Q49" s="109"/>
      <c r="R49" s="18"/>
    </row>
    <row r="50" spans="3:18">
      <c r="C50" s="24" t="s">
        <v>90</v>
      </c>
      <c r="D50" s="116">
        <v>1496.7250200000001</v>
      </c>
      <c r="E50" s="116">
        <v>1399.2764200000001</v>
      </c>
      <c r="F50" s="116">
        <v>1420.3127500000001</v>
      </c>
      <c r="G50" s="116">
        <v>1267.3678500000001</v>
      </c>
      <c r="H50" s="116">
        <v>1326.0985500000002</v>
      </c>
      <c r="I50" s="116">
        <v>1309.5948100000001</v>
      </c>
      <c r="J50" s="116">
        <v>1368.2171500000002</v>
      </c>
      <c r="K50" s="116">
        <v>1356.42256</v>
      </c>
      <c r="L50" s="116">
        <v>1358.55126</v>
      </c>
      <c r="M50" s="116">
        <v>1419.61661</v>
      </c>
      <c r="N50" s="116">
        <v>1404.5516700000001</v>
      </c>
      <c r="O50" s="116">
        <v>1478.086</v>
      </c>
      <c r="P50" s="121">
        <f t="shared" si="6"/>
        <v>16604.820650000001</v>
      </c>
      <c r="Q50" s="109"/>
      <c r="R50" s="18"/>
    </row>
    <row r="51" spans="3:18">
      <c r="C51" s="24" t="s">
        <v>53</v>
      </c>
      <c r="D51" s="116">
        <v>2150.5956799999999</v>
      </c>
      <c r="E51" s="116">
        <v>2096.8346599999995</v>
      </c>
      <c r="F51" s="116">
        <v>1770.7080000000001</v>
      </c>
      <c r="G51" s="116">
        <v>1967.54955</v>
      </c>
      <c r="H51" s="116">
        <v>2100.2288599999997</v>
      </c>
      <c r="I51" s="116">
        <v>1467.7230499999998</v>
      </c>
      <c r="J51" s="116">
        <v>1401.6474000000001</v>
      </c>
      <c r="K51" s="116">
        <v>1361.2616799999998</v>
      </c>
      <c r="L51" s="116">
        <v>1419.8038900000001</v>
      </c>
      <c r="M51" s="116">
        <v>1748.62078</v>
      </c>
      <c r="N51" s="116">
        <v>1936.4579000000001</v>
      </c>
      <c r="O51" s="116">
        <v>1723.4870600000002</v>
      </c>
      <c r="P51" s="121">
        <f t="shared" si="6"/>
        <v>21144.91851</v>
      </c>
      <c r="Q51" s="109"/>
      <c r="R51" s="109">
        <f>+O53+O54</f>
        <v>6693.9412499999999</v>
      </c>
    </row>
    <row r="52" spans="3:18">
      <c r="C52" s="24" t="s">
        <v>54</v>
      </c>
      <c r="D52" s="116">
        <v>49.246739999999996</v>
      </c>
      <c r="E52" s="116">
        <v>49.509949999999996</v>
      </c>
      <c r="F52" s="116">
        <v>52.181789999999999</v>
      </c>
      <c r="G52" s="116">
        <v>52.168990000000008</v>
      </c>
      <c r="H52" s="116">
        <v>54.044290000000004</v>
      </c>
      <c r="I52" s="116">
        <v>53.021749999999997</v>
      </c>
      <c r="J52" s="116">
        <v>55.179070000000003</v>
      </c>
      <c r="K52" s="116">
        <v>56.2883</v>
      </c>
      <c r="L52" s="116">
        <v>53.623309999999996</v>
      </c>
      <c r="M52" s="116">
        <v>57.477650000000004</v>
      </c>
      <c r="N52" s="116">
        <v>56.518049999999995</v>
      </c>
      <c r="O52" s="116">
        <v>59.319010000000006</v>
      </c>
      <c r="P52" s="121">
        <f t="shared" si="6"/>
        <v>648.57890000000009</v>
      </c>
      <c r="Q52" s="109"/>
      <c r="R52" s="18"/>
    </row>
    <row r="53" spans="3:18">
      <c r="C53" s="107" t="s">
        <v>103</v>
      </c>
      <c r="D53" s="121">
        <v>5190.1906300000001</v>
      </c>
      <c r="E53" s="121">
        <v>4154.96623</v>
      </c>
      <c r="F53" s="116">
        <v>4375.46029</v>
      </c>
      <c r="G53" s="121">
        <v>4273.14275</v>
      </c>
      <c r="H53" s="121">
        <v>4155.4061400000001</v>
      </c>
      <c r="I53" s="121">
        <v>3403.9302000000002</v>
      </c>
      <c r="J53" s="116">
        <v>3381.9474100000002</v>
      </c>
      <c r="K53" s="116">
        <v>3710.81124</v>
      </c>
      <c r="L53" s="116">
        <v>3616.77666</v>
      </c>
      <c r="M53" s="121">
        <v>4468.87628131151</v>
      </c>
      <c r="N53" s="116">
        <v>4543.5503599999993</v>
      </c>
      <c r="O53" s="121">
        <v>4457.0614100000003</v>
      </c>
      <c r="P53" s="121">
        <f>SUM(D53:O53)</f>
        <v>49732.119601311511</v>
      </c>
      <c r="Q53" s="109"/>
      <c r="R53" s="18"/>
    </row>
    <row r="54" spans="3:18">
      <c r="C54" s="107" t="s">
        <v>104</v>
      </c>
      <c r="D54" s="121"/>
      <c r="E54" s="121"/>
      <c r="F54" s="116"/>
      <c r="G54" s="121"/>
      <c r="H54" s="121"/>
      <c r="I54" s="121"/>
      <c r="J54" s="116"/>
      <c r="K54" s="116">
        <v>165.18993000000003</v>
      </c>
      <c r="L54" s="116">
        <v>656.81582000000003</v>
      </c>
      <c r="M54" s="121">
        <v>1075.4187206788574</v>
      </c>
      <c r="N54" s="116">
        <v>1764.5557599999997</v>
      </c>
      <c r="O54" s="121">
        <v>2236.8798400000001</v>
      </c>
      <c r="P54" s="121">
        <f>SUM(D54:O54)</f>
        <v>5898.8600706788566</v>
      </c>
      <c r="Q54" s="109"/>
      <c r="R54" s="18"/>
    </row>
    <row r="55" spans="3:18" ht="15">
      <c r="C55" s="27" t="s">
        <v>43</v>
      </c>
      <c r="D55" s="142">
        <f>+SUM(D56:D64)</f>
        <v>3939.2483999999999</v>
      </c>
      <c r="E55" s="142">
        <f t="shared" ref="E55:O55" si="15">+SUM(E56:E64)</f>
        <v>4858.6907700000002</v>
      </c>
      <c r="F55" s="142">
        <f t="shared" si="15"/>
        <v>3262.1814100000006</v>
      </c>
      <c r="G55" s="142">
        <f t="shared" si="15"/>
        <v>1320.5059800000001</v>
      </c>
      <c r="H55" s="142">
        <f t="shared" si="15"/>
        <v>2706.5341200000003</v>
      </c>
      <c r="I55" s="142">
        <f t="shared" si="15"/>
        <v>4668.3600699999997</v>
      </c>
      <c r="J55" s="142">
        <f t="shared" si="15"/>
        <v>4836.2354900000009</v>
      </c>
      <c r="K55" s="142">
        <f t="shared" si="15"/>
        <v>4602.4020700000001</v>
      </c>
      <c r="L55" s="142">
        <f t="shared" si="15"/>
        <v>4687.2396499999995</v>
      </c>
      <c r="M55" s="142">
        <f t="shared" si="15"/>
        <v>4768.00731</v>
      </c>
      <c r="N55" s="142">
        <f t="shared" si="15"/>
        <v>4846.1101800000006</v>
      </c>
      <c r="O55" s="142">
        <f t="shared" si="15"/>
        <v>5175.4415999999992</v>
      </c>
      <c r="P55" s="142">
        <f>+SUM(P56:P64)</f>
        <v>49670.957049999997</v>
      </c>
      <c r="Q55" s="109"/>
      <c r="R55" s="18"/>
    </row>
    <row r="56" spans="3:18">
      <c r="C56" s="107" t="s">
        <v>56</v>
      </c>
      <c r="D56" s="116">
        <v>0</v>
      </c>
      <c r="E56" s="116">
        <v>1065.7073500000001</v>
      </c>
      <c r="F56" s="116">
        <v>952.00067999999999</v>
      </c>
      <c r="G56" s="116">
        <v>686.54157000000009</v>
      </c>
      <c r="H56" s="116">
        <v>917.00716999999997</v>
      </c>
      <c r="I56" s="116">
        <v>943.65328999999997</v>
      </c>
      <c r="J56" s="116">
        <v>943.27651000000003</v>
      </c>
      <c r="K56" s="116">
        <v>918.74661000000003</v>
      </c>
      <c r="L56" s="116">
        <v>955.63282000000004</v>
      </c>
      <c r="M56" s="116">
        <v>962.31042000000002</v>
      </c>
      <c r="N56" s="116">
        <v>1027.22903</v>
      </c>
      <c r="O56" s="116">
        <v>1115.4137599999999</v>
      </c>
      <c r="P56" s="121">
        <f t="shared" si="6"/>
        <v>10487.51921</v>
      </c>
      <c r="Q56" s="109"/>
      <c r="R56" s="18"/>
    </row>
    <row r="57" spans="3:18">
      <c r="C57" s="107" t="s">
        <v>59</v>
      </c>
      <c r="D57" s="121">
        <v>1108.2326799999998</v>
      </c>
      <c r="E57" s="121">
        <v>1051.3700100000001</v>
      </c>
      <c r="F57" s="121">
        <v>563.54767000000004</v>
      </c>
      <c r="G57" s="121">
        <v>51.975840000000005</v>
      </c>
      <c r="H57" s="121">
        <v>634.53524000000004</v>
      </c>
      <c r="I57" s="121">
        <v>1112.95225</v>
      </c>
      <c r="J57" s="116">
        <v>1188.3509899999999</v>
      </c>
      <c r="K57" s="116">
        <v>1093.4357199999999</v>
      </c>
      <c r="L57" s="116">
        <v>1067.42956</v>
      </c>
      <c r="M57" s="121">
        <v>1044.83881</v>
      </c>
      <c r="N57" s="121">
        <v>1090.7113899999999</v>
      </c>
      <c r="O57" s="121">
        <v>1157.2495999999999</v>
      </c>
      <c r="P57" s="121">
        <f t="shared" si="6"/>
        <v>11164.62976</v>
      </c>
      <c r="Q57" s="109"/>
      <c r="R57" s="18"/>
    </row>
    <row r="58" spans="3:18">
      <c r="C58" s="107" t="s">
        <v>89</v>
      </c>
      <c r="D58" s="121">
        <v>240.55327000000003</v>
      </c>
      <c r="E58" s="121">
        <v>235.34828000000002</v>
      </c>
      <c r="F58" s="121">
        <v>228.66031000000001</v>
      </c>
      <c r="G58" s="121">
        <v>214.01281</v>
      </c>
      <c r="H58" s="121">
        <v>222.59485000000001</v>
      </c>
      <c r="I58" s="121">
        <v>214.79728</v>
      </c>
      <c r="J58" s="116">
        <v>220.58414000000002</v>
      </c>
      <c r="K58" s="116">
        <v>216.29196000000002</v>
      </c>
      <c r="L58" s="121">
        <v>231.30396999999999</v>
      </c>
      <c r="M58" s="121">
        <v>226.49686</v>
      </c>
      <c r="N58" s="121">
        <v>203.74715</v>
      </c>
      <c r="O58" s="121">
        <v>199.00378000000001</v>
      </c>
      <c r="P58" s="121">
        <f t="shared" si="6"/>
        <v>2653.3946599999999</v>
      </c>
      <c r="Q58" s="109"/>
      <c r="R58" s="18"/>
    </row>
    <row r="59" spans="3:18">
      <c r="C59" s="107" t="s">
        <v>94</v>
      </c>
      <c r="D59" s="121">
        <v>288.39271000000002</v>
      </c>
      <c r="E59" s="121">
        <v>297.96696999999995</v>
      </c>
      <c r="F59" s="121">
        <v>164.91092999999998</v>
      </c>
      <c r="G59" s="121">
        <v>41.630220000000001</v>
      </c>
      <c r="H59" s="121">
        <v>167.67451</v>
      </c>
      <c r="I59" s="121">
        <v>312.83546999999999</v>
      </c>
      <c r="J59" s="116">
        <v>300.94707</v>
      </c>
      <c r="K59" s="116">
        <v>238.28548000000001</v>
      </c>
      <c r="L59" s="121">
        <v>194.28211999999999</v>
      </c>
      <c r="M59" s="121">
        <v>206.98688000000001</v>
      </c>
      <c r="N59" s="121">
        <v>206.96994000000001</v>
      </c>
      <c r="O59" s="121">
        <v>185.37207000000001</v>
      </c>
      <c r="P59" s="121">
        <f t="shared" si="6"/>
        <v>2606.2543700000001</v>
      </c>
      <c r="Q59" s="109"/>
      <c r="R59" s="18"/>
    </row>
    <row r="60" spans="3:18">
      <c r="C60" s="107" t="s">
        <v>95</v>
      </c>
      <c r="D60" s="121">
        <v>735.38279999999997</v>
      </c>
      <c r="E60" s="121">
        <v>730.26268000000016</v>
      </c>
      <c r="F60" s="121">
        <v>385.17329999999998</v>
      </c>
      <c r="G60" s="121">
        <v>37.280460000000005</v>
      </c>
      <c r="H60" s="121">
        <v>343.54082</v>
      </c>
      <c r="I60" s="121">
        <v>769.34595000000002</v>
      </c>
      <c r="J60" s="116">
        <v>807.34118999999998</v>
      </c>
      <c r="K60" s="116">
        <v>741.70637999999997</v>
      </c>
      <c r="L60" s="121">
        <v>827.30801999999994</v>
      </c>
      <c r="M60" s="121">
        <v>912.50030000000004</v>
      </c>
      <c r="N60" s="121">
        <v>843.05300999999997</v>
      </c>
      <c r="O60" s="121">
        <v>821.53577000000007</v>
      </c>
      <c r="P60" s="121">
        <f t="shared" si="6"/>
        <v>7954.4306799999995</v>
      </c>
      <c r="Q60" s="109"/>
      <c r="R60" s="18"/>
    </row>
    <row r="61" spans="3:18">
      <c r="C61" s="107" t="s">
        <v>96</v>
      </c>
      <c r="D61" s="121">
        <v>147.33611999999999</v>
      </c>
      <c r="E61" s="121">
        <v>122.30699</v>
      </c>
      <c r="F61" s="121">
        <v>93.33184</v>
      </c>
      <c r="G61" s="121">
        <v>70.675089999999997</v>
      </c>
      <c r="H61" s="121">
        <v>65.448520000000002</v>
      </c>
      <c r="I61" s="121">
        <v>88.085940000000008</v>
      </c>
      <c r="J61" s="116">
        <v>123.48175999999999</v>
      </c>
      <c r="K61" s="116">
        <v>131.49964000000003</v>
      </c>
      <c r="L61" s="121">
        <v>138.03788</v>
      </c>
      <c r="M61" s="121">
        <v>122.64675</v>
      </c>
      <c r="N61" s="121">
        <v>119.95191</v>
      </c>
      <c r="O61" s="121">
        <v>124.68204000000001</v>
      </c>
      <c r="P61" s="121">
        <f t="shared" si="6"/>
        <v>1347.4844800000001</v>
      </c>
      <c r="Q61" s="109"/>
      <c r="R61" s="18"/>
    </row>
    <row r="62" spans="3:18">
      <c r="C62" s="107" t="s">
        <v>97</v>
      </c>
      <c r="D62" s="121">
        <v>362.12588</v>
      </c>
      <c r="E62" s="121">
        <v>335.42369999999994</v>
      </c>
      <c r="F62" s="121">
        <v>303.92642000000001</v>
      </c>
      <c r="G62" s="121">
        <v>197.38598000000002</v>
      </c>
      <c r="H62" s="121">
        <v>169.48217000000002</v>
      </c>
      <c r="I62" s="121">
        <v>228.53403</v>
      </c>
      <c r="J62" s="116">
        <v>241.30017999999998</v>
      </c>
      <c r="K62" s="116">
        <v>214.03942999999998</v>
      </c>
      <c r="L62" s="121">
        <v>183.28613000000001</v>
      </c>
      <c r="M62" s="121">
        <v>161.25068999999999</v>
      </c>
      <c r="N62" s="121">
        <v>233.41507000000001</v>
      </c>
      <c r="O62" s="121">
        <v>417.66926000000001</v>
      </c>
      <c r="P62" s="121">
        <f t="shared" si="6"/>
        <v>3047.8389399999996</v>
      </c>
      <c r="Q62" s="109"/>
      <c r="R62" s="18"/>
    </row>
    <row r="63" spans="3:18">
      <c r="C63" s="107" t="s">
        <v>100</v>
      </c>
      <c r="D63" s="121">
        <v>920.08638000000008</v>
      </c>
      <c r="E63" s="121">
        <v>871.24304000000006</v>
      </c>
      <c r="F63" s="121">
        <v>483.33504999999997</v>
      </c>
      <c r="G63" s="121">
        <v>16.415409999999998</v>
      </c>
      <c r="H63" s="121">
        <v>130.55871999999999</v>
      </c>
      <c r="I63" s="121">
        <v>893.22825</v>
      </c>
      <c r="J63" s="116">
        <v>896.48324000000002</v>
      </c>
      <c r="K63" s="116">
        <v>897.32378000000006</v>
      </c>
      <c r="L63" s="121">
        <v>947.03489000000013</v>
      </c>
      <c r="M63" s="121">
        <v>967.28859</v>
      </c>
      <c r="N63" s="121">
        <v>934.92161999999985</v>
      </c>
      <c r="O63" s="121">
        <v>953.45193999999992</v>
      </c>
      <c r="P63" s="121">
        <f t="shared" si="6"/>
        <v>8911.3709099999996</v>
      </c>
      <c r="Q63" s="109"/>
      <c r="R63" s="18"/>
    </row>
    <row r="64" spans="3:18" ht="15" thickBot="1">
      <c r="C64" s="108" t="s">
        <v>101</v>
      </c>
      <c r="D64" s="151">
        <v>137.13855999999998</v>
      </c>
      <c r="E64" s="151">
        <v>149.06174999999999</v>
      </c>
      <c r="F64" s="151">
        <v>87.295210000000012</v>
      </c>
      <c r="G64" s="151">
        <v>4.5886000000000005</v>
      </c>
      <c r="H64" s="151">
        <v>55.692120000000003</v>
      </c>
      <c r="I64" s="151">
        <v>104.92761</v>
      </c>
      <c r="J64" s="177">
        <v>114.47041</v>
      </c>
      <c r="K64" s="177">
        <v>151.07307</v>
      </c>
      <c r="L64" s="151">
        <v>142.92426</v>
      </c>
      <c r="M64" s="151">
        <v>163.68800999999999</v>
      </c>
      <c r="N64" s="151">
        <v>186.11106000000001</v>
      </c>
      <c r="O64" s="151">
        <v>201.06338</v>
      </c>
      <c r="P64" s="151">
        <f t="shared" si="6"/>
        <v>1498.03404</v>
      </c>
      <c r="Q64" s="109"/>
      <c r="R64" s="18"/>
    </row>
    <row r="65" spans="1:256" ht="15" thickTop="1">
      <c r="D65" s="183">
        <f>+D33/D28</f>
        <v>3.4561367453979095E-3</v>
      </c>
      <c r="E65" s="183">
        <f t="shared" ref="E65:O65" si="16">+E33/E28</f>
        <v>3.0551602410169472E-3</v>
      </c>
      <c r="F65" s="183">
        <f t="shared" si="16"/>
        <v>2.780435837586981E-3</v>
      </c>
      <c r="G65" s="183">
        <f t="shared" si="16"/>
        <v>3.0233735094208165E-3</v>
      </c>
      <c r="H65" s="183">
        <f t="shared" si="16"/>
        <v>4.23420806129211E-3</v>
      </c>
      <c r="I65" s="183">
        <f t="shared" si="16"/>
        <v>4.2462826183068767E-3</v>
      </c>
      <c r="J65" s="183">
        <f t="shared" si="16"/>
        <v>4.3361627067409576E-3</v>
      </c>
      <c r="K65" s="183">
        <f t="shared" si="16"/>
        <v>4.1988001837529737E-3</v>
      </c>
      <c r="L65" s="183">
        <f t="shared" si="16"/>
        <v>4.0368457394119681E-3</v>
      </c>
      <c r="M65" s="183">
        <f t="shared" si="16"/>
        <v>3.952705414824377E-3</v>
      </c>
      <c r="N65" s="183">
        <f t="shared" si="16"/>
        <v>3.9436182430216812E-3</v>
      </c>
      <c r="O65" s="183">
        <f t="shared" si="16"/>
        <v>3.7853175399868745E-3</v>
      </c>
      <c r="R65" s="18"/>
    </row>
    <row r="66" spans="1:256">
      <c r="D66" s="35"/>
      <c r="E66" s="39"/>
      <c r="F66" s="35"/>
      <c r="G66" s="35"/>
      <c r="H66" s="35"/>
      <c r="L66" s="18"/>
      <c r="M66" s="18"/>
      <c r="R66" s="109"/>
    </row>
    <row r="67" spans="1:256">
      <c r="C67" s="3" t="s">
        <v>92</v>
      </c>
      <c r="D67" s="35"/>
      <c r="E67" s="39"/>
      <c r="F67" s="35"/>
      <c r="G67" s="35"/>
      <c r="H67" s="35"/>
      <c r="L67" s="18"/>
      <c r="M67" s="18"/>
      <c r="R67" s="109"/>
    </row>
    <row r="68" spans="1:256" s="11" customFormat="1">
      <c r="A68" s="3"/>
      <c r="B68" s="3"/>
      <c r="C68" s="3"/>
      <c r="D68" s="106">
        <f t="shared" ref="D68:O68" si="17">D39-D40</f>
        <v>62743.415590000011</v>
      </c>
      <c r="E68" s="106">
        <f t="shared" si="17"/>
        <v>61101.16977</v>
      </c>
      <c r="F68" s="106">
        <f t="shared" si="17"/>
        <v>58012.75089000001</v>
      </c>
      <c r="G68" s="106">
        <f t="shared" si="17"/>
        <v>47671.779540000003</v>
      </c>
      <c r="H68" s="106">
        <f t="shared" si="17"/>
        <v>50204.680510000006</v>
      </c>
      <c r="I68" s="106">
        <f t="shared" si="17"/>
        <v>51074.32521000001</v>
      </c>
      <c r="J68" s="106">
        <f t="shared" si="17"/>
        <v>54034.671390000003</v>
      </c>
      <c r="K68" s="106">
        <f t="shared" si="17"/>
        <v>54588.419100000014</v>
      </c>
      <c r="L68" s="106">
        <f t="shared" si="17"/>
        <v>54252.995580000032</v>
      </c>
      <c r="M68" s="106">
        <f t="shared" si="17"/>
        <v>57718.177971990364</v>
      </c>
      <c r="N68" s="106">
        <f t="shared" si="17"/>
        <v>57390.491900000023</v>
      </c>
      <c r="O68" s="106">
        <f t="shared" si="17"/>
        <v>60046.521079999999</v>
      </c>
    </row>
    <row r="69" spans="1:256"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</row>
    <row r="70" spans="1:256" ht="15">
      <c r="D70" s="89">
        <f t="shared" ref="D70:O70" si="18">+D38-D39</f>
        <v>0</v>
      </c>
      <c r="E70" s="89">
        <f t="shared" si="18"/>
        <v>0</v>
      </c>
      <c r="F70" s="89">
        <f t="shared" si="18"/>
        <v>0</v>
      </c>
      <c r="G70" s="89">
        <f t="shared" si="18"/>
        <v>0</v>
      </c>
      <c r="H70" s="89">
        <f t="shared" si="18"/>
        <v>0</v>
      </c>
      <c r="I70" s="89">
        <f t="shared" si="18"/>
        <v>0</v>
      </c>
      <c r="J70" s="89">
        <f t="shared" si="18"/>
        <v>0</v>
      </c>
      <c r="K70" s="89">
        <f t="shared" si="18"/>
        <v>0</v>
      </c>
      <c r="L70" s="89">
        <f t="shared" si="18"/>
        <v>0</v>
      </c>
      <c r="M70" s="89">
        <f t="shared" si="18"/>
        <v>0</v>
      </c>
      <c r="N70" s="89">
        <f t="shared" si="18"/>
        <v>0</v>
      </c>
      <c r="O70" s="89">
        <f t="shared" si="18"/>
        <v>0</v>
      </c>
      <c r="P70" s="89"/>
      <c r="R70" s="90"/>
    </row>
    <row r="71" spans="1:256">
      <c r="B71" s="181"/>
      <c r="C71" s="21"/>
      <c r="D71" s="89">
        <f t="shared" ref="D71:O71" si="19">+D70*0.4</f>
        <v>0</v>
      </c>
      <c r="E71" s="89">
        <f t="shared" si="19"/>
        <v>0</v>
      </c>
      <c r="F71" s="89">
        <f t="shared" si="19"/>
        <v>0</v>
      </c>
      <c r="G71" s="89">
        <f t="shared" si="19"/>
        <v>0</v>
      </c>
      <c r="H71" s="89">
        <f t="shared" si="19"/>
        <v>0</v>
      </c>
      <c r="I71" s="89">
        <f>+I70*0.4</f>
        <v>0</v>
      </c>
      <c r="J71" s="89">
        <f t="shared" si="19"/>
        <v>0</v>
      </c>
      <c r="K71" s="89">
        <f t="shared" si="19"/>
        <v>0</v>
      </c>
      <c r="L71" s="89">
        <f t="shared" si="19"/>
        <v>0</v>
      </c>
      <c r="M71" s="89">
        <f t="shared" si="19"/>
        <v>0</v>
      </c>
      <c r="N71" s="89">
        <f t="shared" si="19"/>
        <v>0</v>
      </c>
      <c r="O71" s="89">
        <f t="shared" si="19"/>
        <v>0</v>
      </c>
      <c r="P71" s="89"/>
    </row>
    <row r="72" spans="1:256">
      <c r="B72" s="181"/>
      <c r="C72" s="21"/>
      <c r="D72" s="89">
        <f t="shared" ref="D72:O72" si="20">+D70*0.6</f>
        <v>0</v>
      </c>
      <c r="E72" s="89">
        <f t="shared" si="20"/>
        <v>0</v>
      </c>
      <c r="F72" s="89">
        <f t="shared" si="20"/>
        <v>0</v>
      </c>
      <c r="G72" s="89">
        <f t="shared" si="20"/>
        <v>0</v>
      </c>
      <c r="H72" s="89">
        <f t="shared" si="20"/>
        <v>0</v>
      </c>
      <c r="I72" s="89">
        <f>+I70*0.6</f>
        <v>0</v>
      </c>
      <c r="J72" s="89">
        <f t="shared" si="20"/>
        <v>0</v>
      </c>
      <c r="K72" s="89">
        <f t="shared" si="20"/>
        <v>0</v>
      </c>
      <c r="L72" s="89">
        <f t="shared" si="20"/>
        <v>0</v>
      </c>
      <c r="M72" s="89">
        <f t="shared" si="20"/>
        <v>0</v>
      </c>
      <c r="N72" s="89">
        <f t="shared" si="20"/>
        <v>0</v>
      </c>
      <c r="O72" s="89">
        <f t="shared" si="20"/>
        <v>0</v>
      </c>
      <c r="P72" s="89"/>
    </row>
    <row r="73" spans="1:256"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89"/>
      <c r="P73" s="89"/>
    </row>
    <row r="74" spans="1:256" ht="15">
      <c r="D74" s="94">
        <f t="shared" ref="D74:O74" si="21">D35/D27</f>
        <v>1.5067527734442631E-2</v>
      </c>
      <c r="E74" s="94">
        <f t="shared" si="21"/>
        <v>1.3777824402741227E-2</v>
      </c>
      <c r="F74" s="94">
        <f t="shared" si="21"/>
        <v>1.3662326304468089E-2</v>
      </c>
      <c r="G74" s="94">
        <f t="shared" si="21"/>
        <v>1.407442560114581E-2</v>
      </c>
      <c r="H74" s="94">
        <f t="shared" si="21"/>
        <v>1.6408641318122724E-2</v>
      </c>
      <c r="I74" s="94">
        <f t="shared" si="21"/>
        <v>1.6201877739449533E-2</v>
      </c>
      <c r="J74" s="94">
        <f t="shared" si="21"/>
        <v>1.5892319371156243E-2</v>
      </c>
      <c r="K74" s="94">
        <f t="shared" si="21"/>
        <v>1.5746527393437779E-2</v>
      </c>
      <c r="L74" s="94">
        <f t="shared" si="21"/>
        <v>1.6249914140065796E-2</v>
      </c>
      <c r="M74" s="94">
        <f t="shared" si="21"/>
        <v>1.5847749487429324E-2</v>
      </c>
      <c r="N74" s="94">
        <f t="shared" si="21"/>
        <v>1.4860174208741726E-2</v>
      </c>
      <c r="O74" s="94">
        <f t="shared" si="21"/>
        <v>1.2479472701221187E-2</v>
      </c>
    </row>
    <row r="75" spans="1:256">
      <c r="D75" s="18"/>
      <c r="E75" s="18"/>
      <c r="F75" s="18"/>
      <c r="G75" s="18"/>
      <c r="H75" s="18"/>
      <c r="I75" s="18"/>
      <c r="J75" s="18"/>
      <c r="K75" s="95"/>
      <c r="L75" s="18"/>
      <c r="M75" s="18"/>
      <c r="N75" s="18"/>
      <c r="O75" s="18"/>
    </row>
    <row r="76" spans="1:256">
      <c r="D76" s="181"/>
    </row>
    <row r="77" spans="1:256"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</row>
    <row r="78" spans="1:256"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</row>
    <row r="81" spans="4:15"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</row>
  </sheetData>
  <printOptions horizontalCentered="1"/>
  <pageMargins left="0.39370078740157483" right="0.39370078740157483" top="1.3779527559055118" bottom="1" header="0" footer="0"/>
  <pageSetup paperSize="9" scale="5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81FA-D93D-49C5-A9AE-5929C95F67C8}">
  <sheetPr codeName="Sheet11">
    <pageSetUpPr fitToPage="1"/>
  </sheetPr>
  <dimension ref="A1:IV98"/>
  <sheetViews>
    <sheetView view="pageBreakPreview" topLeftCell="A4" zoomScaleNormal="80" zoomScaleSheetLayoutView="100" workbookViewId="0">
      <selection activeCell="A45" sqref="A45"/>
    </sheetView>
  </sheetViews>
  <sheetFormatPr baseColWidth="10" defaultColWidth="9" defaultRowHeight="11.25"/>
  <cols>
    <col min="1" max="1" width="3" style="221" customWidth="1"/>
    <col min="2" max="2" width="30.7109375" style="221" customWidth="1"/>
    <col min="3" max="3" width="26.85546875" style="221" bestFit="1" customWidth="1"/>
    <col min="4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0.85546875" style="221" bestFit="1" customWidth="1"/>
    <col min="17" max="17" width="10.42578125" style="221" bestFit="1" customWidth="1"/>
    <col min="18" max="18" width="7.85546875" style="221" bestFit="1" customWidth="1"/>
    <col min="19" max="16384" width="9" style="221"/>
  </cols>
  <sheetData>
    <row r="1" spans="3:16" hidden="1"/>
    <row r="2" spans="3:16" hidden="1"/>
    <row r="3" spans="3:16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61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235">
        <v>1225.9269673368931</v>
      </c>
      <c r="E8" s="235">
        <v>1100.2484706196506</v>
      </c>
      <c r="F8" s="236">
        <v>1199.4271254501343</v>
      </c>
      <c r="G8" s="236">
        <v>707.30790350863333</v>
      </c>
      <c r="H8" s="236">
        <v>1055.3094619804322</v>
      </c>
      <c r="I8" s="236">
        <v>1187.7418468017579</v>
      </c>
      <c r="J8" s="236">
        <v>1004.2177078392117</v>
      </c>
      <c r="K8" s="237">
        <v>1206.8928144256583</v>
      </c>
      <c r="L8" s="236">
        <v>1111.483538032754</v>
      </c>
      <c r="M8" s="236">
        <v>1169.0797572174072</v>
      </c>
      <c r="N8" s="236">
        <v>1172.7716878967285</v>
      </c>
      <c r="O8" s="238">
        <v>1201.6393145847321</v>
      </c>
      <c r="P8" s="239">
        <f t="shared" ref="P8:P14" si="0">+SUM(D8:O8)</f>
        <v>13342.046595693992</v>
      </c>
    </row>
    <row r="9" spans="3:16">
      <c r="C9" s="234" t="s">
        <v>17</v>
      </c>
      <c r="D9" s="235">
        <v>429.30329336547851</v>
      </c>
      <c r="E9" s="235">
        <v>303.46960551324486</v>
      </c>
      <c r="F9" s="236">
        <v>409.99535281443224</v>
      </c>
      <c r="G9" s="236">
        <v>238.45527658462524</v>
      </c>
      <c r="H9" s="236">
        <v>336.58093503624201</v>
      </c>
      <c r="I9" s="236">
        <v>403.42692394150981</v>
      </c>
      <c r="J9" s="236">
        <v>412.18549588409064</v>
      </c>
      <c r="K9" s="237">
        <v>420.12017872714995</v>
      </c>
      <c r="L9" s="236">
        <v>395.99462059789897</v>
      </c>
      <c r="M9" s="236">
        <v>392.21372701495886</v>
      </c>
      <c r="N9" s="236">
        <v>409.39118072140218</v>
      </c>
      <c r="O9" s="238">
        <v>418.94184002876284</v>
      </c>
      <c r="P9" s="239">
        <f t="shared" si="0"/>
        <v>4570.0784302297961</v>
      </c>
    </row>
    <row r="10" spans="3:16">
      <c r="C10" s="234" t="s">
        <v>18</v>
      </c>
      <c r="D10" s="235">
        <v>3463.0213008728028</v>
      </c>
      <c r="E10" s="235">
        <v>3168.7687713699343</v>
      </c>
      <c r="F10" s="236">
        <v>3495.4099975585937</v>
      </c>
      <c r="G10" s="236">
        <v>3328.6704804248811</v>
      </c>
      <c r="H10" s="236">
        <v>3428.6704058227538</v>
      </c>
      <c r="I10" s="236">
        <v>3248.2483761187791</v>
      </c>
      <c r="J10" s="236">
        <v>3450.9501662380694</v>
      </c>
      <c r="K10" s="237">
        <v>3394.3048227157592</v>
      </c>
      <c r="L10" s="236">
        <v>3296.3040373525619</v>
      </c>
      <c r="M10" s="236">
        <v>3428.503410402298</v>
      </c>
      <c r="N10" s="236">
        <v>3348.2044322204588</v>
      </c>
      <c r="O10" s="238">
        <v>3394.4808269119262</v>
      </c>
      <c r="P10" s="239">
        <f t="shared" si="0"/>
        <v>40445.537028008817</v>
      </c>
    </row>
    <row r="11" spans="3:16">
      <c r="C11" s="234" t="s">
        <v>19</v>
      </c>
      <c r="D11" s="235">
        <v>10307.390502253056</v>
      </c>
      <c r="E11" s="235">
        <v>9560.9041686751807</v>
      </c>
      <c r="F11" s="236">
        <v>10412.750909666556</v>
      </c>
      <c r="G11" s="236">
        <v>9980.5389431082785</v>
      </c>
      <c r="H11" s="236">
        <v>8870.0677164368262</v>
      </c>
      <c r="I11" s="236">
        <v>8525.9980172195428</v>
      </c>
      <c r="J11" s="236">
        <v>8895.082621669515</v>
      </c>
      <c r="K11" s="237">
        <v>8748.5140997786075</v>
      </c>
      <c r="L11" s="236">
        <v>8840.9316548437</v>
      </c>
      <c r="M11" s="236">
        <v>9451.2797985742855</v>
      </c>
      <c r="N11" s="236">
        <v>8938.9967329590763</v>
      </c>
      <c r="O11" s="238">
        <v>9403.9944093852209</v>
      </c>
      <c r="P11" s="239">
        <f t="shared" si="0"/>
        <v>111936.44957456985</v>
      </c>
    </row>
    <row r="12" spans="3:16">
      <c r="C12" s="234" t="s">
        <v>20</v>
      </c>
      <c r="D12" s="235">
        <v>72064.964935473647</v>
      </c>
      <c r="E12" s="235">
        <v>83210.969813110351</v>
      </c>
      <c r="F12" s="236">
        <v>104794.88990677262</v>
      </c>
      <c r="G12" s="236">
        <v>84501.596139541623</v>
      </c>
      <c r="H12" s="236">
        <v>54284.203921717643</v>
      </c>
      <c r="I12" s="236">
        <v>51697.41428490555</v>
      </c>
      <c r="J12" s="236">
        <v>53421.481464367389</v>
      </c>
      <c r="K12" s="237">
        <v>53418.250566709758</v>
      </c>
      <c r="L12" s="236">
        <v>54712.470789159896</v>
      </c>
      <c r="M12" s="236">
        <v>58131.604086307641</v>
      </c>
      <c r="N12" s="236">
        <v>55439.239229122191</v>
      </c>
      <c r="O12" s="238">
        <v>62464.398478741532</v>
      </c>
      <c r="P12" s="239">
        <f t="shared" si="0"/>
        <v>788141.48361592984</v>
      </c>
    </row>
    <row r="13" spans="3:16">
      <c r="C13" s="234" t="s">
        <v>21</v>
      </c>
      <c r="D13" s="235">
        <v>5346.0183460291746</v>
      </c>
      <c r="E13" s="235">
        <v>5097.8546658031009</v>
      </c>
      <c r="F13" s="236">
        <v>6466.522624193939</v>
      </c>
      <c r="G13" s="236">
        <v>6116.836457590789</v>
      </c>
      <c r="H13" s="236">
        <v>5303.739443054199</v>
      </c>
      <c r="I13" s="236">
        <v>5094.9713868408207</v>
      </c>
      <c r="J13" s="236">
        <v>5012.9954502857781</v>
      </c>
      <c r="K13" s="237">
        <v>4907.6445278379697</v>
      </c>
      <c r="L13" s="236">
        <v>5193.1321436581075</v>
      </c>
      <c r="M13" s="236">
        <v>5656.7035269775388</v>
      </c>
      <c r="N13" s="236">
        <v>5315.729609871516</v>
      </c>
      <c r="O13" s="238">
        <v>5775.3671303581314</v>
      </c>
      <c r="P13" s="239">
        <f t="shared" si="0"/>
        <v>65287.515312501055</v>
      </c>
    </row>
    <row r="14" spans="3:16">
      <c r="C14" s="240" t="s">
        <v>22</v>
      </c>
      <c r="D14" s="241">
        <f t="shared" ref="D14:O14" si="1">SUM(D8:D13)</f>
        <v>92836.625345331049</v>
      </c>
      <c r="E14" s="241">
        <f t="shared" si="1"/>
        <v>102442.21549509146</v>
      </c>
      <c r="F14" s="241">
        <f t="shared" si="1"/>
        <v>126778.99591645628</v>
      </c>
      <c r="G14" s="241">
        <f t="shared" si="1"/>
        <v>104873.40520075883</v>
      </c>
      <c r="H14" s="241">
        <f t="shared" si="1"/>
        <v>73278.571884048099</v>
      </c>
      <c r="I14" s="241">
        <f t="shared" si="1"/>
        <v>70157.800835827962</v>
      </c>
      <c r="J14" s="241">
        <f t="shared" si="1"/>
        <v>72196.912906284051</v>
      </c>
      <c r="K14" s="241">
        <f t="shared" si="1"/>
        <v>72095.727010194896</v>
      </c>
      <c r="L14" s="241">
        <f t="shared" si="1"/>
        <v>73550.316783644914</v>
      </c>
      <c r="M14" s="241">
        <f t="shared" si="1"/>
        <v>78229.384306494132</v>
      </c>
      <c r="N14" s="241">
        <f t="shared" si="1"/>
        <v>74624.332872791376</v>
      </c>
      <c r="O14" s="242">
        <f t="shared" si="1"/>
        <v>82658.822000010303</v>
      </c>
      <c r="P14" s="243">
        <f t="shared" si="0"/>
        <v>1023723.1105569334</v>
      </c>
    </row>
    <row r="15" spans="3:16">
      <c r="C15" s="228" t="s">
        <v>23</v>
      </c>
      <c r="D15" s="244"/>
      <c r="E15" s="244"/>
      <c r="F15" s="245"/>
      <c r="G15" s="245"/>
      <c r="H15" s="245"/>
      <c r="I15" s="245"/>
      <c r="J15" s="245"/>
      <c r="K15" s="246"/>
      <c r="L15" s="236"/>
      <c r="M15" s="236"/>
      <c r="N15" s="236"/>
      <c r="O15" s="238"/>
      <c r="P15" s="247"/>
    </row>
    <row r="16" spans="3:16">
      <c r="C16" s="248" t="s">
        <v>24</v>
      </c>
      <c r="D16" s="235">
        <v>0</v>
      </c>
      <c r="E16" s="235">
        <v>0</v>
      </c>
      <c r="F16" s="236">
        <v>0</v>
      </c>
      <c r="G16" s="236">
        <v>0</v>
      </c>
      <c r="H16" s="236">
        <v>0</v>
      </c>
      <c r="I16" s="236">
        <v>0</v>
      </c>
      <c r="J16" s="236">
        <v>0</v>
      </c>
      <c r="K16" s="237">
        <v>0</v>
      </c>
      <c r="L16" s="236">
        <v>0</v>
      </c>
      <c r="M16" s="236">
        <v>0</v>
      </c>
      <c r="N16" s="236">
        <v>0</v>
      </c>
      <c r="O16" s="238">
        <v>0</v>
      </c>
      <c r="P16" s="239">
        <f t="shared" ref="P16:P22" si="2">+SUM(D16:O16)</f>
        <v>0</v>
      </c>
    </row>
    <row r="17" spans="3:18">
      <c r="C17" s="234" t="s">
        <v>25</v>
      </c>
      <c r="D17" s="235">
        <v>0.41647253417968749</v>
      </c>
      <c r="E17" s="235">
        <v>8.1636456127166745</v>
      </c>
      <c r="F17" s="236">
        <v>0</v>
      </c>
      <c r="G17" s="236">
        <v>0.31892608642578124</v>
      </c>
      <c r="H17" s="236">
        <v>0</v>
      </c>
      <c r="I17" s="236">
        <v>1.0249066925048829</v>
      </c>
      <c r="J17" s="236">
        <v>0</v>
      </c>
      <c r="K17" s="237">
        <v>1.1803147888183594</v>
      </c>
      <c r="L17" s="236">
        <v>0</v>
      </c>
      <c r="M17" s="236">
        <v>25.103627816231956</v>
      </c>
      <c r="N17" s="236">
        <v>27.669574584960937</v>
      </c>
      <c r="O17" s="238">
        <v>1.5307388582229615</v>
      </c>
      <c r="P17" s="239">
        <f t="shared" si="2"/>
        <v>65.408206974061244</v>
      </c>
    </row>
    <row r="18" spans="3:18">
      <c r="C18" s="248" t="s">
        <v>26</v>
      </c>
      <c r="D18" s="235">
        <v>14.40608958530426</v>
      </c>
      <c r="E18" s="235">
        <v>13.312516209158641</v>
      </c>
      <c r="F18" s="236">
        <v>0</v>
      </c>
      <c r="G18" s="236">
        <v>0.5451117553710938</v>
      </c>
      <c r="H18" s="236">
        <v>0</v>
      </c>
      <c r="I18" s="236">
        <v>0.64248705568170406</v>
      </c>
      <c r="J18" s="236">
        <v>0</v>
      </c>
      <c r="K18" s="237">
        <v>0.56535441103590711</v>
      </c>
      <c r="L18" s="236">
        <v>0</v>
      </c>
      <c r="M18" s="236">
        <v>5.2870844282461036</v>
      </c>
      <c r="N18" s="236">
        <v>0.60439826248586181</v>
      </c>
      <c r="O18" s="238">
        <v>2.8432527294214305</v>
      </c>
      <c r="P18" s="239">
        <f t="shared" si="2"/>
        <v>38.206294436705001</v>
      </c>
      <c r="Q18" s="249"/>
    </row>
    <row r="19" spans="3:18">
      <c r="C19" s="248" t="s">
        <v>27</v>
      </c>
      <c r="D19" s="235">
        <v>6.3288011775639319</v>
      </c>
      <c r="E19" s="235">
        <v>20.403311557769776</v>
      </c>
      <c r="F19" s="236">
        <v>0.93851548099517812</v>
      </c>
      <c r="G19" s="236">
        <v>0.95060052490234381</v>
      </c>
      <c r="H19" s="236">
        <v>3.415229449020325</v>
      </c>
      <c r="I19" s="236">
        <v>0</v>
      </c>
      <c r="J19" s="236">
        <v>3.5564135079628323</v>
      </c>
      <c r="K19" s="237">
        <v>0</v>
      </c>
      <c r="L19" s="236">
        <v>23.777643438636417</v>
      </c>
      <c r="M19" s="236">
        <v>20.597472862243652</v>
      </c>
      <c r="N19" s="236">
        <v>22.130573420044968</v>
      </c>
      <c r="O19" s="238">
        <v>23.763413604736328</v>
      </c>
      <c r="P19" s="239">
        <f t="shared" si="2"/>
        <v>125.86197502387576</v>
      </c>
      <c r="Q19" s="249"/>
    </row>
    <row r="20" spans="3:18">
      <c r="C20" s="250" t="s">
        <v>46</v>
      </c>
      <c r="D20" s="235">
        <v>0</v>
      </c>
      <c r="E20" s="235">
        <v>0</v>
      </c>
      <c r="F20" s="235">
        <v>0</v>
      </c>
      <c r="G20" s="235">
        <v>0</v>
      </c>
      <c r="H20" s="235">
        <v>0</v>
      </c>
      <c r="I20" s="235">
        <v>0</v>
      </c>
      <c r="J20" s="235">
        <v>0</v>
      </c>
      <c r="K20" s="235">
        <v>0</v>
      </c>
      <c r="L20" s="235">
        <v>0</v>
      </c>
      <c r="M20" s="235">
        <v>0</v>
      </c>
      <c r="N20" s="235">
        <v>0</v>
      </c>
      <c r="O20" s="237">
        <v>0</v>
      </c>
      <c r="P20" s="239">
        <f t="shared" si="2"/>
        <v>0</v>
      </c>
      <c r="Q20" s="249"/>
    </row>
    <row r="21" spans="3:18">
      <c r="C21" s="240" t="s">
        <v>28</v>
      </c>
      <c r="D21" s="241">
        <f t="shared" ref="D21:O21" si="3">SUM(D16:D20)</f>
        <v>21.15136329704788</v>
      </c>
      <c r="E21" s="241">
        <f t="shared" si="3"/>
        <v>41.879473379645091</v>
      </c>
      <c r="F21" s="241">
        <f t="shared" si="3"/>
        <v>0.93851548099517812</v>
      </c>
      <c r="G21" s="241">
        <f t="shared" si="3"/>
        <v>1.814638366699219</v>
      </c>
      <c r="H21" s="241">
        <f t="shared" si="3"/>
        <v>3.415229449020325</v>
      </c>
      <c r="I21" s="241">
        <f t="shared" si="3"/>
        <v>1.667393748186587</v>
      </c>
      <c r="J21" s="241">
        <f t="shared" si="3"/>
        <v>3.5564135079628323</v>
      </c>
      <c r="K21" s="241">
        <f t="shared" si="3"/>
        <v>1.7456691998542664</v>
      </c>
      <c r="L21" s="241">
        <f t="shared" si="3"/>
        <v>23.777643438636417</v>
      </c>
      <c r="M21" s="241">
        <f t="shared" si="3"/>
        <v>50.988185106721716</v>
      </c>
      <c r="N21" s="241">
        <f t="shared" si="3"/>
        <v>50.404546267491767</v>
      </c>
      <c r="O21" s="242">
        <f t="shared" si="3"/>
        <v>28.137405192380719</v>
      </c>
      <c r="P21" s="243">
        <f t="shared" si="2"/>
        <v>229.47647643464197</v>
      </c>
    </row>
    <row r="22" spans="3:18" ht="12" thickBot="1">
      <c r="C22" s="251" t="s">
        <v>29</v>
      </c>
      <c r="D22" s="252">
        <f t="shared" ref="D22:O22" si="4">+D14+D21</f>
        <v>92857.776708628095</v>
      </c>
      <c r="E22" s="252">
        <f t="shared" si="4"/>
        <v>102484.09496847109</v>
      </c>
      <c r="F22" s="252">
        <f t="shared" si="4"/>
        <v>126779.93443193728</v>
      </c>
      <c r="G22" s="252">
        <f t="shared" si="4"/>
        <v>104875.21983912554</v>
      </c>
      <c r="H22" s="252">
        <f t="shared" si="4"/>
        <v>73281.987113497118</v>
      </c>
      <c r="I22" s="252">
        <f t="shared" si="4"/>
        <v>70159.468229576145</v>
      </c>
      <c r="J22" s="252">
        <f t="shared" si="4"/>
        <v>72200.469319792013</v>
      </c>
      <c r="K22" s="252">
        <f t="shared" si="4"/>
        <v>72097.472679394748</v>
      </c>
      <c r="L22" s="252">
        <f t="shared" si="4"/>
        <v>73574.094427083546</v>
      </c>
      <c r="M22" s="252">
        <f t="shared" si="4"/>
        <v>78280.37249160085</v>
      </c>
      <c r="N22" s="252">
        <f t="shared" si="4"/>
        <v>74674.737419058874</v>
      </c>
      <c r="O22" s="253">
        <f t="shared" si="4"/>
        <v>82686.959405202681</v>
      </c>
      <c r="P22" s="254">
        <f t="shared" si="2"/>
        <v>1023952.5870333679</v>
      </c>
    </row>
    <row r="23" spans="3:18" ht="12" thickTop="1"/>
    <row r="24" spans="3:18">
      <c r="C24" s="222" t="s">
        <v>105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18" ht="12" thickBot="1"/>
    <row r="26" spans="3:18" ht="12" thickTop="1">
      <c r="C26" s="255" t="s">
        <v>30</v>
      </c>
      <c r="D26" s="256" t="s">
        <v>2</v>
      </c>
      <c r="E26" s="257" t="s">
        <v>3</v>
      </c>
      <c r="F26" s="257" t="s">
        <v>4</v>
      </c>
      <c r="G26" s="257" t="s">
        <v>5</v>
      </c>
      <c r="H26" s="257" t="s">
        <v>6</v>
      </c>
      <c r="I26" s="257" t="s">
        <v>7</v>
      </c>
      <c r="J26" s="257" t="s">
        <v>8</v>
      </c>
      <c r="K26" s="257" t="s">
        <v>9</v>
      </c>
      <c r="L26" s="257" t="s">
        <v>10</v>
      </c>
      <c r="M26" s="257" t="s">
        <v>11</v>
      </c>
      <c r="N26" s="257" t="s">
        <v>12</v>
      </c>
      <c r="O26" s="258" t="s">
        <v>13</v>
      </c>
      <c r="P26" s="259" t="s">
        <v>14</v>
      </c>
    </row>
    <row r="27" spans="3:18">
      <c r="C27" s="260" t="s">
        <v>31</v>
      </c>
      <c r="D27" s="261">
        <f t="shared" ref="D27:O27" si="5">+D28+D29</f>
        <v>92857.776708628095</v>
      </c>
      <c r="E27" s="262">
        <f t="shared" si="5"/>
        <v>102484.09496847109</v>
      </c>
      <c r="F27" s="263">
        <f t="shared" si="5"/>
        <v>126779.93443193728</v>
      </c>
      <c r="G27" s="263">
        <f t="shared" si="5"/>
        <v>104875.21983912554</v>
      </c>
      <c r="H27" s="263">
        <f t="shared" si="5"/>
        <v>73281.987113497118</v>
      </c>
      <c r="I27" s="263">
        <f t="shared" si="5"/>
        <v>70159.468229576145</v>
      </c>
      <c r="J27" s="263">
        <f t="shared" si="5"/>
        <v>72200.469319792013</v>
      </c>
      <c r="K27" s="263">
        <f t="shared" si="5"/>
        <v>72097.472679394748</v>
      </c>
      <c r="L27" s="263">
        <f t="shared" si="5"/>
        <v>73574.094427083546</v>
      </c>
      <c r="M27" s="263">
        <f t="shared" si="5"/>
        <v>78280.37249160085</v>
      </c>
      <c r="N27" s="263">
        <f t="shared" si="5"/>
        <v>74674.737419058874</v>
      </c>
      <c r="O27" s="264">
        <f t="shared" si="5"/>
        <v>82686.959405202681</v>
      </c>
      <c r="P27" s="265">
        <f>SUM(D27:O27)</f>
        <v>1023952.5870333679</v>
      </c>
      <c r="R27" s="246"/>
    </row>
    <row r="28" spans="3:18">
      <c r="C28" s="266" t="s">
        <v>32</v>
      </c>
      <c r="D28" s="267">
        <f>+D14</f>
        <v>92836.625345331049</v>
      </c>
      <c r="E28" s="268">
        <f t="shared" ref="E28:O28" si="6">+E14</f>
        <v>102442.21549509146</v>
      </c>
      <c r="F28" s="268">
        <f t="shared" si="6"/>
        <v>126778.99591645628</v>
      </c>
      <c r="G28" s="268">
        <f t="shared" si="6"/>
        <v>104873.40520075883</v>
      </c>
      <c r="H28" s="268">
        <f t="shared" si="6"/>
        <v>73278.571884048099</v>
      </c>
      <c r="I28" s="268">
        <f t="shared" si="6"/>
        <v>70157.800835827962</v>
      </c>
      <c r="J28" s="268">
        <f t="shared" si="6"/>
        <v>72196.912906284051</v>
      </c>
      <c r="K28" s="268">
        <f t="shared" si="6"/>
        <v>72095.727010194896</v>
      </c>
      <c r="L28" s="268">
        <f t="shared" si="6"/>
        <v>73550.316783644914</v>
      </c>
      <c r="M28" s="268">
        <f t="shared" si="6"/>
        <v>78229.384306494132</v>
      </c>
      <c r="N28" s="268">
        <f t="shared" si="6"/>
        <v>74624.332872791376</v>
      </c>
      <c r="O28" s="268">
        <f t="shared" si="6"/>
        <v>82658.822000010303</v>
      </c>
      <c r="P28" s="269">
        <f t="shared" ref="P28:P64" si="7">SUM(D28:O28)</f>
        <v>1023723.1105569334</v>
      </c>
      <c r="R28" s="246"/>
    </row>
    <row r="29" spans="3:18">
      <c r="C29" s="270" t="s">
        <v>33</v>
      </c>
      <c r="D29" s="271">
        <f>+D21</f>
        <v>21.15136329704788</v>
      </c>
      <c r="E29" s="272">
        <f t="shared" ref="E29:O29" si="8">+E21</f>
        <v>41.879473379645091</v>
      </c>
      <c r="F29" s="272">
        <f t="shared" si="8"/>
        <v>0.93851548099517812</v>
      </c>
      <c r="G29" s="272">
        <f t="shared" si="8"/>
        <v>1.814638366699219</v>
      </c>
      <c r="H29" s="272">
        <f t="shared" si="8"/>
        <v>3.415229449020325</v>
      </c>
      <c r="I29" s="272">
        <f t="shared" si="8"/>
        <v>1.667393748186587</v>
      </c>
      <c r="J29" s="272">
        <f t="shared" si="8"/>
        <v>3.5564135079628323</v>
      </c>
      <c r="K29" s="272">
        <f t="shared" si="8"/>
        <v>1.7456691998542664</v>
      </c>
      <c r="L29" s="272">
        <f t="shared" si="8"/>
        <v>23.777643438636417</v>
      </c>
      <c r="M29" s="272">
        <f t="shared" si="8"/>
        <v>50.988185106721716</v>
      </c>
      <c r="N29" s="272">
        <f t="shared" si="8"/>
        <v>50.404546267491767</v>
      </c>
      <c r="O29" s="272">
        <f t="shared" si="8"/>
        <v>28.137405192380719</v>
      </c>
      <c r="P29" s="273">
        <f t="shared" si="7"/>
        <v>229.47647643464197</v>
      </c>
      <c r="R29" s="246"/>
    </row>
    <row r="30" spans="3:18">
      <c r="C30" s="260" t="s">
        <v>34</v>
      </c>
      <c r="D30" s="274">
        <f t="shared" ref="D30:O30" si="9">+D31</f>
        <v>0</v>
      </c>
      <c r="E30" s="263">
        <f t="shared" si="9"/>
        <v>0</v>
      </c>
      <c r="F30" s="263">
        <f t="shared" si="9"/>
        <v>0</v>
      </c>
      <c r="G30" s="263">
        <f t="shared" si="9"/>
        <v>0</v>
      </c>
      <c r="H30" s="263">
        <f t="shared" si="9"/>
        <v>0</v>
      </c>
      <c r="I30" s="263">
        <f t="shared" si="9"/>
        <v>0</v>
      </c>
      <c r="J30" s="263">
        <f t="shared" si="9"/>
        <v>0</v>
      </c>
      <c r="K30" s="263">
        <f t="shared" si="9"/>
        <v>32572.8218195644</v>
      </c>
      <c r="L30" s="263">
        <f t="shared" si="9"/>
        <v>0</v>
      </c>
      <c r="M30" s="263">
        <f t="shared" si="9"/>
        <v>0</v>
      </c>
      <c r="N30" s="263">
        <f t="shared" si="9"/>
        <v>0</v>
      </c>
      <c r="O30" s="264">
        <f t="shared" si="9"/>
        <v>0</v>
      </c>
      <c r="P30" s="265">
        <f t="shared" si="7"/>
        <v>32572.8218195644</v>
      </c>
      <c r="R30" s="246"/>
    </row>
    <row r="31" spans="3:18">
      <c r="C31" s="266" t="s">
        <v>41</v>
      </c>
      <c r="D31" s="267">
        <v>0</v>
      </c>
      <c r="E31" s="272">
        <v>0</v>
      </c>
      <c r="F31" s="272">
        <v>0</v>
      </c>
      <c r="G31" s="272">
        <v>0</v>
      </c>
      <c r="H31" s="268">
        <v>0</v>
      </c>
      <c r="I31" s="268">
        <v>0</v>
      </c>
      <c r="J31" s="268"/>
      <c r="K31" s="268">
        <v>32572.8218195644</v>
      </c>
      <c r="L31" s="268">
        <v>0</v>
      </c>
      <c r="M31" s="268">
        <v>0</v>
      </c>
      <c r="N31" s="268">
        <v>0</v>
      </c>
      <c r="O31" s="275"/>
      <c r="P31" s="269">
        <f t="shared" si="7"/>
        <v>32572.8218195644</v>
      </c>
      <c r="R31" s="246"/>
    </row>
    <row r="32" spans="3:18">
      <c r="C32" s="260" t="s">
        <v>35</v>
      </c>
      <c r="D32" s="261">
        <f>+D33+D34</f>
        <v>322.81552739629518</v>
      </c>
      <c r="E32" s="263">
        <f t="shared" ref="E32:O32" si="10">+E33+E34</f>
        <v>315.22511432633627</v>
      </c>
      <c r="F32" s="263">
        <f t="shared" si="10"/>
        <v>352.64487279364681</v>
      </c>
      <c r="G32" s="263">
        <f t="shared" si="10"/>
        <v>317.29171381295731</v>
      </c>
      <c r="H32" s="263">
        <f t="shared" si="10"/>
        <v>310.6665574798559</v>
      </c>
      <c r="I32" s="263">
        <f t="shared" si="10"/>
        <v>298.06515541861449</v>
      </c>
      <c r="J32" s="263">
        <f t="shared" si="10"/>
        <v>313.62659825809976</v>
      </c>
      <c r="K32" s="263">
        <f t="shared" si="10"/>
        <v>302.80875758231349</v>
      </c>
      <c r="L32" s="263">
        <f t="shared" si="10"/>
        <v>298.06986474282576</v>
      </c>
      <c r="M32" s="263">
        <f t="shared" si="10"/>
        <v>310.80625102067114</v>
      </c>
      <c r="N32" s="263">
        <f t="shared" si="10"/>
        <v>295.67298983167842</v>
      </c>
      <c r="O32" s="276">
        <f t="shared" si="10"/>
        <v>314.82172509286374</v>
      </c>
      <c r="P32" s="265">
        <f t="shared" si="7"/>
        <v>3752.5151277561581</v>
      </c>
      <c r="R32" s="246"/>
    </row>
    <row r="33" spans="2:20">
      <c r="B33" s="277"/>
      <c r="C33" s="266" t="s">
        <v>32</v>
      </c>
      <c r="D33" s="267">
        <v>320.85607217473756</v>
      </c>
      <c r="E33" s="268">
        <v>312.97738378229366</v>
      </c>
      <c r="F33" s="268">
        <v>352.50086369940851</v>
      </c>
      <c r="G33" s="268">
        <v>317.07147512672952</v>
      </c>
      <c r="H33" s="268">
        <v>310.27671979140985</v>
      </c>
      <c r="I33" s="268">
        <v>297.90985022781194</v>
      </c>
      <c r="J33" s="268">
        <v>313.05756128605384</v>
      </c>
      <c r="K33" s="268">
        <v>302.71555181821054</v>
      </c>
      <c r="L33" s="268">
        <v>296.91128294045757</v>
      </c>
      <c r="M33" s="268">
        <v>309.2177109466565</v>
      </c>
      <c r="N33" s="268">
        <v>294.28988049046262</v>
      </c>
      <c r="O33" s="275">
        <v>312.88988875129195</v>
      </c>
      <c r="P33" s="269">
        <f t="shared" si="7"/>
        <v>3740.6742410355241</v>
      </c>
      <c r="R33" s="246"/>
    </row>
    <row r="34" spans="2:20">
      <c r="B34" s="278"/>
      <c r="C34" s="279" t="s">
        <v>33</v>
      </c>
      <c r="D34" s="267">
        <v>1.9594552215576171</v>
      </c>
      <c r="E34" s="268">
        <v>2.2477305440425877</v>
      </c>
      <c r="F34" s="268">
        <v>0.14400909423828126</v>
      </c>
      <c r="G34" s="272">
        <v>0.22023868622779846</v>
      </c>
      <c r="H34" s="272">
        <v>0.38983768844604494</v>
      </c>
      <c r="I34" s="272">
        <v>0.15530519080257416</v>
      </c>
      <c r="J34" s="272">
        <v>0.56903697204589843</v>
      </c>
      <c r="K34" s="272">
        <v>9.3205764102935781E-2</v>
      </c>
      <c r="L34" s="272">
        <v>1.158581802368164</v>
      </c>
      <c r="M34" s="268">
        <v>1.5885400740146638</v>
      </c>
      <c r="N34" s="272">
        <v>1.3831093412157893</v>
      </c>
      <c r="O34" s="280">
        <v>1.9318363415718078</v>
      </c>
      <c r="P34" s="273">
        <f t="shared" si="7"/>
        <v>11.840886720634161</v>
      </c>
      <c r="R34" s="246"/>
    </row>
    <row r="35" spans="2:20">
      <c r="C35" s="281" t="s">
        <v>36</v>
      </c>
      <c r="D35" s="261">
        <f t="shared" ref="D35:O35" si="11">+D36+D37</f>
        <v>1401.7099359159329</v>
      </c>
      <c r="E35" s="263">
        <f t="shared" si="11"/>
        <v>1412.0107345494616</v>
      </c>
      <c r="F35" s="263">
        <f t="shared" si="11"/>
        <v>1702.1900930682168</v>
      </c>
      <c r="G35" s="282">
        <f t="shared" si="11"/>
        <v>1476.0584790295834</v>
      </c>
      <c r="H35" s="282">
        <f t="shared" si="11"/>
        <v>1202.6776316246833</v>
      </c>
      <c r="I35" s="282">
        <f t="shared" si="11"/>
        <v>1136.7030165203905</v>
      </c>
      <c r="J35" s="282">
        <f t="shared" si="11"/>
        <v>1147.4316271774878</v>
      </c>
      <c r="K35" s="282">
        <f t="shared" si="11"/>
        <v>1168.1551775602275</v>
      </c>
      <c r="L35" s="282">
        <f t="shared" si="11"/>
        <v>1195.0694773732248</v>
      </c>
      <c r="M35" s="263">
        <f t="shared" si="11"/>
        <v>1240.5677330295439</v>
      </c>
      <c r="N35" s="282">
        <f t="shared" si="11"/>
        <v>1109.6796070392738</v>
      </c>
      <c r="O35" s="283">
        <f t="shared" si="11"/>
        <v>1257.2063672059303</v>
      </c>
      <c r="P35" s="284">
        <f t="shared" si="7"/>
        <v>15449.459880093957</v>
      </c>
      <c r="R35" s="246"/>
    </row>
    <row r="36" spans="2:20">
      <c r="B36" s="278"/>
      <c r="C36" s="266" t="s">
        <v>37</v>
      </c>
      <c r="D36" s="267">
        <v>560.68397436637315</v>
      </c>
      <c r="E36" s="268">
        <v>564.80429381978468</v>
      </c>
      <c r="F36" s="268">
        <v>680.87603722728682</v>
      </c>
      <c r="G36" s="268">
        <v>590.42339161183338</v>
      </c>
      <c r="H36" s="268">
        <v>481.07105264987331</v>
      </c>
      <c r="I36" s="268">
        <v>454.68120660815623</v>
      </c>
      <c r="J36" s="268">
        <v>458.97265087099515</v>
      </c>
      <c r="K36" s="268">
        <v>467.26207102409103</v>
      </c>
      <c r="L36" s="268">
        <v>478.02779094928997</v>
      </c>
      <c r="M36" s="268">
        <v>496.22709321181759</v>
      </c>
      <c r="N36" s="268">
        <v>443.87184281570956</v>
      </c>
      <c r="O36" s="268">
        <v>502.88254688237214</v>
      </c>
      <c r="P36" s="269">
        <f t="shared" si="7"/>
        <v>6179.7839520375828</v>
      </c>
      <c r="R36" s="246"/>
      <c r="T36" s="246"/>
    </row>
    <row r="37" spans="2:20">
      <c r="B37" s="285"/>
      <c r="C37" s="266" t="s">
        <v>38</v>
      </c>
      <c r="D37" s="286">
        <v>841.02596154955972</v>
      </c>
      <c r="E37" s="272">
        <v>847.20644072967696</v>
      </c>
      <c r="F37" s="272">
        <v>1021.31405584093</v>
      </c>
      <c r="G37" s="268">
        <v>885.63508741775001</v>
      </c>
      <c r="H37" s="268">
        <v>721.60657897480996</v>
      </c>
      <c r="I37" s="268">
        <v>682.02180991223429</v>
      </c>
      <c r="J37" s="268">
        <v>688.45897630649267</v>
      </c>
      <c r="K37" s="272">
        <v>700.89310653613643</v>
      </c>
      <c r="L37" s="272">
        <v>717.04168642393483</v>
      </c>
      <c r="M37" s="272">
        <v>744.34063981772636</v>
      </c>
      <c r="N37" s="272">
        <v>665.80776422356428</v>
      </c>
      <c r="O37" s="272">
        <v>754.32382032355815</v>
      </c>
      <c r="P37" s="269">
        <f t="shared" si="7"/>
        <v>9269.6759280563729</v>
      </c>
      <c r="S37" s="246"/>
      <c r="T37" s="246"/>
    </row>
    <row r="38" spans="2:20">
      <c r="B38" s="285"/>
      <c r="C38" s="287" t="s">
        <v>39</v>
      </c>
      <c r="D38" s="302">
        <f t="shared" ref="D38:O38" si="12">+D27+D30-D32-D35</f>
        <v>91133.251245315871</v>
      </c>
      <c r="E38" s="302">
        <f t="shared" si="12"/>
        <v>100756.85911959529</v>
      </c>
      <c r="F38" s="302">
        <f t="shared" si="12"/>
        <v>124725.09946607541</v>
      </c>
      <c r="G38" s="302">
        <f t="shared" si="12"/>
        <v>103081.869646283</v>
      </c>
      <c r="H38" s="302">
        <f t="shared" si="12"/>
        <v>71768.642924392581</v>
      </c>
      <c r="I38" s="302">
        <f t="shared" si="12"/>
        <v>68724.700057637136</v>
      </c>
      <c r="J38" s="302">
        <f t="shared" si="12"/>
        <v>70739.41109435643</v>
      </c>
      <c r="K38" s="302">
        <f t="shared" si="12"/>
        <v>103199.33056381661</v>
      </c>
      <c r="L38" s="302">
        <f t="shared" si="12"/>
        <v>72080.9550849675</v>
      </c>
      <c r="M38" s="302">
        <f t="shared" si="12"/>
        <v>76728.998507550641</v>
      </c>
      <c r="N38" s="302">
        <f t="shared" si="12"/>
        <v>73269.384822187916</v>
      </c>
      <c r="O38" s="302">
        <f t="shared" si="12"/>
        <v>81114.931312903893</v>
      </c>
      <c r="P38" s="302">
        <f t="shared" si="7"/>
        <v>1037323.4338450824</v>
      </c>
      <c r="R38" s="246"/>
    </row>
    <row r="39" spans="2:20">
      <c r="B39" s="285"/>
      <c r="C39" s="287" t="s">
        <v>40</v>
      </c>
      <c r="D39" s="302">
        <f t="shared" ref="D39:O39" si="13">+D40+D43+D55</f>
        <v>91133.251245315856</v>
      </c>
      <c r="E39" s="302">
        <f t="shared" si="13"/>
        <v>100756.85911959529</v>
      </c>
      <c r="F39" s="302">
        <f t="shared" si="13"/>
        <v>124725.09946607541</v>
      </c>
      <c r="G39" s="302">
        <f t="shared" si="13"/>
        <v>103081.869646283</v>
      </c>
      <c r="H39" s="302">
        <f t="shared" si="13"/>
        <v>71768.642924392596</v>
      </c>
      <c r="I39" s="302">
        <f t="shared" si="13"/>
        <v>68724.700057637136</v>
      </c>
      <c r="J39" s="302">
        <f t="shared" si="13"/>
        <v>70739.41109435643</v>
      </c>
      <c r="K39" s="302">
        <f t="shared" si="13"/>
        <v>103199.33056381661</v>
      </c>
      <c r="L39" s="302">
        <f t="shared" si="13"/>
        <v>72080.955084967514</v>
      </c>
      <c r="M39" s="302">
        <f t="shared" si="13"/>
        <v>76728.998507550641</v>
      </c>
      <c r="N39" s="302">
        <f t="shared" si="13"/>
        <v>73269.384822187931</v>
      </c>
      <c r="O39" s="302">
        <f t="shared" si="13"/>
        <v>81114.931312903893</v>
      </c>
      <c r="P39" s="302">
        <f t="shared" si="7"/>
        <v>1037323.4338450824</v>
      </c>
      <c r="R39" s="246"/>
    </row>
    <row r="40" spans="2:20">
      <c r="C40" s="281" t="s">
        <v>44</v>
      </c>
      <c r="D40" s="263">
        <f t="shared" ref="D40:O40" si="14">+D41+D42</f>
        <v>28392.408465315872</v>
      </c>
      <c r="E40" s="263">
        <f t="shared" si="14"/>
        <v>39655.692219595301</v>
      </c>
      <c r="F40" s="263">
        <f t="shared" si="14"/>
        <v>66682.429836075404</v>
      </c>
      <c r="G40" s="263">
        <f t="shared" si="14"/>
        <v>55410.090106282994</v>
      </c>
      <c r="H40" s="263">
        <f t="shared" si="14"/>
        <v>21564.182204392593</v>
      </c>
      <c r="I40" s="263">
        <f t="shared" si="14"/>
        <v>17650.36273763713</v>
      </c>
      <c r="J40" s="263">
        <f t="shared" si="14"/>
        <v>16704.738414356412</v>
      </c>
      <c r="K40" s="263">
        <f t="shared" si="14"/>
        <v>48609.565323816598</v>
      </c>
      <c r="L40" s="263">
        <f t="shared" si="14"/>
        <v>17827.456264967492</v>
      </c>
      <c r="M40" s="263">
        <f t="shared" si="14"/>
        <v>19010.820535560277</v>
      </c>
      <c r="N40" s="263">
        <f t="shared" si="14"/>
        <v>15878.892922187908</v>
      </c>
      <c r="O40" s="263">
        <f t="shared" si="14"/>
        <v>21068.006532903899</v>
      </c>
      <c r="P40" s="263">
        <f t="shared" si="7"/>
        <v>368454.64556309191</v>
      </c>
      <c r="R40" s="246"/>
      <c r="S40" s="246"/>
    </row>
    <row r="41" spans="2:20">
      <c r="B41" s="278"/>
      <c r="C41" s="266" t="s">
        <v>41</v>
      </c>
      <c r="D41" s="268">
        <v>28392.408465315872</v>
      </c>
      <c r="E41" s="268">
        <v>39655.692219595301</v>
      </c>
      <c r="F41" s="268">
        <v>66682.429836075404</v>
      </c>
      <c r="G41" s="268">
        <v>55410.090106282994</v>
      </c>
      <c r="H41" s="268">
        <v>21564.182204392593</v>
      </c>
      <c r="I41" s="268">
        <v>17650.36273763713</v>
      </c>
      <c r="J41" s="268">
        <v>16704.738414356412</v>
      </c>
      <c r="K41" s="268">
        <v>48609.565323816598</v>
      </c>
      <c r="L41" s="268">
        <v>17827.456264967492</v>
      </c>
      <c r="M41" s="268">
        <v>19010.820535560277</v>
      </c>
      <c r="N41" s="268">
        <v>15878.892922187908</v>
      </c>
      <c r="O41" s="268">
        <v>21068.006532903899</v>
      </c>
      <c r="P41" s="268">
        <f t="shared" si="7"/>
        <v>368454.64556309191</v>
      </c>
      <c r="Q41" s="246"/>
      <c r="R41" s="246"/>
    </row>
    <row r="42" spans="2:20" hidden="1">
      <c r="C42" s="266" t="s">
        <v>45</v>
      </c>
      <c r="D42" s="268">
        <v>0</v>
      </c>
      <c r="E42" s="268">
        <v>0</v>
      </c>
      <c r="F42" s="268">
        <v>0</v>
      </c>
      <c r="G42" s="268">
        <v>0</v>
      </c>
      <c r="H42" s="268">
        <v>0</v>
      </c>
      <c r="I42" s="268">
        <v>0</v>
      </c>
      <c r="J42" s="268">
        <v>0</v>
      </c>
      <c r="K42" s="268">
        <v>0</v>
      </c>
      <c r="L42" s="268">
        <v>0</v>
      </c>
      <c r="M42" s="268">
        <v>0</v>
      </c>
      <c r="N42" s="268">
        <v>0</v>
      </c>
      <c r="O42" s="268"/>
      <c r="P42" s="268">
        <f t="shared" si="7"/>
        <v>0</v>
      </c>
      <c r="Q42" s="246"/>
      <c r="R42" s="246"/>
    </row>
    <row r="43" spans="2:20">
      <c r="C43" s="281" t="s">
        <v>42</v>
      </c>
      <c r="D43" s="282">
        <f>SUM(D44:D54)</f>
        <v>58801.594379999988</v>
      </c>
      <c r="E43" s="282">
        <f t="shared" ref="E43:P43" si="15">SUM(E44:E54)</f>
        <v>56242.476129999988</v>
      </c>
      <c r="F43" s="282">
        <f t="shared" si="15"/>
        <v>54780.488220000007</v>
      </c>
      <c r="G43" s="282">
        <f t="shared" si="15"/>
        <v>46351.273559999994</v>
      </c>
      <c r="H43" s="282">
        <f t="shared" si="15"/>
        <v>47497.926600000006</v>
      </c>
      <c r="I43" s="282">
        <f t="shared" si="15"/>
        <v>46405.977250000004</v>
      </c>
      <c r="J43" s="282">
        <f t="shared" si="15"/>
        <v>49198.437190000004</v>
      </c>
      <c r="K43" s="282">
        <f t="shared" si="15"/>
        <v>49987.363170000004</v>
      </c>
      <c r="L43" s="282">
        <f t="shared" si="15"/>
        <v>49566.259170000012</v>
      </c>
      <c r="M43" s="282">
        <f t="shared" si="15"/>
        <v>52950.170661990371</v>
      </c>
      <c r="N43" s="282">
        <f t="shared" si="15"/>
        <v>52544.381720000012</v>
      </c>
      <c r="O43" s="282">
        <f t="shared" si="15"/>
        <v>54871.483179999996</v>
      </c>
      <c r="P43" s="282">
        <f t="shared" si="15"/>
        <v>619197.83123199036</v>
      </c>
      <c r="R43" s="246"/>
    </row>
    <row r="44" spans="2:20">
      <c r="C44" s="266" t="s">
        <v>47</v>
      </c>
      <c r="D44" s="303">
        <v>12339.703579999999</v>
      </c>
      <c r="E44" s="288">
        <v>11997.73518</v>
      </c>
      <c r="F44" s="303">
        <v>11846.07725</v>
      </c>
      <c r="G44" s="268">
        <v>9953.8958799999982</v>
      </c>
      <c r="H44" s="268">
        <v>10247.130559999998</v>
      </c>
      <c r="I44" s="268">
        <v>10280.96292</v>
      </c>
      <c r="J44" s="268">
        <v>10847.547719999999</v>
      </c>
      <c r="K44" s="303">
        <v>10920.466409999999</v>
      </c>
      <c r="L44" s="268">
        <v>10800.263570000001</v>
      </c>
      <c r="M44" s="268">
        <v>11247.041219999999</v>
      </c>
      <c r="N44" s="289">
        <v>10960.757150000001</v>
      </c>
      <c r="O44" s="268">
        <v>11561.156999999999</v>
      </c>
      <c r="P44" s="268">
        <f t="shared" si="7"/>
        <v>133002.73843999999</v>
      </c>
      <c r="Q44" s="277"/>
      <c r="R44" s="246"/>
    </row>
    <row r="45" spans="2:20">
      <c r="C45" s="266" t="s">
        <v>48</v>
      </c>
      <c r="D45" s="268">
        <v>33943.877959999991</v>
      </c>
      <c r="E45" s="288">
        <v>33095.967580000004</v>
      </c>
      <c r="F45" s="268">
        <v>31905.199980000005</v>
      </c>
      <c r="G45" s="268">
        <v>25889.502259999997</v>
      </c>
      <c r="H45" s="268">
        <v>26598.393650000002</v>
      </c>
      <c r="I45" s="268">
        <v>26870.396239999998</v>
      </c>
      <c r="J45" s="268">
        <v>28864.724690000003</v>
      </c>
      <c r="K45" s="268">
        <v>29039.356789999998</v>
      </c>
      <c r="L45" s="268">
        <v>28319.411879999996</v>
      </c>
      <c r="M45" s="268">
        <v>29376.751029999999</v>
      </c>
      <c r="N45" s="268">
        <v>28422.498490000002</v>
      </c>
      <c r="O45" s="268">
        <v>29706.916929999996</v>
      </c>
      <c r="P45" s="268">
        <f t="shared" si="7"/>
        <v>352032.99748000002</v>
      </c>
      <c r="Q45" s="277"/>
      <c r="R45" s="246"/>
    </row>
    <row r="46" spans="2:20">
      <c r="C46" s="290" t="s">
        <v>106</v>
      </c>
      <c r="D46" s="268">
        <v>615.60149999999999</v>
      </c>
      <c r="E46" s="288">
        <v>594.42335000000003</v>
      </c>
      <c r="F46" s="268">
        <v>618.64903000000004</v>
      </c>
      <c r="G46" s="268">
        <v>554.01344999999992</v>
      </c>
      <c r="H46" s="268">
        <v>547.81224999999995</v>
      </c>
      <c r="I46" s="268">
        <f>+I95</f>
        <v>524.82470999999998</v>
      </c>
      <c r="J46" s="268">
        <f t="shared" ref="J46:O46" si="16">+J95</f>
        <v>544.11793999999998</v>
      </c>
      <c r="K46" s="268">
        <f t="shared" si="16"/>
        <v>551.68174999999997</v>
      </c>
      <c r="L46" s="268">
        <f t="shared" si="16"/>
        <v>523.26429999999993</v>
      </c>
      <c r="M46" s="268">
        <f t="shared" si="16"/>
        <v>564.22034999999994</v>
      </c>
      <c r="N46" s="268">
        <f t="shared" si="16"/>
        <v>549.5072100000001</v>
      </c>
      <c r="O46" s="268">
        <f t="shared" si="16"/>
        <v>590.98680000000002</v>
      </c>
      <c r="P46" s="268">
        <f t="shared" si="7"/>
        <v>6779.1026399999982</v>
      </c>
      <c r="Q46" s="277"/>
      <c r="R46" s="246"/>
    </row>
    <row r="47" spans="2:20">
      <c r="C47" s="266" t="s">
        <v>50</v>
      </c>
      <c r="D47" s="268">
        <v>1290.11699</v>
      </c>
      <c r="E47" s="288">
        <v>1217.6573999999998</v>
      </c>
      <c r="F47" s="268">
        <v>1216.9077899999997</v>
      </c>
      <c r="G47" s="268">
        <v>1065.8568499999999</v>
      </c>
      <c r="H47" s="268">
        <v>1067.0700300000001</v>
      </c>
      <c r="I47" s="268">
        <v>1037.2767099999999</v>
      </c>
      <c r="J47" s="268">
        <v>1096.55214</v>
      </c>
      <c r="K47" s="268">
        <v>1113.72696</v>
      </c>
      <c r="L47" s="268">
        <v>1089.1474900000001</v>
      </c>
      <c r="M47" s="268">
        <v>1153.2510199999999</v>
      </c>
      <c r="N47" s="289">
        <v>1125.5971800000002</v>
      </c>
      <c r="O47" s="268">
        <v>1221.7271899999998</v>
      </c>
      <c r="P47" s="268">
        <f t="shared" si="7"/>
        <v>13694.887749999998</v>
      </c>
      <c r="Q47" s="277"/>
      <c r="R47" s="246"/>
    </row>
    <row r="48" spans="2:20">
      <c r="C48" s="266" t="s">
        <v>51</v>
      </c>
      <c r="D48" s="268">
        <v>927.90904</v>
      </c>
      <c r="E48" s="288">
        <v>864.18830000000003</v>
      </c>
      <c r="F48" s="303">
        <v>852.60546999999997</v>
      </c>
      <c r="G48" s="268">
        <v>716.07745</v>
      </c>
      <c r="H48" s="303">
        <v>753.77501000000007</v>
      </c>
      <c r="I48" s="268">
        <v>787.43648999999994</v>
      </c>
      <c r="J48" s="268">
        <v>871.12732999999992</v>
      </c>
      <c r="K48" s="268">
        <v>909.28702999999996</v>
      </c>
      <c r="L48" s="268">
        <v>924.79617000000007</v>
      </c>
      <c r="M48" s="303">
        <v>986.27641999999992</v>
      </c>
      <c r="N48" s="289">
        <v>971.63301999999999</v>
      </c>
      <c r="O48" s="268">
        <v>982.80043000000001</v>
      </c>
      <c r="P48" s="268">
        <f t="shared" si="7"/>
        <v>10547.912159999998</v>
      </c>
      <c r="Q48" s="277"/>
      <c r="R48" s="246"/>
    </row>
    <row r="49" spans="3:18">
      <c r="C49" s="266" t="s">
        <v>52</v>
      </c>
      <c r="D49" s="268">
        <v>797.62724000000003</v>
      </c>
      <c r="E49" s="288">
        <v>771.91992999999991</v>
      </c>
      <c r="F49" s="268">
        <v>722.38586999999995</v>
      </c>
      <c r="G49" s="268">
        <v>611.69853000000001</v>
      </c>
      <c r="H49" s="268">
        <v>647.96726000000001</v>
      </c>
      <c r="I49" s="303">
        <v>670.80027000000007</v>
      </c>
      <c r="J49" s="303">
        <v>767.37633999999991</v>
      </c>
      <c r="K49" s="268">
        <v>802.87051999999994</v>
      </c>
      <c r="L49" s="268">
        <v>803.30157999999994</v>
      </c>
      <c r="M49" s="268">
        <v>852.62058000000002</v>
      </c>
      <c r="N49" s="289">
        <v>808.75493000000006</v>
      </c>
      <c r="O49" s="268">
        <v>852.65780999999981</v>
      </c>
      <c r="P49" s="268">
        <f t="shared" si="7"/>
        <v>9109.9808599999997</v>
      </c>
      <c r="Q49" s="277"/>
      <c r="R49" s="246"/>
    </row>
    <row r="50" spans="3:18">
      <c r="C50" s="266" t="s">
        <v>90</v>
      </c>
      <c r="D50" s="268">
        <v>1496.7250200000001</v>
      </c>
      <c r="E50" s="288">
        <v>1399.2735500000001</v>
      </c>
      <c r="F50" s="268">
        <v>1420.3127500000001</v>
      </c>
      <c r="G50" s="268">
        <v>1267.3678500000001</v>
      </c>
      <c r="H50" s="268">
        <v>1326.0985500000002</v>
      </c>
      <c r="I50" s="268">
        <f>1309604.91/1000</f>
        <v>1309.60491</v>
      </c>
      <c r="J50" s="268">
        <v>1368.2171500000002</v>
      </c>
      <c r="K50" s="268">
        <v>1356.42256</v>
      </c>
      <c r="L50" s="303">
        <v>1359.0545000000002</v>
      </c>
      <c r="M50" s="268">
        <v>1419.61661</v>
      </c>
      <c r="N50" s="289">
        <v>1404.5516700000001</v>
      </c>
      <c r="O50" s="268">
        <v>1478.086</v>
      </c>
      <c r="P50" s="268">
        <f t="shared" si="7"/>
        <v>16605.331120000003</v>
      </c>
      <c r="Q50" s="277"/>
      <c r="R50" s="246"/>
    </row>
    <row r="51" spans="3:18">
      <c r="C51" s="266" t="s">
        <v>53</v>
      </c>
      <c r="D51" s="268">
        <v>2150.5956799999999</v>
      </c>
      <c r="E51" s="288">
        <v>2096.8346599999995</v>
      </c>
      <c r="F51" s="268">
        <v>1770.7080000000001</v>
      </c>
      <c r="G51" s="268">
        <v>1967.54955</v>
      </c>
      <c r="H51" s="268">
        <v>2100.2288599999997</v>
      </c>
      <c r="I51" s="268">
        <v>1467.7230499999998</v>
      </c>
      <c r="J51" s="268">
        <v>1401.6474000000001</v>
      </c>
      <c r="K51" s="268">
        <v>1361.2616799999998</v>
      </c>
      <c r="L51" s="268">
        <v>1419.8038900000001</v>
      </c>
      <c r="M51" s="268">
        <v>1748.62078</v>
      </c>
      <c r="N51" s="289">
        <v>1936.4579000000001</v>
      </c>
      <c r="O51" s="268">
        <v>1723.4870600000002</v>
      </c>
      <c r="P51" s="268">
        <f t="shared" si="7"/>
        <v>21144.91851</v>
      </c>
      <c r="Q51" s="277"/>
      <c r="R51" s="246"/>
    </row>
    <row r="52" spans="3:18">
      <c r="C52" s="266" t="s">
        <v>54</v>
      </c>
      <c r="D52" s="268">
        <v>49.246739999999996</v>
      </c>
      <c r="E52" s="288">
        <v>49.509949999999996</v>
      </c>
      <c r="F52" s="268">
        <v>52.181789999999999</v>
      </c>
      <c r="G52" s="268">
        <v>52.168990000000008</v>
      </c>
      <c r="H52" s="268">
        <v>54.044290000000004</v>
      </c>
      <c r="I52" s="268">
        <v>53.021749999999997</v>
      </c>
      <c r="J52" s="268">
        <v>55.179070000000003</v>
      </c>
      <c r="K52" s="268">
        <v>56.2883</v>
      </c>
      <c r="L52" s="268">
        <v>53.623309999999996</v>
      </c>
      <c r="M52" s="268">
        <v>57.477650000000004</v>
      </c>
      <c r="N52" s="289">
        <v>56.518049999999995</v>
      </c>
      <c r="O52" s="268">
        <v>59.319009999999992</v>
      </c>
      <c r="P52" s="268">
        <f t="shared" si="7"/>
        <v>648.57889999999998</v>
      </c>
      <c r="Q52" s="277"/>
      <c r="R52" s="246"/>
    </row>
    <row r="53" spans="3:18">
      <c r="C53" s="290" t="s">
        <v>103</v>
      </c>
      <c r="D53" s="268">
        <v>5190.1906300000001</v>
      </c>
      <c r="E53" s="268">
        <v>4154.96623</v>
      </c>
      <c r="F53" s="268">
        <v>4375.46029</v>
      </c>
      <c r="G53" s="268">
        <v>4273.14275</v>
      </c>
      <c r="H53" s="268">
        <v>4155.4061400000001</v>
      </c>
      <c r="I53" s="268">
        <v>3403.9302000000002</v>
      </c>
      <c r="J53" s="268">
        <v>3381.9474100000002</v>
      </c>
      <c r="K53" s="268">
        <v>3710.81124</v>
      </c>
      <c r="L53" s="268">
        <v>3616.77666</v>
      </c>
      <c r="M53" s="268">
        <v>4468.87628131151</v>
      </c>
      <c r="N53" s="289">
        <v>4543.5503599999993</v>
      </c>
      <c r="O53" s="268">
        <v>4457.0614100000003</v>
      </c>
      <c r="P53" s="268">
        <f>SUM(D53:O53)</f>
        <v>49732.119601311511</v>
      </c>
      <c r="Q53" s="277"/>
      <c r="R53" s="246"/>
    </row>
    <row r="54" spans="3:18">
      <c r="C54" s="290" t="s">
        <v>104</v>
      </c>
      <c r="D54" s="268">
        <v>0</v>
      </c>
      <c r="E54" s="268">
        <v>0</v>
      </c>
      <c r="F54" s="268">
        <v>0</v>
      </c>
      <c r="G54" s="268">
        <v>0</v>
      </c>
      <c r="H54" s="268">
        <v>0</v>
      </c>
      <c r="I54" s="268">
        <v>0</v>
      </c>
      <c r="J54" s="268">
        <v>0</v>
      </c>
      <c r="K54" s="268">
        <v>165.18993000000003</v>
      </c>
      <c r="L54" s="268">
        <v>656.81582000000003</v>
      </c>
      <c r="M54" s="268">
        <v>1075.4187206788574</v>
      </c>
      <c r="N54" s="289">
        <v>1764.5557599999997</v>
      </c>
      <c r="O54" s="268">
        <v>2237.2835399999999</v>
      </c>
      <c r="P54" s="268">
        <f>SUM(D54:O54)</f>
        <v>5899.2637706788573</v>
      </c>
      <c r="Q54" s="277"/>
      <c r="R54" s="246"/>
    </row>
    <row r="55" spans="3:18">
      <c r="C55" s="281" t="s">
        <v>43</v>
      </c>
      <c r="D55" s="282">
        <f>+SUM(D56:D64)</f>
        <v>3939.2483999999999</v>
      </c>
      <c r="E55" s="282">
        <f t="shared" ref="E55:O55" si="17">+SUM(E56:E64)</f>
        <v>4858.6907700000002</v>
      </c>
      <c r="F55" s="282">
        <f t="shared" si="17"/>
        <v>3262.1814100000006</v>
      </c>
      <c r="G55" s="282">
        <f t="shared" si="17"/>
        <v>1320.5059800000001</v>
      </c>
      <c r="H55" s="282">
        <f t="shared" si="17"/>
        <v>2706.5341200000003</v>
      </c>
      <c r="I55" s="282">
        <f t="shared" si="17"/>
        <v>4668.3600699999997</v>
      </c>
      <c r="J55" s="282">
        <f t="shared" si="17"/>
        <v>4836.2354900000009</v>
      </c>
      <c r="K55" s="282">
        <f t="shared" si="17"/>
        <v>4602.4020700000001</v>
      </c>
      <c r="L55" s="282">
        <f t="shared" si="17"/>
        <v>4687.2396499999995</v>
      </c>
      <c r="M55" s="282">
        <f t="shared" si="17"/>
        <v>4768.00731</v>
      </c>
      <c r="N55" s="282">
        <f t="shared" si="17"/>
        <v>4846.1101800000006</v>
      </c>
      <c r="O55" s="282">
        <f t="shared" si="17"/>
        <v>5175.4415999999992</v>
      </c>
      <c r="P55" s="282">
        <f>+SUM(P56:P64)</f>
        <v>49670.957049999997</v>
      </c>
      <c r="Q55" s="277"/>
      <c r="R55" s="246"/>
    </row>
    <row r="56" spans="3:18">
      <c r="C56" s="290" t="s">
        <v>56</v>
      </c>
      <c r="D56" s="268">
        <v>0</v>
      </c>
      <c r="E56" s="268">
        <v>1065.7073500000001</v>
      </c>
      <c r="F56" s="268">
        <v>952.00067999999999</v>
      </c>
      <c r="G56" s="268">
        <v>686.54157000000009</v>
      </c>
      <c r="H56" s="268">
        <v>917.00716999999997</v>
      </c>
      <c r="I56" s="268">
        <v>943.65328999999997</v>
      </c>
      <c r="J56" s="268">
        <v>943.27651000000003</v>
      </c>
      <c r="K56" s="268">
        <v>918.74661000000003</v>
      </c>
      <c r="L56" s="268">
        <v>955.63282000000004</v>
      </c>
      <c r="M56" s="268">
        <v>962.31042000000002</v>
      </c>
      <c r="N56" s="268">
        <v>1027.22903</v>
      </c>
      <c r="O56" s="268">
        <v>1115.4137599999999</v>
      </c>
      <c r="P56" s="268">
        <f t="shared" si="7"/>
        <v>10487.51921</v>
      </c>
      <c r="Q56" s="277"/>
      <c r="R56" s="246"/>
    </row>
    <row r="57" spans="3:18">
      <c r="C57" s="290" t="s">
        <v>59</v>
      </c>
      <c r="D57" s="268">
        <v>1108.2326799999998</v>
      </c>
      <c r="E57" s="268">
        <v>1051.3700100000001</v>
      </c>
      <c r="F57" s="268">
        <v>563.54767000000004</v>
      </c>
      <c r="G57" s="268">
        <v>51.975840000000005</v>
      </c>
      <c r="H57" s="268">
        <v>634.53524000000004</v>
      </c>
      <c r="I57" s="268">
        <v>1112.95225</v>
      </c>
      <c r="J57" s="268">
        <v>1188.3509899999999</v>
      </c>
      <c r="K57" s="268">
        <v>1093.4357199999999</v>
      </c>
      <c r="L57" s="268">
        <v>1067.42956</v>
      </c>
      <c r="M57" s="268">
        <v>1044.83881</v>
      </c>
      <c r="N57" s="268">
        <v>1090.7113899999999</v>
      </c>
      <c r="O57" s="268">
        <v>1157.2495999999999</v>
      </c>
      <c r="P57" s="268">
        <f t="shared" si="7"/>
        <v>11164.62976</v>
      </c>
      <c r="Q57" s="277"/>
      <c r="R57" s="246"/>
    </row>
    <row r="58" spans="3:18">
      <c r="C58" s="290" t="s">
        <v>89</v>
      </c>
      <c r="D58" s="268">
        <v>240.55327000000003</v>
      </c>
      <c r="E58" s="268">
        <v>235.34828000000002</v>
      </c>
      <c r="F58" s="268">
        <v>228.66031000000001</v>
      </c>
      <c r="G58" s="268">
        <v>214.01281</v>
      </c>
      <c r="H58" s="268">
        <v>222.59485000000001</v>
      </c>
      <c r="I58" s="268">
        <v>214.79728</v>
      </c>
      <c r="J58" s="303">
        <v>220.58414000000002</v>
      </c>
      <c r="K58" s="268">
        <v>216.29196000000002</v>
      </c>
      <c r="L58" s="268">
        <v>231.30396999999999</v>
      </c>
      <c r="M58" s="268">
        <v>226.49686</v>
      </c>
      <c r="N58" s="268">
        <v>203.74715</v>
      </c>
      <c r="O58" s="268">
        <v>199.00378000000001</v>
      </c>
      <c r="P58" s="268">
        <f t="shared" si="7"/>
        <v>2653.3946599999999</v>
      </c>
      <c r="Q58" s="277"/>
      <c r="R58" s="246"/>
    </row>
    <row r="59" spans="3:18">
      <c r="C59" s="290" t="s">
        <v>94</v>
      </c>
      <c r="D59" s="268">
        <v>288.39271000000002</v>
      </c>
      <c r="E59" s="268">
        <v>297.96696999999995</v>
      </c>
      <c r="F59" s="268">
        <v>164.91092999999998</v>
      </c>
      <c r="G59" s="268">
        <v>41.630220000000001</v>
      </c>
      <c r="H59" s="268">
        <v>167.67451</v>
      </c>
      <c r="I59" s="268">
        <v>312.83546999999999</v>
      </c>
      <c r="J59" s="268">
        <v>300.94707</v>
      </c>
      <c r="K59" s="268">
        <v>238.28548000000001</v>
      </c>
      <c r="L59" s="268">
        <v>194.28211999999999</v>
      </c>
      <c r="M59" s="268">
        <v>206.98688000000001</v>
      </c>
      <c r="N59" s="268">
        <v>206.96994000000001</v>
      </c>
      <c r="O59" s="268">
        <v>185.37207000000001</v>
      </c>
      <c r="P59" s="268">
        <f t="shared" si="7"/>
        <v>2606.2543700000001</v>
      </c>
      <c r="Q59" s="277"/>
      <c r="R59" s="246"/>
    </row>
    <row r="60" spans="3:18">
      <c r="C60" s="290" t="s">
        <v>95</v>
      </c>
      <c r="D60" s="268">
        <v>735.38279999999997</v>
      </c>
      <c r="E60" s="268">
        <v>730.26268000000016</v>
      </c>
      <c r="F60" s="268">
        <v>385.17329999999998</v>
      </c>
      <c r="G60" s="268">
        <v>37.280460000000005</v>
      </c>
      <c r="H60" s="268">
        <v>343.54082</v>
      </c>
      <c r="I60" s="268">
        <v>769.34595000000002</v>
      </c>
      <c r="J60" s="268">
        <v>807.34118999999998</v>
      </c>
      <c r="K60" s="268">
        <v>741.70637999999997</v>
      </c>
      <c r="L60" s="268">
        <v>827.30801999999994</v>
      </c>
      <c r="M60" s="268">
        <v>912.50030000000004</v>
      </c>
      <c r="N60" s="268">
        <v>843.05300999999997</v>
      </c>
      <c r="O60" s="268">
        <v>821.53577000000007</v>
      </c>
      <c r="P60" s="268">
        <f t="shared" si="7"/>
        <v>7954.4306799999995</v>
      </c>
      <c r="Q60" s="277"/>
      <c r="R60" s="246"/>
    </row>
    <row r="61" spans="3:18">
      <c r="C61" s="290" t="s">
        <v>96</v>
      </c>
      <c r="D61" s="268">
        <v>147.33611999999999</v>
      </c>
      <c r="E61" s="268">
        <v>122.30699</v>
      </c>
      <c r="F61" s="268">
        <v>93.33184</v>
      </c>
      <c r="G61" s="268">
        <v>70.675089999999997</v>
      </c>
      <c r="H61" s="268">
        <v>65.448520000000002</v>
      </c>
      <c r="I61" s="268">
        <v>88.085940000000008</v>
      </c>
      <c r="J61" s="268">
        <v>123.48175999999999</v>
      </c>
      <c r="K61" s="268">
        <v>131.49964000000003</v>
      </c>
      <c r="L61" s="268">
        <v>138.03788</v>
      </c>
      <c r="M61" s="268">
        <v>122.64675</v>
      </c>
      <c r="N61" s="268">
        <v>119.95191</v>
      </c>
      <c r="O61" s="268">
        <v>124.68204000000001</v>
      </c>
      <c r="P61" s="268">
        <f t="shared" si="7"/>
        <v>1347.4844800000001</v>
      </c>
      <c r="Q61" s="277"/>
      <c r="R61" s="246"/>
    </row>
    <row r="62" spans="3:18">
      <c r="C62" s="290" t="s">
        <v>97</v>
      </c>
      <c r="D62" s="268">
        <v>362.12588</v>
      </c>
      <c r="E62" s="268">
        <v>335.42369999999994</v>
      </c>
      <c r="F62" s="268">
        <v>303.92642000000001</v>
      </c>
      <c r="G62" s="268">
        <v>197.38598000000002</v>
      </c>
      <c r="H62" s="268">
        <v>169.48217000000002</v>
      </c>
      <c r="I62" s="268">
        <v>228.53403</v>
      </c>
      <c r="J62" s="268">
        <v>241.30017999999998</v>
      </c>
      <c r="K62" s="268">
        <v>214.03942999999998</v>
      </c>
      <c r="L62" s="268">
        <v>183.28613000000001</v>
      </c>
      <c r="M62" s="268">
        <v>161.25068999999999</v>
      </c>
      <c r="N62" s="268">
        <v>233.41507000000001</v>
      </c>
      <c r="O62" s="268">
        <v>417.66926000000001</v>
      </c>
      <c r="P62" s="268">
        <f t="shared" si="7"/>
        <v>3047.8389399999996</v>
      </c>
      <c r="Q62" s="277"/>
      <c r="R62" s="246"/>
    </row>
    <row r="63" spans="3:18">
      <c r="C63" s="290" t="s">
        <v>100</v>
      </c>
      <c r="D63" s="268">
        <v>920.08638000000008</v>
      </c>
      <c r="E63" s="268">
        <v>871.24304000000006</v>
      </c>
      <c r="F63" s="268">
        <v>483.33504999999997</v>
      </c>
      <c r="G63" s="268">
        <v>16.415409999999998</v>
      </c>
      <c r="H63" s="268">
        <v>130.55871999999999</v>
      </c>
      <c r="I63" s="268">
        <v>893.22825</v>
      </c>
      <c r="J63" s="268">
        <v>896.48324000000002</v>
      </c>
      <c r="K63" s="268">
        <v>897.32378000000006</v>
      </c>
      <c r="L63" s="268">
        <v>947.03489000000013</v>
      </c>
      <c r="M63" s="268">
        <v>967.28859</v>
      </c>
      <c r="N63" s="268">
        <v>934.92161999999985</v>
      </c>
      <c r="O63" s="268">
        <v>953.45193999999992</v>
      </c>
      <c r="P63" s="268">
        <f t="shared" si="7"/>
        <v>8911.3709099999996</v>
      </c>
      <c r="Q63" s="277"/>
      <c r="R63" s="246"/>
    </row>
    <row r="64" spans="3:18" ht="12" thickBot="1">
      <c r="C64" s="291" t="s">
        <v>101</v>
      </c>
      <c r="D64" s="292">
        <v>137.13855999999998</v>
      </c>
      <c r="E64" s="292">
        <v>149.06174999999999</v>
      </c>
      <c r="F64" s="292">
        <v>87.295210000000012</v>
      </c>
      <c r="G64" s="292">
        <v>4.5886000000000005</v>
      </c>
      <c r="H64" s="292">
        <v>55.692120000000003</v>
      </c>
      <c r="I64" s="292">
        <v>104.92761</v>
      </c>
      <c r="J64" s="292">
        <v>114.47041</v>
      </c>
      <c r="K64" s="292">
        <v>151.07307</v>
      </c>
      <c r="L64" s="292">
        <v>142.92426</v>
      </c>
      <c r="M64" s="292">
        <v>163.68800999999999</v>
      </c>
      <c r="N64" s="292">
        <v>186.11106000000001</v>
      </c>
      <c r="O64" s="292">
        <v>201.06338</v>
      </c>
      <c r="P64" s="292">
        <f t="shared" si="7"/>
        <v>1498.03404</v>
      </c>
      <c r="Q64" s="277"/>
      <c r="R64" s="246"/>
    </row>
    <row r="65" spans="1:256" ht="12" thickTop="1">
      <c r="D65" s="293">
        <f t="shared" ref="D65:O65" si="18">+D33/D28</f>
        <v>3.4561367453979099E-3</v>
      </c>
      <c r="E65" s="293">
        <f t="shared" si="18"/>
        <v>3.0551602410169472E-3</v>
      </c>
      <c r="F65" s="293">
        <f t="shared" si="18"/>
        <v>2.7804358375869806E-3</v>
      </c>
      <c r="G65" s="293">
        <f t="shared" si="18"/>
        <v>3.0233735094208165E-3</v>
      </c>
      <c r="H65" s="293">
        <f t="shared" si="18"/>
        <v>4.23420806129211E-3</v>
      </c>
      <c r="I65" s="293">
        <f t="shared" si="18"/>
        <v>4.2462826183068767E-3</v>
      </c>
      <c r="J65" s="293">
        <f t="shared" si="18"/>
        <v>4.3361627067409576E-3</v>
      </c>
      <c r="K65" s="293">
        <f t="shared" si="18"/>
        <v>4.1988001837529737E-3</v>
      </c>
      <c r="L65" s="293">
        <f t="shared" si="18"/>
        <v>4.0368457394119681E-3</v>
      </c>
      <c r="M65" s="293">
        <f t="shared" si="18"/>
        <v>3.952705414824377E-3</v>
      </c>
      <c r="N65" s="293">
        <f t="shared" si="18"/>
        <v>3.9436182430216812E-3</v>
      </c>
      <c r="O65" s="293">
        <f t="shared" si="18"/>
        <v>3.7853175399868745E-3</v>
      </c>
      <c r="R65" s="246"/>
    </row>
    <row r="66" spans="1:256">
      <c r="D66" s="294"/>
      <c r="E66" s="295"/>
      <c r="F66" s="294"/>
      <c r="G66" s="294"/>
      <c r="H66" s="294"/>
      <c r="L66" s="246"/>
      <c r="M66" s="246"/>
      <c r="R66" s="277"/>
    </row>
    <row r="67" spans="1:256">
      <c r="C67" s="221" t="s">
        <v>92</v>
      </c>
      <c r="D67" s="294"/>
      <c r="E67" s="295"/>
      <c r="F67" s="294"/>
      <c r="G67" s="294"/>
      <c r="H67" s="294"/>
      <c r="L67" s="246"/>
      <c r="M67" s="246"/>
      <c r="R67" s="277"/>
    </row>
    <row r="68" spans="1:256" s="231" customFormat="1">
      <c r="A68" s="221"/>
      <c r="B68" s="221"/>
      <c r="C68" s="221"/>
      <c r="D68" s="106">
        <f t="shared" ref="D68:O68" si="19">D39-D40</f>
        <v>62740.842779999984</v>
      </c>
      <c r="E68" s="106">
        <f t="shared" si="19"/>
        <v>61101.166899999989</v>
      </c>
      <c r="F68" s="106">
        <f t="shared" si="19"/>
        <v>58042.669630000004</v>
      </c>
      <c r="G68" s="106">
        <f t="shared" si="19"/>
        <v>47671.779540000003</v>
      </c>
      <c r="H68" s="106">
        <f t="shared" si="19"/>
        <v>50204.460720000003</v>
      </c>
      <c r="I68" s="106">
        <f t="shared" si="19"/>
        <v>51074.337320000006</v>
      </c>
      <c r="J68" s="106">
        <f t="shared" si="19"/>
        <v>54034.672680000018</v>
      </c>
      <c r="K68" s="106">
        <f t="shared" si="19"/>
        <v>54589.765240000008</v>
      </c>
      <c r="L68" s="106">
        <f t="shared" si="19"/>
        <v>54253.498820000023</v>
      </c>
      <c r="M68" s="106">
        <f t="shared" si="19"/>
        <v>57718.177971990364</v>
      </c>
      <c r="N68" s="106">
        <f t="shared" si="19"/>
        <v>57390.491900000023</v>
      </c>
      <c r="O68" s="106">
        <f t="shared" si="19"/>
        <v>60046.924779999994</v>
      </c>
    </row>
    <row r="69" spans="1:256"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  <c r="BW69" s="231"/>
      <c r="BX69" s="231"/>
      <c r="BY69" s="231"/>
      <c r="BZ69" s="231"/>
      <c r="CA69" s="231"/>
      <c r="CB69" s="231"/>
      <c r="CC69" s="231"/>
      <c r="CD69" s="231"/>
      <c r="CE69" s="231"/>
      <c r="CF69" s="231"/>
      <c r="CG69" s="231"/>
      <c r="CH69" s="231"/>
      <c r="CI69" s="231"/>
      <c r="CJ69" s="231"/>
      <c r="CK69" s="231"/>
      <c r="CL69" s="231"/>
      <c r="CM69" s="231"/>
      <c r="CN69" s="231"/>
      <c r="CO69" s="231"/>
      <c r="CP69" s="231"/>
      <c r="CQ69" s="231"/>
      <c r="CR69" s="231"/>
      <c r="CS69" s="231"/>
      <c r="CT69" s="231"/>
      <c r="CU69" s="231"/>
      <c r="CV69" s="231"/>
      <c r="CW69" s="231"/>
      <c r="CX69" s="231"/>
      <c r="CY69" s="231"/>
      <c r="CZ69" s="231"/>
      <c r="DA69" s="231"/>
      <c r="DB69" s="231"/>
      <c r="DC69" s="231"/>
      <c r="DD69" s="231"/>
      <c r="DE69" s="231"/>
      <c r="DF69" s="231"/>
      <c r="DG69" s="231"/>
      <c r="DH69" s="231"/>
      <c r="DI69" s="231"/>
      <c r="DJ69" s="231"/>
      <c r="DK69" s="231"/>
      <c r="DL69" s="231"/>
      <c r="DM69" s="231"/>
      <c r="DN69" s="231"/>
      <c r="DO69" s="231"/>
      <c r="DP69" s="231"/>
      <c r="DQ69" s="231"/>
      <c r="DR69" s="231"/>
      <c r="DS69" s="231"/>
      <c r="DT69" s="231"/>
      <c r="DU69" s="231"/>
      <c r="DV69" s="231"/>
      <c r="DW69" s="231"/>
      <c r="DX69" s="231"/>
      <c r="DY69" s="231"/>
      <c r="DZ69" s="231"/>
      <c r="EA69" s="231"/>
      <c r="EB69" s="231"/>
      <c r="EC69" s="231"/>
      <c r="ED69" s="231"/>
      <c r="EE69" s="231"/>
      <c r="EF69" s="231"/>
      <c r="EG69" s="231"/>
      <c r="EH69" s="231"/>
      <c r="EI69" s="231"/>
      <c r="EJ69" s="231"/>
      <c r="EK69" s="231"/>
      <c r="EL69" s="231"/>
      <c r="EM69" s="231"/>
      <c r="EN69" s="231"/>
      <c r="EO69" s="231"/>
      <c r="EP69" s="231"/>
      <c r="EQ69" s="231"/>
      <c r="ER69" s="231"/>
      <c r="ES69" s="231"/>
      <c r="ET69" s="231"/>
      <c r="EU69" s="231"/>
      <c r="EV69" s="231"/>
      <c r="EW69" s="231"/>
      <c r="EX69" s="231"/>
      <c r="EY69" s="231"/>
      <c r="EZ69" s="231"/>
      <c r="FA69" s="231"/>
      <c r="FB69" s="231"/>
      <c r="FC69" s="231"/>
      <c r="FD69" s="231"/>
      <c r="FE69" s="231"/>
      <c r="FF69" s="231"/>
      <c r="FG69" s="231"/>
      <c r="FH69" s="231"/>
      <c r="FI69" s="231"/>
      <c r="FJ69" s="231"/>
      <c r="FK69" s="231"/>
      <c r="FL69" s="231"/>
      <c r="FM69" s="231"/>
      <c r="FN69" s="231"/>
      <c r="FO69" s="231"/>
      <c r="FP69" s="231"/>
      <c r="FQ69" s="231"/>
      <c r="FR69" s="231"/>
      <c r="FS69" s="231"/>
      <c r="FT69" s="231"/>
      <c r="FU69" s="231"/>
      <c r="FV69" s="231"/>
      <c r="FW69" s="231"/>
      <c r="FX69" s="231"/>
      <c r="FY69" s="231"/>
      <c r="FZ69" s="231"/>
      <c r="GA69" s="231"/>
      <c r="GB69" s="231"/>
      <c r="GC69" s="231"/>
      <c r="GD69" s="231"/>
      <c r="GE69" s="231"/>
      <c r="GF69" s="231"/>
      <c r="GG69" s="231"/>
      <c r="GH69" s="231"/>
      <c r="GI69" s="231"/>
      <c r="GJ69" s="231"/>
      <c r="GK69" s="231"/>
      <c r="GL69" s="231"/>
      <c r="GM69" s="231"/>
      <c r="GN69" s="231"/>
      <c r="GO69" s="231"/>
      <c r="GP69" s="231"/>
      <c r="GQ69" s="231"/>
      <c r="GR69" s="231"/>
      <c r="GS69" s="231"/>
      <c r="GT69" s="231"/>
      <c r="GU69" s="231"/>
      <c r="GV69" s="231"/>
      <c r="GW69" s="231"/>
      <c r="GX69" s="231"/>
      <c r="GY69" s="231"/>
      <c r="GZ69" s="231"/>
      <c r="HA69" s="231"/>
      <c r="HB69" s="231"/>
      <c r="HC69" s="231"/>
      <c r="HD69" s="231"/>
      <c r="HE69" s="231"/>
      <c r="HF69" s="231"/>
      <c r="HG69" s="231"/>
      <c r="HH69" s="231"/>
      <c r="HI69" s="231"/>
      <c r="HJ69" s="231"/>
      <c r="HK69" s="231"/>
      <c r="HL69" s="231"/>
      <c r="HM69" s="231"/>
      <c r="HN69" s="231"/>
      <c r="HO69" s="231"/>
      <c r="HP69" s="231"/>
      <c r="HQ69" s="231"/>
      <c r="HR69" s="231"/>
      <c r="HS69" s="231"/>
      <c r="HT69" s="231"/>
      <c r="HU69" s="231"/>
      <c r="HV69" s="231"/>
      <c r="HW69" s="231"/>
      <c r="HX69" s="231"/>
      <c r="HY69" s="231"/>
      <c r="HZ69" s="231"/>
      <c r="IA69" s="231"/>
      <c r="IB69" s="231"/>
      <c r="IC69" s="231"/>
      <c r="ID69" s="231"/>
      <c r="IE69" s="231"/>
      <c r="IF69" s="231"/>
      <c r="IG69" s="231"/>
      <c r="IH69" s="231"/>
      <c r="II69" s="231"/>
      <c r="IJ69" s="231"/>
      <c r="IK69" s="231"/>
      <c r="IL69" s="231"/>
      <c r="IM69" s="231"/>
      <c r="IN69" s="231"/>
      <c r="IO69" s="231"/>
      <c r="IP69" s="231"/>
      <c r="IQ69" s="231"/>
      <c r="IR69" s="231"/>
      <c r="IS69" s="231"/>
      <c r="IT69" s="231"/>
      <c r="IU69" s="231"/>
      <c r="IV69" s="231"/>
    </row>
    <row r="70" spans="1:256">
      <c r="D70" s="297">
        <f t="shared" ref="D70:O70" si="20">+D38-D39</f>
        <v>0</v>
      </c>
      <c r="E70" s="297">
        <f t="shared" si="20"/>
        <v>0</v>
      </c>
      <c r="F70" s="297">
        <f t="shared" si="20"/>
        <v>0</v>
      </c>
      <c r="G70" s="297">
        <f t="shared" si="20"/>
        <v>0</v>
      </c>
      <c r="H70" s="297">
        <f t="shared" si="20"/>
        <v>0</v>
      </c>
      <c r="I70" s="297">
        <f t="shared" si="20"/>
        <v>0</v>
      </c>
      <c r="J70" s="297">
        <f t="shared" si="20"/>
        <v>0</v>
      </c>
      <c r="K70" s="297">
        <f t="shared" si="20"/>
        <v>0</v>
      </c>
      <c r="L70" s="297">
        <f t="shared" si="20"/>
        <v>0</v>
      </c>
      <c r="M70" s="297">
        <f t="shared" si="20"/>
        <v>0</v>
      </c>
      <c r="N70" s="297">
        <f t="shared" si="20"/>
        <v>0</v>
      </c>
      <c r="O70" s="297">
        <f t="shared" si="20"/>
        <v>0</v>
      </c>
      <c r="P70" s="297"/>
      <c r="R70" s="298"/>
    </row>
    <row r="71" spans="1:256">
      <c r="B71" s="278"/>
      <c r="C71" s="249"/>
      <c r="D71" s="297">
        <f t="shared" ref="D71:O71" si="21">+D70*0.4</f>
        <v>0</v>
      </c>
      <c r="E71" s="297">
        <f t="shared" si="21"/>
        <v>0</v>
      </c>
      <c r="F71" s="297">
        <f t="shared" si="21"/>
        <v>0</v>
      </c>
      <c r="G71" s="297">
        <f t="shared" si="21"/>
        <v>0</v>
      </c>
      <c r="H71" s="297">
        <f t="shared" si="21"/>
        <v>0</v>
      </c>
      <c r="I71" s="297">
        <f>+I70*0.4</f>
        <v>0</v>
      </c>
      <c r="J71" s="297">
        <f t="shared" si="21"/>
        <v>0</v>
      </c>
      <c r="K71" s="297">
        <f t="shared" si="21"/>
        <v>0</v>
      </c>
      <c r="L71" s="297">
        <f t="shared" si="21"/>
        <v>0</v>
      </c>
      <c r="M71" s="297">
        <f t="shared" si="21"/>
        <v>0</v>
      </c>
      <c r="N71" s="297">
        <f t="shared" si="21"/>
        <v>0</v>
      </c>
      <c r="O71" s="297">
        <f t="shared" si="21"/>
        <v>0</v>
      </c>
      <c r="P71" s="297"/>
    </row>
    <row r="72" spans="1:256">
      <c r="B72" s="278"/>
      <c r="C72" s="249"/>
      <c r="D72" s="297">
        <f t="shared" ref="D72:O72" si="22">+D70*0.6</f>
        <v>0</v>
      </c>
      <c r="E72" s="297">
        <f t="shared" si="22"/>
        <v>0</v>
      </c>
      <c r="F72" s="297">
        <f t="shared" si="22"/>
        <v>0</v>
      </c>
      <c r="G72" s="297">
        <f t="shared" si="22"/>
        <v>0</v>
      </c>
      <c r="H72" s="297">
        <f t="shared" si="22"/>
        <v>0</v>
      </c>
      <c r="I72" s="297">
        <f>+I70*0.6</f>
        <v>0</v>
      </c>
      <c r="J72" s="297">
        <f t="shared" si="22"/>
        <v>0</v>
      </c>
      <c r="K72" s="297">
        <f t="shared" si="22"/>
        <v>0</v>
      </c>
      <c r="L72" s="297">
        <f t="shared" si="22"/>
        <v>0</v>
      </c>
      <c r="M72" s="297">
        <f t="shared" si="22"/>
        <v>0</v>
      </c>
      <c r="N72" s="297">
        <f t="shared" si="22"/>
        <v>0</v>
      </c>
      <c r="O72" s="297">
        <f t="shared" si="22"/>
        <v>0</v>
      </c>
      <c r="P72" s="297"/>
    </row>
    <row r="73" spans="1:256"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7"/>
      <c r="P73" s="297"/>
    </row>
    <row r="74" spans="1:256">
      <c r="D74" s="300">
        <f t="shared" ref="D74:O74" si="23">D35/D27</f>
        <v>1.509523472992747E-2</v>
      </c>
      <c r="E74" s="300">
        <f t="shared" si="23"/>
        <v>1.37778524070868E-2</v>
      </c>
      <c r="F74" s="300">
        <f t="shared" si="23"/>
        <v>1.3426336751909664E-2</v>
      </c>
      <c r="G74" s="300">
        <f t="shared" si="23"/>
        <v>1.407442560114581E-2</v>
      </c>
      <c r="H74" s="300">
        <f t="shared" si="23"/>
        <v>1.6411640554479089E-2</v>
      </c>
      <c r="I74" s="300">
        <f t="shared" si="23"/>
        <v>1.620170513266813E-2</v>
      </c>
      <c r="J74" s="300">
        <f t="shared" si="23"/>
        <v>1.5892301504236168E-2</v>
      </c>
      <c r="K74" s="300">
        <f t="shared" si="23"/>
        <v>1.6202442806210637E-2</v>
      </c>
      <c r="L74" s="300">
        <f t="shared" si="23"/>
        <v>1.624307423256989E-2</v>
      </c>
      <c r="M74" s="300">
        <f t="shared" si="23"/>
        <v>1.5847749487429324E-2</v>
      </c>
      <c r="N74" s="300">
        <f t="shared" si="23"/>
        <v>1.486017420874192E-2</v>
      </c>
      <c r="O74" s="300">
        <f t="shared" si="23"/>
        <v>1.5204409210950216E-2</v>
      </c>
    </row>
    <row r="75" spans="1:256">
      <c r="C75" s="221">
        <v>1000</v>
      </c>
      <c r="D75" s="246"/>
      <c r="E75" s="246"/>
      <c r="F75" s="246"/>
      <c r="G75" s="246"/>
      <c r="H75" s="246"/>
      <c r="I75" s="246"/>
      <c r="J75" s="246"/>
      <c r="K75" s="301"/>
      <c r="L75" s="246"/>
      <c r="M75" s="246"/>
      <c r="N75" s="246"/>
      <c r="O75" s="246"/>
    </row>
    <row r="76" spans="1:256">
      <c r="D76" s="237"/>
      <c r="E76" s="237"/>
      <c r="F76" s="246"/>
      <c r="G76" s="237"/>
      <c r="H76" s="237"/>
      <c r="I76" s="237"/>
      <c r="J76" s="237"/>
      <c r="K76" s="237"/>
      <c r="L76" s="237"/>
      <c r="M76" s="237"/>
      <c r="N76" s="237"/>
      <c r="O76" s="237"/>
    </row>
    <row r="78" spans="1:256">
      <c r="D78" s="278">
        <f>+'2020 R2'!D43+'2020 R2'!D53</f>
        <v>62740.842780000006</v>
      </c>
      <c r="E78" s="278">
        <f>+'2020 R2'!E43+'2020 R2'!E53</f>
        <v>61101.166899999989</v>
      </c>
      <c r="F78" s="278">
        <f>+'2020 R2'!F43+'2020 R2'!F53</f>
        <v>58042.669629999997</v>
      </c>
      <c r="G78" s="278">
        <f>+'2020 R2'!G43+'2020 R2'!G53</f>
        <v>47671.779539999996</v>
      </c>
      <c r="H78" s="278">
        <f>+'2020 R2'!H43+'2020 R2'!H53</f>
        <v>50204.460719999988</v>
      </c>
      <c r="I78" s="278">
        <f>+'2020 R2'!I43+'2020 R2'!I53</f>
        <v>51074.337320000006</v>
      </c>
      <c r="J78" s="278">
        <f>+'2020 R2'!J43+'2020 R2'!J53</f>
        <v>54034.672680000003</v>
      </c>
      <c r="K78" s="278">
        <f>+'2020 R2'!K43+'2020 R2'!K53</f>
        <v>54589.765239999993</v>
      </c>
      <c r="L78" s="278">
        <f>+'2020 R2'!L43+'2020 R2'!L53</f>
        <v>54253.498820000008</v>
      </c>
      <c r="M78" s="278">
        <f>+'2020 R2'!M43+'2020 R2'!M53</f>
        <v>57718.177970000004</v>
      </c>
      <c r="N78" s="278">
        <f>+'2020 R2'!N43+'2020 R2'!N53</f>
        <v>57390.491900000008</v>
      </c>
      <c r="O78" s="278">
        <f>+'2020 R2'!O43+'2020 R2'!O53</f>
        <v>60046.924780000001</v>
      </c>
    </row>
    <row r="79" spans="1:256">
      <c r="D79" s="278">
        <f>+D55+D43</f>
        <v>62740.842779999984</v>
      </c>
      <c r="E79" s="278">
        <f t="shared" ref="E79:O79" si="24">+E55+E43</f>
        <v>61101.166899999989</v>
      </c>
      <c r="F79" s="278">
        <f t="shared" si="24"/>
        <v>58042.669630000004</v>
      </c>
      <c r="G79" s="278">
        <f t="shared" si="24"/>
        <v>47671.779539999996</v>
      </c>
      <c r="H79" s="278">
        <f t="shared" si="24"/>
        <v>50204.460720000003</v>
      </c>
      <c r="I79" s="278">
        <f t="shared" si="24"/>
        <v>51074.337320000006</v>
      </c>
      <c r="J79" s="278">
        <f t="shared" si="24"/>
        <v>54034.672680000003</v>
      </c>
      <c r="K79" s="278">
        <f t="shared" si="24"/>
        <v>54589.765240000008</v>
      </c>
      <c r="L79" s="278">
        <f t="shared" si="24"/>
        <v>54253.498820000008</v>
      </c>
      <c r="M79" s="278">
        <f t="shared" si="24"/>
        <v>57718.177971990372</v>
      </c>
      <c r="N79" s="278">
        <f t="shared" si="24"/>
        <v>57390.491900000015</v>
      </c>
      <c r="O79" s="278">
        <f t="shared" si="24"/>
        <v>60046.924779999994</v>
      </c>
    </row>
    <row r="80" spans="1:256">
      <c r="D80" s="278">
        <f>+D78-D79</f>
        <v>0</v>
      </c>
      <c r="E80" s="278">
        <f t="shared" ref="E80:O80" si="25">+E78-E79</f>
        <v>0</v>
      </c>
      <c r="F80" s="278">
        <f t="shared" si="25"/>
        <v>0</v>
      </c>
      <c r="G80" s="278">
        <f t="shared" si="25"/>
        <v>0</v>
      </c>
      <c r="H80" s="278">
        <f t="shared" si="25"/>
        <v>0</v>
      </c>
      <c r="I80" s="278">
        <f t="shared" si="25"/>
        <v>0</v>
      </c>
      <c r="J80" s="278">
        <f t="shared" si="25"/>
        <v>0</v>
      </c>
      <c r="K80" s="278">
        <f t="shared" si="25"/>
        <v>0</v>
      </c>
      <c r="L80" s="278">
        <f t="shared" si="25"/>
        <v>0</v>
      </c>
      <c r="M80" s="278">
        <f t="shared" si="25"/>
        <v>-1.9903673091903329E-6</v>
      </c>
      <c r="N80" s="278">
        <f t="shared" si="25"/>
        <v>0</v>
      </c>
      <c r="O80" s="278">
        <f t="shared" si="25"/>
        <v>0</v>
      </c>
    </row>
    <row r="82" spans="9:15">
      <c r="I82" s="249"/>
      <c r="J82" s="249"/>
      <c r="K82" s="249"/>
      <c r="L82" s="249"/>
      <c r="M82" s="249"/>
      <c r="N82" s="249"/>
      <c r="O82" s="249"/>
    </row>
    <row r="86" spans="9:15">
      <c r="I86" s="277">
        <v>1159159.4699999997</v>
      </c>
      <c r="J86" s="277">
        <v>1252685.6999999997</v>
      </c>
      <c r="K86" s="277">
        <v>1264037.1000000003</v>
      </c>
      <c r="L86" s="277">
        <v>1269109.6299999999</v>
      </c>
      <c r="M86" s="277">
        <v>1310815.27</v>
      </c>
      <c r="N86" s="277">
        <v>1209634.3700000001</v>
      </c>
      <c r="O86" s="277">
        <v>1223506.3099999996</v>
      </c>
    </row>
    <row r="87" spans="9:15">
      <c r="I87" s="277">
        <v>4131720.28</v>
      </c>
      <c r="J87" s="277">
        <v>4430884.6100000003</v>
      </c>
      <c r="K87" s="277">
        <v>4453918.8800000008</v>
      </c>
      <c r="L87" s="277">
        <v>4307086.540000001</v>
      </c>
      <c r="M87" s="277">
        <v>4473574.91</v>
      </c>
      <c r="N87" s="277">
        <v>4386859.96</v>
      </c>
      <c r="O87" s="277">
        <v>4625894.76</v>
      </c>
    </row>
    <row r="88" spans="9:15">
      <c r="I88" s="277">
        <v>4727776.91</v>
      </c>
      <c r="J88" s="277">
        <v>5109235.6199999992</v>
      </c>
      <c r="K88" s="277">
        <v>5155534.0499999989</v>
      </c>
      <c r="L88" s="277">
        <v>5176222.9799999995</v>
      </c>
      <c r="M88" s="277">
        <v>5346324.42</v>
      </c>
      <c r="N88" s="277">
        <v>4933645.629999999</v>
      </c>
      <c r="O88" s="277">
        <v>4990223.8499999996</v>
      </c>
    </row>
    <row r="89" spans="9:15">
      <c r="I89" s="277">
        <v>16851739.579999998</v>
      </c>
      <c r="J89" s="277">
        <v>18071918.760000002</v>
      </c>
      <c r="K89" s="277">
        <v>18165866.759999998</v>
      </c>
      <c r="L89" s="277">
        <v>17566992.729999997</v>
      </c>
      <c r="M89" s="277">
        <v>18246036.43</v>
      </c>
      <c r="N89" s="277">
        <v>17892358.530000001</v>
      </c>
      <c r="O89" s="277">
        <v>18867292.009999998</v>
      </c>
    </row>
    <row r="90" spans="9:15">
      <c r="I90" s="277">
        <f>+SUM(I86:I89)/1000</f>
        <v>26870.396239999998</v>
      </c>
      <c r="J90" s="277">
        <f t="shared" ref="J90:O90" si="26">+SUM(J86:J89)/1000</f>
        <v>28864.724690000003</v>
      </c>
      <c r="K90" s="277">
        <f t="shared" si="26"/>
        <v>29039.356789999998</v>
      </c>
      <c r="L90" s="277">
        <f t="shared" si="26"/>
        <v>28319.411879999996</v>
      </c>
      <c r="M90" s="277">
        <f t="shared" si="26"/>
        <v>29376.751029999999</v>
      </c>
      <c r="N90" s="277">
        <f t="shared" si="26"/>
        <v>28422.498490000002</v>
      </c>
      <c r="O90" s="277">
        <f t="shared" si="26"/>
        <v>29706.916929999996</v>
      </c>
    </row>
    <row r="92" spans="9:15">
      <c r="I92" s="277">
        <v>119551.85</v>
      </c>
      <c r="J92" s="277">
        <v>126652.23999999999</v>
      </c>
      <c r="K92" s="221">
        <v>125500.17</v>
      </c>
      <c r="L92" s="221">
        <v>122702.75</v>
      </c>
      <c r="M92" s="221">
        <v>133651.19</v>
      </c>
      <c r="N92" s="221">
        <v>121625.78</v>
      </c>
      <c r="O92" s="221">
        <v>126790.77</v>
      </c>
    </row>
    <row r="93" spans="9:15">
      <c r="I93" s="277">
        <v>405272.86</v>
      </c>
      <c r="J93" s="277">
        <v>417465.69999999995</v>
      </c>
      <c r="K93" s="221">
        <v>426181.58</v>
      </c>
      <c r="L93" s="221">
        <v>400561.55</v>
      </c>
      <c r="M93" s="221">
        <v>430569.16</v>
      </c>
      <c r="N93" s="221">
        <v>427881.43000000005</v>
      </c>
      <c r="O93" s="221">
        <v>464196.03</v>
      </c>
    </row>
    <row r="94" spans="9:15">
      <c r="I94" s="277"/>
    </row>
    <row r="95" spans="9:15">
      <c r="I95" s="277">
        <f>+(I92+I93)/1000</f>
        <v>524.82470999999998</v>
      </c>
      <c r="J95" s="277">
        <f t="shared" ref="J95:O95" si="27">+(J92+J93)/1000</f>
        <v>544.11793999999998</v>
      </c>
      <c r="K95" s="277">
        <f t="shared" si="27"/>
        <v>551.68174999999997</v>
      </c>
      <c r="L95" s="277">
        <f t="shared" si="27"/>
        <v>523.26429999999993</v>
      </c>
      <c r="M95" s="277">
        <f t="shared" si="27"/>
        <v>564.22034999999994</v>
      </c>
      <c r="N95" s="277">
        <f t="shared" si="27"/>
        <v>549.5072100000001</v>
      </c>
      <c r="O95" s="277">
        <f t="shared" si="27"/>
        <v>590.98680000000002</v>
      </c>
    </row>
    <row r="97" spans="9:15">
      <c r="I97" s="249">
        <f>+I90+I95</f>
        <v>27395.220949999999</v>
      </c>
      <c r="J97" s="249">
        <f t="shared" ref="J97:O97" si="28">+J90+J95</f>
        <v>29408.842630000003</v>
      </c>
      <c r="K97" s="249">
        <f t="shared" si="28"/>
        <v>29591.038539999998</v>
      </c>
      <c r="L97" s="249">
        <f t="shared" si="28"/>
        <v>28842.676179999995</v>
      </c>
      <c r="M97" s="249">
        <f t="shared" si="28"/>
        <v>29940.971379999999</v>
      </c>
      <c r="N97" s="249">
        <f t="shared" si="28"/>
        <v>28972.005700000002</v>
      </c>
      <c r="O97" s="249">
        <f t="shared" si="28"/>
        <v>30297.903729999995</v>
      </c>
    </row>
    <row r="98" spans="9:15">
      <c r="I98" s="249">
        <f>+I45</f>
        <v>26870.396239999998</v>
      </c>
      <c r="J98" s="249">
        <f t="shared" ref="J98:O98" si="29">+J45</f>
        <v>28864.724690000003</v>
      </c>
      <c r="K98" s="249">
        <f t="shared" si="29"/>
        <v>29039.356789999998</v>
      </c>
      <c r="L98" s="249">
        <f t="shared" si="29"/>
        <v>28319.411879999996</v>
      </c>
      <c r="M98" s="249">
        <f t="shared" si="29"/>
        <v>29376.751029999999</v>
      </c>
      <c r="N98" s="249">
        <f t="shared" si="29"/>
        <v>28422.498490000002</v>
      </c>
      <c r="O98" s="249">
        <f t="shared" si="29"/>
        <v>29706.916929999996</v>
      </c>
    </row>
  </sheetData>
  <printOptions horizontalCentered="1"/>
  <pageMargins left="0.39370078740157483" right="0.39370078740157483" top="1.3779527559055118" bottom="1" header="0" footer="0"/>
  <pageSetup paperSize="9" scale="81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DD95-5920-4A04-8D4C-BF9E01735F4B}">
  <sheetPr codeName="Sheet10">
    <pageSetUpPr fitToPage="1"/>
  </sheetPr>
  <dimension ref="A1:IV92"/>
  <sheetViews>
    <sheetView view="pageBreakPreview" topLeftCell="A4" zoomScaleNormal="80" zoomScaleSheetLayoutView="100" workbookViewId="0">
      <selection activeCell="P39" sqref="P39"/>
    </sheetView>
  </sheetViews>
  <sheetFormatPr baseColWidth="10" defaultColWidth="9" defaultRowHeight="11.25"/>
  <cols>
    <col min="1" max="1" width="3" style="221" customWidth="1"/>
    <col min="2" max="2" width="30.7109375" style="221" customWidth="1"/>
    <col min="3" max="3" width="26.85546875" style="221" bestFit="1" customWidth="1"/>
    <col min="4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0.85546875" style="221" bestFit="1" customWidth="1"/>
    <col min="17" max="17" width="10.42578125" style="221" bestFit="1" customWidth="1"/>
    <col min="18" max="18" width="7.85546875" style="221" bestFit="1" customWidth="1"/>
    <col min="19" max="16384" width="9" style="221"/>
  </cols>
  <sheetData>
    <row r="1" spans="3:16" hidden="1"/>
    <row r="2" spans="3:16" hidden="1"/>
    <row r="3" spans="3:16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61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235">
        <v>1225.9269673368931</v>
      </c>
      <c r="E8" s="235">
        <v>1100.2484706196506</v>
      </c>
      <c r="F8" s="236">
        <v>1199.4271254501343</v>
      </c>
      <c r="G8" s="236">
        <v>707.30790350863333</v>
      </c>
      <c r="H8" s="236">
        <v>1055.3094619804322</v>
      </c>
      <c r="I8" s="236">
        <v>1187.7418468017579</v>
      </c>
      <c r="J8" s="236">
        <v>1004.2177078392117</v>
      </c>
      <c r="K8" s="237">
        <v>1206.8928144256583</v>
      </c>
      <c r="L8" s="236">
        <v>1111.483538032754</v>
      </c>
      <c r="M8" s="236">
        <v>1169.0797572174072</v>
      </c>
      <c r="N8" s="236">
        <v>1172.7716878967285</v>
      </c>
      <c r="O8" s="238">
        <v>1201.6393145847321</v>
      </c>
      <c r="P8" s="239">
        <f t="shared" ref="P8:P14" si="0">+SUM(D8:O8)</f>
        <v>13342.046595693992</v>
      </c>
    </row>
    <row r="9" spans="3:16">
      <c r="C9" s="234" t="s">
        <v>17</v>
      </c>
      <c r="D9" s="235">
        <v>429.30329336547851</v>
      </c>
      <c r="E9" s="235">
        <v>303.46960551324486</v>
      </c>
      <c r="F9" s="236">
        <v>409.99535281443224</v>
      </c>
      <c r="G9" s="236">
        <v>238.45527658462524</v>
      </c>
      <c r="H9" s="236">
        <v>336.58093503624201</v>
      </c>
      <c r="I9" s="236">
        <v>403.42692394150981</v>
      </c>
      <c r="J9" s="236">
        <v>412.18549588409064</v>
      </c>
      <c r="K9" s="237">
        <v>420.12017872714995</v>
      </c>
      <c r="L9" s="236">
        <v>395.99462059789897</v>
      </c>
      <c r="M9" s="236">
        <v>392.21372701495886</v>
      </c>
      <c r="N9" s="236">
        <v>409.39118072140218</v>
      </c>
      <c r="O9" s="238">
        <v>418.94184002876284</v>
      </c>
      <c r="P9" s="239">
        <f t="shared" si="0"/>
        <v>4570.0784302297961</v>
      </c>
    </row>
    <row r="10" spans="3:16">
      <c r="C10" s="234" t="s">
        <v>18</v>
      </c>
      <c r="D10" s="235">
        <v>3463.0213008728028</v>
      </c>
      <c r="E10" s="235">
        <v>3168.7687713699343</v>
      </c>
      <c r="F10" s="236">
        <v>3495.4099975585937</v>
      </c>
      <c r="G10" s="236">
        <v>3328.6704804248811</v>
      </c>
      <c r="H10" s="236">
        <v>3428.6704058227538</v>
      </c>
      <c r="I10" s="236">
        <v>3248.2483761187791</v>
      </c>
      <c r="J10" s="236">
        <v>3450.9501662380694</v>
      </c>
      <c r="K10" s="237">
        <v>3394.3048227157592</v>
      </c>
      <c r="L10" s="236">
        <v>3296.3040373525619</v>
      </c>
      <c r="M10" s="236">
        <v>3428.503410402298</v>
      </c>
      <c r="N10" s="236">
        <v>3348.2044322204588</v>
      </c>
      <c r="O10" s="238">
        <v>3394.4808269119262</v>
      </c>
      <c r="P10" s="239">
        <f t="shared" si="0"/>
        <v>40445.537028008817</v>
      </c>
    </row>
    <row r="11" spans="3:16">
      <c r="C11" s="234" t="s">
        <v>19</v>
      </c>
      <c r="D11" s="235">
        <v>10307.390502253056</v>
      </c>
      <c r="E11" s="235">
        <v>9560.9041686751807</v>
      </c>
      <c r="F11" s="236">
        <v>10412.750909666556</v>
      </c>
      <c r="G11" s="236">
        <v>9980.5389431082785</v>
      </c>
      <c r="H11" s="236">
        <v>8870.0677164368262</v>
      </c>
      <c r="I11" s="236">
        <v>8525.9980172195428</v>
      </c>
      <c r="J11" s="236">
        <v>8895.082621669515</v>
      </c>
      <c r="K11" s="237">
        <v>8748.5140997786075</v>
      </c>
      <c r="L11" s="236">
        <v>8840.9316548437</v>
      </c>
      <c r="M11" s="236">
        <v>9451.2797985742855</v>
      </c>
      <c r="N11" s="236">
        <v>8938.9967329590763</v>
      </c>
      <c r="O11" s="238">
        <v>9403.9944093852209</v>
      </c>
      <c r="P11" s="239">
        <f t="shared" si="0"/>
        <v>111936.44957456985</v>
      </c>
    </row>
    <row r="12" spans="3:16">
      <c r="C12" s="234" t="s">
        <v>20</v>
      </c>
      <c r="D12" s="235">
        <v>72064.964935473647</v>
      </c>
      <c r="E12" s="235">
        <v>83210.969813110351</v>
      </c>
      <c r="F12" s="236">
        <v>104794.88990677262</v>
      </c>
      <c r="G12" s="236">
        <v>84501.596139541623</v>
      </c>
      <c r="H12" s="236">
        <v>54284.203921717643</v>
      </c>
      <c r="I12" s="236">
        <v>51697.41428490555</v>
      </c>
      <c r="J12" s="236">
        <v>53421.481464367389</v>
      </c>
      <c r="K12" s="237">
        <v>53418.250566709758</v>
      </c>
      <c r="L12" s="236">
        <v>54712.470789159896</v>
      </c>
      <c r="M12" s="236">
        <v>58131.604086307641</v>
      </c>
      <c r="N12" s="236">
        <v>55439.239229122191</v>
      </c>
      <c r="O12" s="238">
        <v>62464.398478741532</v>
      </c>
      <c r="P12" s="239">
        <f t="shared" si="0"/>
        <v>788141.48361592984</v>
      </c>
    </row>
    <row r="13" spans="3:16">
      <c r="C13" s="234" t="s">
        <v>21</v>
      </c>
      <c r="D13" s="235">
        <v>5346.0183460291746</v>
      </c>
      <c r="E13" s="235">
        <v>5097.8546658031009</v>
      </c>
      <c r="F13" s="236">
        <v>6466.522624193939</v>
      </c>
      <c r="G13" s="236">
        <v>6116.836457590789</v>
      </c>
      <c r="H13" s="236">
        <v>5303.739443054199</v>
      </c>
      <c r="I13" s="236">
        <v>5094.9713868408207</v>
      </c>
      <c r="J13" s="236">
        <v>5012.9954502857781</v>
      </c>
      <c r="K13" s="237">
        <v>4907.6445278379697</v>
      </c>
      <c r="L13" s="236">
        <v>5193.1321436581075</v>
      </c>
      <c r="M13" s="236">
        <v>5656.7035269775388</v>
      </c>
      <c r="N13" s="236">
        <v>5315.729609871516</v>
      </c>
      <c r="O13" s="238">
        <v>5775.3671303581314</v>
      </c>
      <c r="P13" s="239">
        <f t="shared" si="0"/>
        <v>65287.515312501055</v>
      </c>
    </row>
    <row r="14" spans="3:16">
      <c r="C14" s="240" t="s">
        <v>22</v>
      </c>
      <c r="D14" s="241">
        <f t="shared" ref="D14:O14" si="1">SUM(D8:D13)</f>
        <v>92836.625345331049</v>
      </c>
      <c r="E14" s="241">
        <f t="shared" si="1"/>
        <v>102442.21549509146</v>
      </c>
      <c r="F14" s="241">
        <f t="shared" si="1"/>
        <v>126778.99591645628</v>
      </c>
      <c r="G14" s="241">
        <f t="shared" si="1"/>
        <v>104873.40520075883</v>
      </c>
      <c r="H14" s="241">
        <f t="shared" si="1"/>
        <v>73278.571884048099</v>
      </c>
      <c r="I14" s="241">
        <f t="shared" si="1"/>
        <v>70157.800835827962</v>
      </c>
      <c r="J14" s="241">
        <f t="shared" si="1"/>
        <v>72196.912906284051</v>
      </c>
      <c r="K14" s="241">
        <f t="shared" si="1"/>
        <v>72095.727010194896</v>
      </c>
      <c r="L14" s="241">
        <f t="shared" si="1"/>
        <v>73550.316783644914</v>
      </c>
      <c r="M14" s="241">
        <f t="shared" si="1"/>
        <v>78229.384306494132</v>
      </c>
      <c r="N14" s="241">
        <f t="shared" si="1"/>
        <v>74624.332872791376</v>
      </c>
      <c r="O14" s="242">
        <f t="shared" si="1"/>
        <v>82658.822000010303</v>
      </c>
      <c r="P14" s="243">
        <f t="shared" si="0"/>
        <v>1023723.1105569334</v>
      </c>
    </row>
    <row r="15" spans="3:16">
      <c r="C15" s="228" t="s">
        <v>23</v>
      </c>
      <c r="D15" s="244"/>
      <c r="E15" s="244"/>
      <c r="F15" s="245"/>
      <c r="G15" s="245"/>
      <c r="H15" s="245"/>
      <c r="I15" s="245"/>
      <c r="J15" s="245"/>
      <c r="K15" s="246"/>
      <c r="L15" s="236"/>
      <c r="M15" s="236"/>
      <c r="N15" s="236"/>
      <c r="O15" s="238"/>
      <c r="P15" s="247"/>
    </row>
    <row r="16" spans="3:16">
      <c r="C16" s="248" t="s">
        <v>24</v>
      </c>
      <c r="D16" s="235">
        <v>0</v>
      </c>
      <c r="E16" s="235">
        <v>0</v>
      </c>
      <c r="F16" s="236">
        <v>0</v>
      </c>
      <c r="G16" s="236">
        <v>0</v>
      </c>
      <c r="H16" s="236">
        <v>0</v>
      </c>
      <c r="I16" s="236">
        <v>0</v>
      </c>
      <c r="J16" s="236">
        <v>0</v>
      </c>
      <c r="K16" s="237">
        <v>0</v>
      </c>
      <c r="L16" s="236">
        <v>0</v>
      </c>
      <c r="M16" s="236">
        <v>0</v>
      </c>
      <c r="N16" s="236">
        <v>0</v>
      </c>
      <c r="O16" s="238">
        <v>0</v>
      </c>
      <c r="P16" s="239">
        <f t="shared" ref="P16:P22" si="2">+SUM(D16:O16)</f>
        <v>0</v>
      </c>
    </row>
    <row r="17" spans="3:18">
      <c r="C17" s="234" t="s">
        <v>25</v>
      </c>
      <c r="D17" s="235">
        <v>0.41647253417968749</v>
      </c>
      <c r="E17" s="235">
        <v>8.1636456127166745</v>
      </c>
      <c r="F17" s="236">
        <v>0</v>
      </c>
      <c r="G17" s="236">
        <v>0.31892608642578124</v>
      </c>
      <c r="H17" s="236">
        <v>0</v>
      </c>
      <c r="I17" s="236">
        <v>1.0249066925048829</v>
      </c>
      <c r="J17" s="236">
        <v>0</v>
      </c>
      <c r="K17" s="237">
        <v>1.1803147888183594</v>
      </c>
      <c r="L17" s="236">
        <v>0</v>
      </c>
      <c r="M17" s="236">
        <v>25.103627816231956</v>
      </c>
      <c r="N17" s="236">
        <v>27.669574584960937</v>
      </c>
      <c r="O17" s="238">
        <v>1.5307388582229615</v>
      </c>
      <c r="P17" s="239">
        <f t="shared" si="2"/>
        <v>65.408206974061244</v>
      </c>
    </row>
    <row r="18" spans="3:18">
      <c r="C18" s="248" t="s">
        <v>26</v>
      </c>
      <c r="D18" s="235">
        <v>14.40608958530426</v>
      </c>
      <c r="E18" s="235">
        <v>13.312516209158641</v>
      </c>
      <c r="F18" s="236">
        <v>0</v>
      </c>
      <c r="G18" s="236">
        <v>0.5451117553710938</v>
      </c>
      <c r="H18" s="236">
        <v>0</v>
      </c>
      <c r="I18" s="236">
        <v>0.64248705568170406</v>
      </c>
      <c r="J18" s="236">
        <v>0</v>
      </c>
      <c r="K18" s="237">
        <v>0.56535441103590711</v>
      </c>
      <c r="L18" s="236">
        <v>0</v>
      </c>
      <c r="M18" s="236">
        <v>5.2870844282461036</v>
      </c>
      <c r="N18" s="236">
        <v>0.60439826248586181</v>
      </c>
      <c r="O18" s="238">
        <v>2.8432527294214305</v>
      </c>
      <c r="P18" s="239">
        <f t="shared" si="2"/>
        <v>38.206294436705001</v>
      </c>
      <c r="Q18" s="249"/>
    </row>
    <row r="19" spans="3:18">
      <c r="C19" s="248" t="s">
        <v>27</v>
      </c>
      <c r="D19" s="235">
        <v>6.3288011775639319</v>
      </c>
      <c r="E19" s="235">
        <v>20.403311557769776</v>
      </c>
      <c r="F19" s="236">
        <v>0.93851548099517812</v>
      </c>
      <c r="G19" s="236">
        <v>0.95060052490234381</v>
      </c>
      <c r="H19" s="236">
        <v>3.415229449020325</v>
      </c>
      <c r="I19" s="236">
        <v>0</v>
      </c>
      <c r="J19" s="236">
        <v>3.5564135079628323</v>
      </c>
      <c r="K19" s="237">
        <v>0</v>
      </c>
      <c r="L19" s="236">
        <v>23.777643438636417</v>
      </c>
      <c r="M19" s="236">
        <v>20.597472862243652</v>
      </c>
      <c r="N19" s="236">
        <v>22.130573420044968</v>
      </c>
      <c r="O19" s="238">
        <v>23.763413604736328</v>
      </c>
      <c r="P19" s="239">
        <f t="shared" si="2"/>
        <v>125.86197502387576</v>
      </c>
      <c r="Q19" s="249"/>
    </row>
    <row r="20" spans="3:18">
      <c r="C20" s="250" t="s">
        <v>46</v>
      </c>
      <c r="D20" s="235">
        <v>0</v>
      </c>
      <c r="E20" s="235">
        <v>0</v>
      </c>
      <c r="F20" s="235">
        <v>0</v>
      </c>
      <c r="G20" s="235">
        <v>0</v>
      </c>
      <c r="H20" s="235">
        <v>0</v>
      </c>
      <c r="I20" s="235">
        <v>0</v>
      </c>
      <c r="J20" s="235">
        <v>0</v>
      </c>
      <c r="K20" s="235">
        <v>0</v>
      </c>
      <c r="L20" s="235">
        <v>0</v>
      </c>
      <c r="M20" s="235">
        <v>0</v>
      </c>
      <c r="N20" s="235">
        <v>0</v>
      </c>
      <c r="O20" s="237">
        <v>0</v>
      </c>
      <c r="P20" s="239">
        <f t="shared" si="2"/>
        <v>0</v>
      </c>
      <c r="Q20" s="249"/>
    </row>
    <row r="21" spans="3:18">
      <c r="C21" s="240" t="s">
        <v>28</v>
      </c>
      <c r="D21" s="241">
        <f t="shared" ref="D21:O21" si="3">SUM(D16:D20)</f>
        <v>21.15136329704788</v>
      </c>
      <c r="E21" s="241">
        <f t="shared" si="3"/>
        <v>41.879473379645091</v>
      </c>
      <c r="F21" s="241">
        <f t="shared" si="3"/>
        <v>0.93851548099517812</v>
      </c>
      <c r="G21" s="241">
        <f t="shared" si="3"/>
        <v>1.814638366699219</v>
      </c>
      <c r="H21" s="241">
        <f t="shared" si="3"/>
        <v>3.415229449020325</v>
      </c>
      <c r="I21" s="241">
        <f t="shared" si="3"/>
        <v>1.667393748186587</v>
      </c>
      <c r="J21" s="241">
        <f t="shared" si="3"/>
        <v>3.5564135079628323</v>
      </c>
      <c r="K21" s="241">
        <f t="shared" si="3"/>
        <v>1.7456691998542664</v>
      </c>
      <c r="L21" s="241">
        <f t="shared" si="3"/>
        <v>23.777643438636417</v>
      </c>
      <c r="M21" s="241">
        <f t="shared" si="3"/>
        <v>50.988185106721716</v>
      </c>
      <c r="N21" s="241">
        <f t="shared" si="3"/>
        <v>50.404546267491767</v>
      </c>
      <c r="O21" s="242">
        <f t="shared" si="3"/>
        <v>28.137405192380719</v>
      </c>
      <c r="P21" s="243">
        <f t="shared" si="2"/>
        <v>229.47647643464197</v>
      </c>
    </row>
    <row r="22" spans="3:18" ht="12" thickBot="1">
      <c r="C22" s="251" t="s">
        <v>29</v>
      </c>
      <c r="D22" s="252">
        <f t="shared" ref="D22:O22" si="4">+D14+D21</f>
        <v>92857.776708628095</v>
      </c>
      <c r="E22" s="252">
        <f t="shared" si="4"/>
        <v>102484.09496847109</v>
      </c>
      <c r="F22" s="252">
        <f t="shared" si="4"/>
        <v>126779.93443193728</v>
      </c>
      <c r="G22" s="252">
        <f t="shared" si="4"/>
        <v>104875.21983912554</v>
      </c>
      <c r="H22" s="252">
        <f t="shared" si="4"/>
        <v>73281.987113497118</v>
      </c>
      <c r="I22" s="252">
        <f t="shared" si="4"/>
        <v>70159.468229576145</v>
      </c>
      <c r="J22" s="252">
        <f t="shared" si="4"/>
        <v>72200.469319792013</v>
      </c>
      <c r="K22" s="252">
        <f t="shared" si="4"/>
        <v>72097.472679394748</v>
      </c>
      <c r="L22" s="252">
        <f t="shared" si="4"/>
        <v>73574.094427083546</v>
      </c>
      <c r="M22" s="252">
        <f t="shared" si="4"/>
        <v>78280.37249160085</v>
      </c>
      <c r="N22" s="252">
        <f t="shared" si="4"/>
        <v>74674.737419058874</v>
      </c>
      <c r="O22" s="253">
        <f t="shared" si="4"/>
        <v>82686.959405202681</v>
      </c>
      <c r="P22" s="254">
        <f t="shared" si="2"/>
        <v>1023952.5870333679</v>
      </c>
    </row>
    <row r="23" spans="3:18" ht="12" thickTop="1"/>
    <row r="24" spans="3:18">
      <c r="C24" s="222" t="s">
        <v>105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18" ht="12" thickBot="1"/>
    <row r="26" spans="3:18" ht="12" thickTop="1">
      <c r="C26" s="255" t="s">
        <v>30</v>
      </c>
      <c r="D26" s="256" t="s">
        <v>2</v>
      </c>
      <c r="E26" s="257" t="s">
        <v>3</v>
      </c>
      <c r="F26" s="257" t="s">
        <v>4</v>
      </c>
      <c r="G26" s="257" t="s">
        <v>5</v>
      </c>
      <c r="H26" s="257" t="s">
        <v>6</v>
      </c>
      <c r="I26" s="257" t="s">
        <v>7</v>
      </c>
      <c r="J26" s="257" t="s">
        <v>8</v>
      </c>
      <c r="K26" s="257" t="s">
        <v>9</v>
      </c>
      <c r="L26" s="257" t="s">
        <v>10</v>
      </c>
      <c r="M26" s="257" t="s">
        <v>11</v>
      </c>
      <c r="N26" s="257" t="s">
        <v>12</v>
      </c>
      <c r="O26" s="258" t="s">
        <v>13</v>
      </c>
      <c r="P26" s="259" t="s">
        <v>14</v>
      </c>
    </row>
    <row r="27" spans="3:18">
      <c r="C27" s="260" t="s">
        <v>31</v>
      </c>
      <c r="D27" s="261">
        <f t="shared" ref="D27:O27" si="5">+D28+D29</f>
        <v>92857.776708628095</v>
      </c>
      <c r="E27" s="262">
        <f t="shared" si="5"/>
        <v>102484.09496847109</v>
      </c>
      <c r="F27" s="263">
        <f t="shared" si="5"/>
        <v>126779.93443193728</v>
      </c>
      <c r="G27" s="263">
        <f t="shared" si="5"/>
        <v>104875.21983912554</v>
      </c>
      <c r="H27" s="263">
        <f t="shared" si="5"/>
        <v>73281.987113497118</v>
      </c>
      <c r="I27" s="263">
        <f t="shared" si="5"/>
        <v>70159.468229576145</v>
      </c>
      <c r="J27" s="263">
        <f t="shared" si="5"/>
        <v>72200.469319792013</v>
      </c>
      <c r="K27" s="263">
        <f t="shared" si="5"/>
        <v>72097.472679394748</v>
      </c>
      <c r="L27" s="263">
        <f t="shared" si="5"/>
        <v>73574.094427083546</v>
      </c>
      <c r="M27" s="263">
        <f t="shared" si="5"/>
        <v>78280.37249160085</v>
      </c>
      <c r="N27" s="263">
        <f t="shared" si="5"/>
        <v>74674.737419058874</v>
      </c>
      <c r="O27" s="264">
        <f t="shared" si="5"/>
        <v>82686.959405202681</v>
      </c>
      <c r="P27" s="265">
        <f>SUM(D27:O27)</f>
        <v>1023952.5870333679</v>
      </c>
      <c r="R27" s="246"/>
    </row>
    <row r="28" spans="3:18">
      <c r="C28" s="266" t="s">
        <v>32</v>
      </c>
      <c r="D28" s="267">
        <f>+D14</f>
        <v>92836.625345331049</v>
      </c>
      <c r="E28" s="268">
        <f t="shared" ref="E28:O28" si="6">+E14</f>
        <v>102442.21549509146</v>
      </c>
      <c r="F28" s="268">
        <f t="shared" si="6"/>
        <v>126778.99591645628</v>
      </c>
      <c r="G28" s="268">
        <f t="shared" si="6"/>
        <v>104873.40520075883</v>
      </c>
      <c r="H28" s="268">
        <f t="shared" si="6"/>
        <v>73278.571884048099</v>
      </c>
      <c r="I28" s="268">
        <f t="shared" si="6"/>
        <v>70157.800835827962</v>
      </c>
      <c r="J28" s="268">
        <f t="shared" si="6"/>
        <v>72196.912906284051</v>
      </c>
      <c r="K28" s="268">
        <f t="shared" si="6"/>
        <v>72095.727010194896</v>
      </c>
      <c r="L28" s="268">
        <f t="shared" si="6"/>
        <v>73550.316783644914</v>
      </c>
      <c r="M28" s="268">
        <f t="shared" si="6"/>
        <v>78229.384306494132</v>
      </c>
      <c r="N28" s="268">
        <f t="shared" si="6"/>
        <v>74624.332872791376</v>
      </c>
      <c r="O28" s="268">
        <f t="shared" si="6"/>
        <v>82658.822000010303</v>
      </c>
      <c r="P28" s="269">
        <f t="shared" ref="P28:P62" si="7">SUM(D28:O28)</f>
        <v>1023723.1105569334</v>
      </c>
      <c r="R28" s="246"/>
    </row>
    <row r="29" spans="3:18">
      <c r="C29" s="270" t="s">
        <v>33</v>
      </c>
      <c r="D29" s="271">
        <f>+D21</f>
        <v>21.15136329704788</v>
      </c>
      <c r="E29" s="272">
        <f t="shared" ref="E29:O29" si="8">+E21</f>
        <v>41.879473379645091</v>
      </c>
      <c r="F29" s="272">
        <f t="shared" si="8"/>
        <v>0.93851548099517812</v>
      </c>
      <c r="G29" s="272">
        <f t="shared" si="8"/>
        <v>1.814638366699219</v>
      </c>
      <c r="H29" s="272">
        <f t="shared" si="8"/>
        <v>3.415229449020325</v>
      </c>
      <c r="I29" s="272">
        <f t="shared" si="8"/>
        <v>1.667393748186587</v>
      </c>
      <c r="J29" s="272">
        <f t="shared" si="8"/>
        <v>3.5564135079628323</v>
      </c>
      <c r="K29" s="272">
        <f t="shared" si="8"/>
        <v>1.7456691998542664</v>
      </c>
      <c r="L29" s="272">
        <f t="shared" si="8"/>
        <v>23.777643438636417</v>
      </c>
      <c r="M29" s="272">
        <f t="shared" si="8"/>
        <v>50.988185106721716</v>
      </c>
      <c r="N29" s="272">
        <f t="shared" si="8"/>
        <v>50.404546267491767</v>
      </c>
      <c r="O29" s="272">
        <f t="shared" si="8"/>
        <v>28.137405192380719</v>
      </c>
      <c r="P29" s="273">
        <f t="shared" si="7"/>
        <v>229.47647643464197</v>
      </c>
      <c r="R29" s="246"/>
    </row>
    <row r="30" spans="3:18">
      <c r="C30" s="260" t="s">
        <v>34</v>
      </c>
      <c r="D30" s="274">
        <f t="shared" ref="D30:O30" si="9">+D31</f>
        <v>0</v>
      </c>
      <c r="E30" s="263">
        <f t="shared" si="9"/>
        <v>0</v>
      </c>
      <c r="F30" s="263">
        <f t="shared" si="9"/>
        <v>0</v>
      </c>
      <c r="G30" s="263">
        <f t="shared" si="9"/>
        <v>0</v>
      </c>
      <c r="H30" s="263">
        <f t="shared" si="9"/>
        <v>0</v>
      </c>
      <c r="I30" s="263">
        <f t="shared" si="9"/>
        <v>0</v>
      </c>
      <c r="J30" s="263">
        <f t="shared" si="9"/>
        <v>0</v>
      </c>
      <c r="K30" s="263">
        <f t="shared" si="9"/>
        <v>0</v>
      </c>
      <c r="L30" s="263">
        <f t="shared" si="9"/>
        <v>0</v>
      </c>
      <c r="M30" s="263">
        <f t="shared" si="9"/>
        <v>0</v>
      </c>
      <c r="N30" s="263">
        <f t="shared" si="9"/>
        <v>0</v>
      </c>
      <c r="O30" s="264">
        <f t="shared" si="9"/>
        <v>0</v>
      </c>
      <c r="P30" s="265">
        <f t="shared" si="7"/>
        <v>0</v>
      </c>
      <c r="R30" s="246"/>
    </row>
    <row r="31" spans="3:18">
      <c r="C31" s="266" t="s">
        <v>41</v>
      </c>
      <c r="D31" s="267">
        <v>0</v>
      </c>
      <c r="E31" s="272">
        <v>0</v>
      </c>
      <c r="F31" s="272">
        <v>0</v>
      </c>
      <c r="G31" s="272">
        <v>0</v>
      </c>
      <c r="H31" s="268">
        <v>0</v>
      </c>
      <c r="I31" s="268">
        <v>0</v>
      </c>
      <c r="J31" s="268"/>
      <c r="K31" s="268"/>
      <c r="L31" s="268">
        <v>0</v>
      </c>
      <c r="M31" s="268">
        <v>0</v>
      </c>
      <c r="N31" s="268">
        <v>0</v>
      </c>
      <c r="O31" s="275"/>
      <c r="P31" s="269">
        <f t="shared" si="7"/>
        <v>0</v>
      </c>
      <c r="R31" s="246"/>
    </row>
    <row r="32" spans="3:18">
      <c r="C32" s="260" t="s">
        <v>35</v>
      </c>
      <c r="D32" s="261">
        <f>+D33+D34</f>
        <v>322.81552739629518</v>
      </c>
      <c r="E32" s="263">
        <f t="shared" ref="E32:O32" si="10">+E33+E34</f>
        <v>315.22511432633627</v>
      </c>
      <c r="F32" s="263">
        <f t="shared" si="10"/>
        <v>352.64487279364681</v>
      </c>
      <c r="G32" s="263">
        <f t="shared" si="10"/>
        <v>317.29171381295731</v>
      </c>
      <c r="H32" s="263">
        <f t="shared" si="10"/>
        <v>310.6665574798559</v>
      </c>
      <c r="I32" s="263">
        <f t="shared" si="10"/>
        <v>298.06515541861449</v>
      </c>
      <c r="J32" s="263">
        <f t="shared" si="10"/>
        <v>313.62659825809976</v>
      </c>
      <c r="K32" s="263">
        <f t="shared" si="10"/>
        <v>302.80875758231349</v>
      </c>
      <c r="L32" s="263">
        <f t="shared" si="10"/>
        <v>298.06986474282576</v>
      </c>
      <c r="M32" s="263">
        <f t="shared" si="10"/>
        <v>310.80625102067114</v>
      </c>
      <c r="N32" s="263">
        <f t="shared" si="10"/>
        <v>295.67298983167842</v>
      </c>
      <c r="O32" s="276">
        <f t="shared" si="10"/>
        <v>314.82172509286374</v>
      </c>
      <c r="P32" s="265">
        <f t="shared" si="7"/>
        <v>3752.5151277561581</v>
      </c>
      <c r="R32" s="246"/>
    </row>
    <row r="33" spans="2:20">
      <c r="B33" s="277"/>
      <c r="C33" s="266" t="s">
        <v>32</v>
      </c>
      <c r="D33" s="267">
        <v>320.85607217473756</v>
      </c>
      <c r="E33" s="268">
        <v>312.97738378229366</v>
      </c>
      <c r="F33" s="268">
        <v>352.50086369940851</v>
      </c>
      <c r="G33" s="268">
        <v>317.07147512672952</v>
      </c>
      <c r="H33" s="268">
        <v>310.27671979140985</v>
      </c>
      <c r="I33" s="268">
        <v>297.90985022781194</v>
      </c>
      <c r="J33" s="268">
        <v>313.05756128605384</v>
      </c>
      <c r="K33" s="268">
        <v>302.71555181821054</v>
      </c>
      <c r="L33" s="268">
        <v>296.91128294045757</v>
      </c>
      <c r="M33" s="268">
        <v>309.2177109466565</v>
      </c>
      <c r="N33" s="268">
        <v>294.28988049046262</v>
      </c>
      <c r="O33" s="275">
        <v>312.88988875129195</v>
      </c>
      <c r="P33" s="269">
        <f t="shared" si="7"/>
        <v>3740.6742410355241</v>
      </c>
      <c r="R33" s="246"/>
    </row>
    <row r="34" spans="2:20">
      <c r="B34" s="278"/>
      <c r="C34" s="279" t="s">
        <v>33</v>
      </c>
      <c r="D34" s="267">
        <v>1.9594552215576171</v>
      </c>
      <c r="E34" s="268">
        <v>2.2477305440425877</v>
      </c>
      <c r="F34" s="268">
        <v>0.14400909423828126</v>
      </c>
      <c r="G34" s="272">
        <v>0.22023868622779846</v>
      </c>
      <c r="H34" s="272">
        <v>0.38983768844604494</v>
      </c>
      <c r="I34" s="272">
        <v>0.15530519080257416</v>
      </c>
      <c r="J34" s="272">
        <v>0.56903697204589843</v>
      </c>
      <c r="K34" s="272">
        <v>9.3205764102935781E-2</v>
      </c>
      <c r="L34" s="272">
        <v>1.158581802368164</v>
      </c>
      <c r="M34" s="268">
        <v>1.5885400740146638</v>
      </c>
      <c r="N34" s="272">
        <v>1.3831093412157893</v>
      </c>
      <c r="O34" s="280">
        <v>1.9318363415718078</v>
      </c>
      <c r="P34" s="273">
        <f t="shared" si="7"/>
        <v>11.840886720634161</v>
      </c>
      <c r="R34" s="246"/>
    </row>
    <row r="35" spans="2:20">
      <c r="C35" s="281" t="s">
        <v>36</v>
      </c>
      <c r="D35" s="261">
        <f t="shared" ref="D35:O35" si="11">+D36+D37</f>
        <v>1401.7099359159329</v>
      </c>
      <c r="E35" s="263">
        <f t="shared" si="11"/>
        <v>1412.0107345494616</v>
      </c>
      <c r="F35" s="263">
        <f t="shared" si="11"/>
        <v>1702.1900930682168</v>
      </c>
      <c r="G35" s="282">
        <f t="shared" si="11"/>
        <v>1476.0584790295834</v>
      </c>
      <c r="H35" s="282">
        <f t="shared" si="11"/>
        <v>1202.6776316246833</v>
      </c>
      <c r="I35" s="282">
        <f t="shared" si="11"/>
        <v>1136.7030165203905</v>
      </c>
      <c r="J35" s="282">
        <f t="shared" si="11"/>
        <v>1147.4316271774878</v>
      </c>
      <c r="K35" s="282">
        <f t="shared" si="11"/>
        <v>1168.1551775602275</v>
      </c>
      <c r="L35" s="282">
        <f t="shared" si="11"/>
        <v>1195.0694773732248</v>
      </c>
      <c r="M35" s="263">
        <f t="shared" si="11"/>
        <v>1240.5677350198966</v>
      </c>
      <c r="N35" s="282">
        <f t="shared" si="11"/>
        <v>1109.6796070392738</v>
      </c>
      <c r="O35" s="283">
        <f t="shared" si="11"/>
        <v>1257.2063672059157</v>
      </c>
      <c r="P35" s="284">
        <f t="shared" si="7"/>
        <v>15449.459882084295</v>
      </c>
      <c r="R35" s="246"/>
    </row>
    <row r="36" spans="2:20">
      <c r="B36" s="278"/>
      <c r="C36" s="266" t="s">
        <v>37</v>
      </c>
      <c r="D36" s="267">
        <v>560.68397436637315</v>
      </c>
      <c r="E36" s="268">
        <v>564.80429381978468</v>
      </c>
      <c r="F36" s="268">
        <v>680.87603722728682</v>
      </c>
      <c r="G36" s="268">
        <v>590.42339161183338</v>
      </c>
      <c r="H36" s="268">
        <v>481.07105264987331</v>
      </c>
      <c r="I36" s="268">
        <v>454.68120660815623</v>
      </c>
      <c r="J36" s="268">
        <v>458.97265087099515</v>
      </c>
      <c r="K36" s="268">
        <v>467.26207102409103</v>
      </c>
      <c r="L36" s="268">
        <v>478.02779094928997</v>
      </c>
      <c r="M36" s="268">
        <v>496.22709400795867</v>
      </c>
      <c r="N36" s="268">
        <v>443.87184281570956</v>
      </c>
      <c r="O36" s="268">
        <v>502.88254688236634</v>
      </c>
      <c r="P36" s="269">
        <f t="shared" si="7"/>
        <v>6179.7839528337181</v>
      </c>
      <c r="R36" s="246"/>
      <c r="T36" s="246"/>
    </row>
    <row r="37" spans="2:20">
      <c r="B37" s="285"/>
      <c r="C37" s="266" t="s">
        <v>38</v>
      </c>
      <c r="D37" s="286">
        <v>841.02596154955972</v>
      </c>
      <c r="E37" s="272">
        <v>847.20644072967696</v>
      </c>
      <c r="F37" s="272">
        <v>1021.31405584093</v>
      </c>
      <c r="G37" s="268">
        <v>885.63508741775001</v>
      </c>
      <c r="H37" s="268">
        <v>721.60657897480996</v>
      </c>
      <c r="I37" s="268">
        <v>682.02180991223429</v>
      </c>
      <c r="J37" s="268">
        <v>688.45897630649267</v>
      </c>
      <c r="K37" s="272">
        <v>700.89310653613643</v>
      </c>
      <c r="L37" s="272">
        <v>717.04168642393483</v>
      </c>
      <c r="M37" s="272">
        <v>744.34064101193792</v>
      </c>
      <c r="N37" s="272">
        <v>665.80776422356428</v>
      </c>
      <c r="O37" s="272">
        <v>754.3238203235494</v>
      </c>
      <c r="P37" s="269">
        <f t="shared" si="7"/>
        <v>9269.6759292505758</v>
      </c>
      <c r="S37" s="246"/>
      <c r="T37" s="246"/>
    </row>
    <row r="38" spans="2:20">
      <c r="B38" s="285"/>
      <c r="C38" s="287" t="s">
        <v>39</v>
      </c>
      <c r="D38" s="302">
        <f t="shared" ref="D38:O38" si="12">+D27+D30-D32-D35</f>
        <v>91133.251245315871</v>
      </c>
      <c r="E38" s="302">
        <f t="shared" si="12"/>
        <v>100756.85911959529</v>
      </c>
      <c r="F38" s="302">
        <f t="shared" si="12"/>
        <v>124725.09946607541</v>
      </c>
      <c r="G38" s="302">
        <f t="shared" si="12"/>
        <v>103081.869646283</v>
      </c>
      <c r="H38" s="302">
        <f t="shared" si="12"/>
        <v>71768.642924392581</v>
      </c>
      <c r="I38" s="302">
        <f t="shared" si="12"/>
        <v>68724.700057637136</v>
      </c>
      <c r="J38" s="302">
        <f t="shared" si="12"/>
        <v>70739.41109435643</v>
      </c>
      <c r="K38" s="302">
        <f t="shared" si="12"/>
        <v>70626.508744252205</v>
      </c>
      <c r="L38" s="302">
        <f t="shared" si="12"/>
        <v>72080.9550849675</v>
      </c>
      <c r="M38" s="302">
        <f t="shared" si="12"/>
        <v>76728.998505560288</v>
      </c>
      <c r="N38" s="302">
        <f t="shared" si="12"/>
        <v>73269.384822187916</v>
      </c>
      <c r="O38" s="302">
        <f t="shared" si="12"/>
        <v>81114.931312903907</v>
      </c>
      <c r="P38" s="302">
        <f t="shared" si="7"/>
        <v>1004750.6120235276</v>
      </c>
      <c r="R38" s="246"/>
    </row>
    <row r="39" spans="2:20">
      <c r="B39" s="285"/>
      <c r="C39" s="287" t="s">
        <v>40</v>
      </c>
      <c r="D39" s="302">
        <f t="shared" ref="D39:O39" si="13">+D40+D43+D53</f>
        <v>91133.251245315871</v>
      </c>
      <c r="E39" s="302">
        <f t="shared" si="13"/>
        <v>100756.85911959529</v>
      </c>
      <c r="F39" s="302">
        <f t="shared" si="13"/>
        <v>124725.09946607541</v>
      </c>
      <c r="G39" s="302">
        <f t="shared" si="13"/>
        <v>103081.869646283</v>
      </c>
      <c r="H39" s="302">
        <f t="shared" si="13"/>
        <v>71768.642924392581</v>
      </c>
      <c r="I39" s="302">
        <f t="shared" si="13"/>
        <v>68724.700057637136</v>
      </c>
      <c r="J39" s="302">
        <f t="shared" si="13"/>
        <v>70739.41109435643</v>
      </c>
      <c r="K39" s="302">
        <f t="shared" si="13"/>
        <v>70626.508744252205</v>
      </c>
      <c r="L39" s="302">
        <f t="shared" si="13"/>
        <v>72080.9550849675</v>
      </c>
      <c r="M39" s="302">
        <f t="shared" si="13"/>
        <v>76728.998505560288</v>
      </c>
      <c r="N39" s="302">
        <f t="shared" si="13"/>
        <v>73269.384822187916</v>
      </c>
      <c r="O39" s="302">
        <f t="shared" si="13"/>
        <v>81114.931312903907</v>
      </c>
      <c r="P39" s="302">
        <f t="shared" si="7"/>
        <v>1004750.6120235276</v>
      </c>
      <c r="R39" s="246"/>
    </row>
    <row r="40" spans="2:20">
      <c r="C40" s="281" t="s">
        <v>44</v>
      </c>
      <c r="D40" s="263">
        <f t="shared" ref="D40:O40" si="14">+D41+D42</f>
        <v>28392.408465315872</v>
      </c>
      <c r="E40" s="263">
        <f t="shared" si="14"/>
        <v>39655.692219595301</v>
      </c>
      <c r="F40" s="263">
        <f t="shared" si="14"/>
        <v>66682.429836075404</v>
      </c>
      <c r="G40" s="263">
        <f t="shared" si="14"/>
        <v>55410.090106282994</v>
      </c>
      <c r="H40" s="263">
        <f t="shared" si="14"/>
        <v>21564.182204392593</v>
      </c>
      <c r="I40" s="263">
        <f t="shared" si="14"/>
        <v>17650.36273763713</v>
      </c>
      <c r="J40" s="263">
        <f t="shared" si="14"/>
        <v>16704.738414356412</v>
      </c>
      <c r="K40" s="263">
        <f t="shared" si="14"/>
        <v>16036.743504252212</v>
      </c>
      <c r="L40" s="263">
        <f t="shared" si="14"/>
        <v>17827.456264967492</v>
      </c>
      <c r="M40" s="263">
        <f t="shared" si="14"/>
        <v>19010.820535560277</v>
      </c>
      <c r="N40" s="263">
        <f t="shared" si="14"/>
        <v>15878.892922187908</v>
      </c>
      <c r="O40" s="263">
        <f t="shared" si="14"/>
        <v>21068.006532903899</v>
      </c>
      <c r="P40" s="263">
        <f t="shared" si="7"/>
        <v>335881.82374352752</v>
      </c>
      <c r="R40" s="246"/>
      <c r="S40" s="246"/>
    </row>
    <row r="41" spans="2:20">
      <c r="B41" s="278"/>
      <c r="C41" s="266" t="s">
        <v>41</v>
      </c>
      <c r="D41" s="268">
        <v>28392.408465315872</v>
      </c>
      <c r="E41" s="268">
        <v>39655.692219595301</v>
      </c>
      <c r="F41" s="268">
        <v>66682.429836075404</v>
      </c>
      <c r="G41" s="268">
        <v>55410.090106282994</v>
      </c>
      <c r="H41" s="268">
        <v>21564.182204392593</v>
      </c>
      <c r="I41" s="268">
        <v>17650.36273763713</v>
      </c>
      <c r="J41" s="268">
        <v>16704.738414356412</v>
      </c>
      <c r="K41" s="268">
        <v>16036.743504252212</v>
      </c>
      <c r="L41" s="268">
        <v>17827.456264967492</v>
      </c>
      <c r="M41" s="268">
        <v>19010.820535560277</v>
      </c>
      <c r="N41" s="268">
        <v>15878.892922187908</v>
      </c>
      <c r="O41" s="268">
        <v>21068.006532903899</v>
      </c>
      <c r="P41" s="268">
        <f t="shared" si="7"/>
        <v>335881.82374352752</v>
      </c>
      <c r="Q41" s="246"/>
      <c r="R41" s="246"/>
    </row>
    <row r="42" spans="2:20" hidden="1">
      <c r="C42" s="266" t="s">
        <v>45</v>
      </c>
      <c r="D42" s="268">
        <v>0</v>
      </c>
      <c r="E42" s="268">
        <v>0</v>
      </c>
      <c r="F42" s="268">
        <v>0</v>
      </c>
      <c r="G42" s="268">
        <v>0</v>
      </c>
      <c r="H42" s="268">
        <v>0</v>
      </c>
      <c r="I42" s="268">
        <v>0</v>
      </c>
      <c r="J42" s="268">
        <v>0</v>
      </c>
      <c r="K42" s="268">
        <v>0</v>
      </c>
      <c r="L42" s="268">
        <v>0</v>
      </c>
      <c r="M42" s="268">
        <v>0</v>
      </c>
      <c r="N42" s="268">
        <v>0</v>
      </c>
      <c r="O42" s="268"/>
      <c r="P42" s="268">
        <f t="shared" si="7"/>
        <v>0</v>
      </c>
      <c r="Q42" s="246"/>
      <c r="R42" s="246"/>
    </row>
    <row r="43" spans="2:20">
      <c r="C43" s="281" t="s">
        <v>42</v>
      </c>
      <c r="D43" s="282">
        <f t="shared" ref="D43:P43" si="15">SUM(D44:D52)</f>
        <v>58801.59438000001</v>
      </c>
      <c r="E43" s="282">
        <f t="shared" si="15"/>
        <v>56242.476129999988</v>
      </c>
      <c r="F43" s="282">
        <f t="shared" si="15"/>
        <v>54780.488219999999</v>
      </c>
      <c r="G43" s="282">
        <f t="shared" si="15"/>
        <v>46351.273559999994</v>
      </c>
      <c r="H43" s="282">
        <f t="shared" si="15"/>
        <v>47497.926599999992</v>
      </c>
      <c r="I43" s="282">
        <f t="shared" si="15"/>
        <v>46405.977250000004</v>
      </c>
      <c r="J43" s="282">
        <f t="shared" si="15"/>
        <v>49198.437190000004</v>
      </c>
      <c r="K43" s="282">
        <f t="shared" si="15"/>
        <v>49987.363169999997</v>
      </c>
      <c r="L43" s="282">
        <f t="shared" si="15"/>
        <v>49566.259170000005</v>
      </c>
      <c r="M43" s="282">
        <f t="shared" si="15"/>
        <v>52950.170660000003</v>
      </c>
      <c r="N43" s="282">
        <f t="shared" si="15"/>
        <v>52544.381720000005</v>
      </c>
      <c r="O43" s="282">
        <f t="shared" si="15"/>
        <v>54871.483180000003</v>
      </c>
      <c r="P43" s="282">
        <f t="shared" si="15"/>
        <v>619197.83122999989</v>
      </c>
      <c r="R43" s="246"/>
    </row>
    <row r="44" spans="2:20">
      <c r="C44" s="266" t="s">
        <v>47</v>
      </c>
      <c r="D44" s="303">
        <v>12339.703579999999</v>
      </c>
      <c r="E44" s="288">
        <v>11997.73518</v>
      </c>
      <c r="F44" s="303">
        <v>11846.07725</v>
      </c>
      <c r="G44" s="268">
        <v>9953.8958799999982</v>
      </c>
      <c r="H44" s="268">
        <v>10247.130559999998</v>
      </c>
      <c r="I44" s="268">
        <v>10280.96292</v>
      </c>
      <c r="J44" s="268">
        <v>10847.547719999999</v>
      </c>
      <c r="K44" s="303">
        <v>10920.466409999999</v>
      </c>
      <c r="L44" s="268">
        <v>10800.263570000001</v>
      </c>
      <c r="M44" s="268">
        <v>11247.041219999999</v>
      </c>
      <c r="N44" s="289">
        <v>10960.757150000001</v>
      </c>
      <c r="O44" s="268">
        <v>11561.156999999999</v>
      </c>
      <c r="P44" s="268">
        <f t="shared" si="7"/>
        <v>133002.73843999999</v>
      </c>
      <c r="Q44" s="277"/>
      <c r="R44" s="246"/>
    </row>
    <row r="45" spans="2:20">
      <c r="C45" s="266" t="s">
        <v>48</v>
      </c>
      <c r="D45" s="268">
        <v>34559.47946000001</v>
      </c>
      <c r="E45" s="288">
        <v>33690.390930000001</v>
      </c>
      <c r="F45" s="268">
        <v>32523.849009999998</v>
      </c>
      <c r="G45" s="268">
        <v>26443.515709999996</v>
      </c>
      <c r="H45" s="268">
        <v>27146.205899999997</v>
      </c>
      <c r="I45" s="268">
        <v>27395.220949999999</v>
      </c>
      <c r="J45" s="268">
        <v>29408.842629999999</v>
      </c>
      <c r="K45" s="268">
        <v>29591.038539999998</v>
      </c>
      <c r="L45" s="268">
        <v>28842.676179999999</v>
      </c>
      <c r="M45" s="268">
        <v>29940.971379999999</v>
      </c>
      <c r="N45" s="289">
        <v>28972.005700000002</v>
      </c>
      <c r="O45" s="268">
        <v>30297.903729999998</v>
      </c>
      <c r="P45" s="268">
        <f t="shared" si="7"/>
        <v>358812.10011999996</v>
      </c>
      <c r="Q45" s="277"/>
      <c r="R45" s="246"/>
    </row>
    <row r="46" spans="2:20">
      <c r="C46" s="266" t="s">
        <v>50</v>
      </c>
      <c r="D46" s="268">
        <v>1290.11699</v>
      </c>
      <c r="E46" s="288">
        <v>1217.6573999999998</v>
      </c>
      <c r="F46" s="268">
        <v>1216.9077899999997</v>
      </c>
      <c r="G46" s="268">
        <v>1065.8568499999999</v>
      </c>
      <c r="H46" s="268">
        <v>1067.0700300000001</v>
      </c>
      <c r="I46" s="268">
        <v>1037.2767099999999</v>
      </c>
      <c r="J46" s="268">
        <v>1096.55214</v>
      </c>
      <c r="K46" s="268">
        <v>1113.72696</v>
      </c>
      <c r="L46" s="268">
        <v>1089.1474900000001</v>
      </c>
      <c r="M46" s="268">
        <v>1153.2510199999999</v>
      </c>
      <c r="N46" s="289">
        <v>1125.5971800000002</v>
      </c>
      <c r="O46" s="268">
        <v>1221.7271899999998</v>
      </c>
      <c r="P46" s="268">
        <f t="shared" si="7"/>
        <v>13694.887749999998</v>
      </c>
      <c r="Q46" s="277"/>
      <c r="R46" s="246"/>
    </row>
    <row r="47" spans="2:20">
      <c r="C47" s="266" t="s">
        <v>51</v>
      </c>
      <c r="D47" s="268">
        <v>927.90904</v>
      </c>
      <c r="E47" s="288">
        <v>864.18830000000003</v>
      </c>
      <c r="F47" s="303">
        <v>852.60546999999997</v>
      </c>
      <c r="G47" s="268">
        <v>716.07745</v>
      </c>
      <c r="H47" s="303">
        <v>753.77501000000007</v>
      </c>
      <c r="I47" s="268">
        <v>787.43648999999994</v>
      </c>
      <c r="J47" s="268">
        <v>871.12732999999992</v>
      </c>
      <c r="K47" s="268">
        <v>909.28702999999996</v>
      </c>
      <c r="L47" s="268">
        <v>924.79617000000007</v>
      </c>
      <c r="M47" s="303">
        <v>986.27641999999992</v>
      </c>
      <c r="N47" s="289">
        <v>971.63301999999999</v>
      </c>
      <c r="O47" s="268">
        <v>982.80043000000001</v>
      </c>
      <c r="P47" s="268">
        <f t="shared" si="7"/>
        <v>10547.912159999998</v>
      </c>
      <c r="Q47" s="277"/>
      <c r="R47" s="246"/>
    </row>
    <row r="48" spans="2:20">
      <c r="C48" s="266" t="s">
        <v>52</v>
      </c>
      <c r="D48" s="268">
        <v>797.62724000000003</v>
      </c>
      <c r="E48" s="288">
        <v>771.91992999999991</v>
      </c>
      <c r="F48" s="268">
        <v>722.38586999999995</v>
      </c>
      <c r="G48" s="268">
        <v>611.69853000000001</v>
      </c>
      <c r="H48" s="268">
        <v>647.96726000000001</v>
      </c>
      <c r="I48" s="303">
        <v>670.80027000000007</v>
      </c>
      <c r="J48" s="303">
        <v>767.37633999999991</v>
      </c>
      <c r="K48" s="268">
        <v>802.87051999999994</v>
      </c>
      <c r="L48" s="268">
        <v>803.30157999999994</v>
      </c>
      <c r="M48" s="268">
        <v>852.62058000000002</v>
      </c>
      <c r="N48" s="289">
        <v>808.75493000000006</v>
      </c>
      <c r="O48" s="268">
        <v>852.65780999999981</v>
      </c>
      <c r="P48" s="268">
        <f t="shared" si="7"/>
        <v>9109.9808599999997</v>
      </c>
      <c r="Q48" s="277"/>
      <c r="R48" s="246"/>
    </row>
    <row r="49" spans="3:18">
      <c r="C49" s="266" t="s">
        <v>90</v>
      </c>
      <c r="D49" s="268">
        <v>1496.7250200000001</v>
      </c>
      <c r="E49" s="288">
        <v>1399.2735500000001</v>
      </c>
      <c r="F49" s="268">
        <v>1420.3127500000001</v>
      </c>
      <c r="G49" s="268">
        <v>1267.3678500000001</v>
      </c>
      <c r="H49" s="268">
        <v>1326.0985500000002</v>
      </c>
      <c r="I49" s="268">
        <f>1309604.91/1000</f>
        <v>1309.60491</v>
      </c>
      <c r="J49" s="268">
        <v>1368.2171500000002</v>
      </c>
      <c r="K49" s="268">
        <v>1356.42256</v>
      </c>
      <c r="L49" s="303">
        <v>1359.0545000000002</v>
      </c>
      <c r="M49" s="268">
        <v>1419.61661</v>
      </c>
      <c r="N49" s="289">
        <v>1404.5516700000001</v>
      </c>
      <c r="O49" s="268">
        <v>1478.086</v>
      </c>
      <c r="P49" s="268">
        <f t="shared" si="7"/>
        <v>16605.331120000003</v>
      </c>
      <c r="Q49" s="277"/>
      <c r="R49" s="246"/>
    </row>
    <row r="50" spans="3:18">
      <c r="C50" s="266" t="s">
        <v>53</v>
      </c>
      <c r="D50" s="268">
        <v>2150.5956799999999</v>
      </c>
      <c r="E50" s="288">
        <v>2096.8346599999995</v>
      </c>
      <c r="F50" s="268">
        <v>1770.7080000000001</v>
      </c>
      <c r="G50" s="268">
        <v>1967.54955</v>
      </c>
      <c r="H50" s="268">
        <v>2100.2288599999997</v>
      </c>
      <c r="I50" s="268">
        <v>1467.7230499999998</v>
      </c>
      <c r="J50" s="268">
        <v>1401.6474000000001</v>
      </c>
      <c r="K50" s="268">
        <v>1361.2616799999998</v>
      </c>
      <c r="L50" s="268">
        <v>1419.8038900000001</v>
      </c>
      <c r="M50" s="268">
        <v>1748.62078</v>
      </c>
      <c r="N50" s="289">
        <v>1936.4579000000001</v>
      </c>
      <c r="O50" s="268">
        <v>1723.4870600000002</v>
      </c>
      <c r="P50" s="268">
        <f t="shared" si="7"/>
        <v>21144.91851</v>
      </c>
      <c r="Q50" s="277"/>
      <c r="R50" s="246"/>
    </row>
    <row r="51" spans="3:18">
      <c r="C51" s="266" t="s">
        <v>54</v>
      </c>
      <c r="D51" s="268">
        <v>49.246739999999996</v>
      </c>
      <c r="E51" s="288">
        <v>49.509949999999996</v>
      </c>
      <c r="F51" s="268">
        <v>52.181789999999999</v>
      </c>
      <c r="G51" s="268">
        <v>52.168990000000008</v>
      </c>
      <c r="H51" s="268">
        <v>54.044290000000004</v>
      </c>
      <c r="I51" s="268">
        <v>53.021749999999997</v>
      </c>
      <c r="J51" s="268">
        <v>55.179070000000003</v>
      </c>
      <c r="K51" s="268">
        <v>56.2883</v>
      </c>
      <c r="L51" s="268">
        <v>53.623309999999996</v>
      </c>
      <c r="M51" s="268">
        <v>57.477650000000004</v>
      </c>
      <c r="N51" s="289">
        <v>56.518049999999995</v>
      </c>
      <c r="O51" s="268">
        <v>59.319009999999992</v>
      </c>
      <c r="P51" s="268">
        <f t="shared" si="7"/>
        <v>648.57889999999998</v>
      </c>
      <c r="Q51" s="277"/>
      <c r="R51" s="246"/>
    </row>
    <row r="52" spans="3:18">
      <c r="C52" s="290" t="s">
        <v>93</v>
      </c>
      <c r="D52" s="268">
        <v>5190.1906300000001</v>
      </c>
      <c r="E52" s="268">
        <v>4154.96623</v>
      </c>
      <c r="F52" s="268">
        <v>4375.46029</v>
      </c>
      <c r="G52" s="268">
        <v>4273.14275</v>
      </c>
      <c r="H52" s="268">
        <v>4155.4061400000001</v>
      </c>
      <c r="I52" s="268">
        <v>3403.9302000000002</v>
      </c>
      <c r="J52" s="268">
        <v>3381.9474100000002</v>
      </c>
      <c r="K52" s="268">
        <v>3876.00117</v>
      </c>
      <c r="L52" s="268">
        <v>4273.5924800000003</v>
      </c>
      <c r="M52" s="268">
        <v>5544.2950000000001</v>
      </c>
      <c r="N52" s="289">
        <v>6308.1061200000004</v>
      </c>
      <c r="O52" s="268">
        <v>6694.3449500000042</v>
      </c>
      <c r="P52" s="268">
        <f>SUM(D52:O52)</f>
        <v>55631.383370000003</v>
      </c>
      <c r="Q52" s="277"/>
      <c r="R52" s="246"/>
    </row>
    <row r="53" spans="3:18">
      <c r="C53" s="281" t="s">
        <v>43</v>
      </c>
      <c r="D53" s="282">
        <f>+SUM(D54:D62)</f>
        <v>3939.2483999999999</v>
      </c>
      <c r="E53" s="282">
        <f t="shared" ref="E53:O53" si="16">+SUM(E54:E62)</f>
        <v>4858.6907700000002</v>
      </c>
      <c r="F53" s="282">
        <f t="shared" si="16"/>
        <v>3262.1814100000006</v>
      </c>
      <c r="G53" s="282">
        <f t="shared" si="16"/>
        <v>1320.5059800000001</v>
      </c>
      <c r="H53" s="282">
        <f t="shared" si="16"/>
        <v>2706.5341200000003</v>
      </c>
      <c r="I53" s="282">
        <f t="shared" si="16"/>
        <v>4668.3600699999997</v>
      </c>
      <c r="J53" s="282">
        <f t="shared" si="16"/>
        <v>4836.2354900000009</v>
      </c>
      <c r="K53" s="282">
        <f t="shared" si="16"/>
        <v>4602.4020700000001</v>
      </c>
      <c r="L53" s="282">
        <f t="shared" si="16"/>
        <v>4687.2396499999995</v>
      </c>
      <c r="M53" s="282">
        <f t="shared" si="16"/>
        <v>4768.00731</v>
      </c>
      <c r="N53" s="282">
        <f t="shared" si="16"/>
        <v>4846.1101800000006</v>
      </c>
      <c r="O53" s="282">
        <f t="shared" si="16"/>
        <v>5175.4415999999992</v>
      </c>
      <c r="P53" s="282">
        <f>+SUM(P54:P62)</f>
        <v>49670.957049999997</v>
      </c>
      <c r="Q53" s="277"/>
      <c r="R53" s="246"/>
    </row>
    <row r="54" spans="3:18">
      <c r="C54" s="290" t="s">
        <v>56</v>
      </c>
      <c r="D54" s="268">
        <v>0</v>
      </c>
      <c r="E54" s="268">
        <v>1065.7073500000001</v>
      </c>
      <c r="F54" s="268">
        <v>952.00067999999999</v>
      </c>
      <c r="G54" s="268">
        <v>686.54157000000009</v>
      </c>
      <c r="H54" s="268">
        <v>917.00716999999997</v>
      </c>
      <c r="I54" s="268">
        <v>943.65328999999997</v>
      </c>
      <c r="J54" s="268">
        <v>943.27651000000003</v>
      </c>
      <c r="K54" s="268">
        <v>918.74661000000003</v>
      </c>
      <c r="L54" s="268">
        <v>955.63282000000004</v>
      </c>
      <c r="M54" s="268">
        <v>962.31042000000002</v>
      </c>
      <c r="N54" s="268">
        <v>1027.22903</v>
      </c>
      <c r="O54" s="268">
        <v>1115.4137599999999</v>
      </c>
      <c r="P54" s="268">
        <f t="shared" si="7"/>
        <v>10487.51921</v>
      </c>
      <c r="Q54" s="277"/>
      <c r="R54" s="246"/>
    </row>
    <row r="55" spans="3:18">
      <c r="C55" s="290" t="s">
        <v>59</v>
      </c>
      <c r="D55" s="268">
        <v>1108.2326799999998</v>
      </c>
      <c r="E55" s="268">
        <v>1051.3700100000001</v>
      </c>
      <c r="F55" s="268">
        <v>563.54767000000004</v>
      </c>
      <c r="G55" s="268">
        <v>51.975840000000005</v>
      </c>
      <c r="H55" s="268">
        <v>634.53524000000004</v>
      </c>
      <c r="I55" s="268">
        <v>1112.95225</v>
      </c>
      <c r="J55" s="268">
        <v>1188.3509899999999</v>
      </c>
      <c r="K55" s="268">
        <v>1093.4357199999999</v>
      </c>
      <c r="L55" s="268">
        <v>1067.42956</v>
      </c>
      <c r="M55" s="268">
        <v>1044.83881</v>
      </c>
      <c r="N55" s="268">
        <v>1090.7113899999999</v>
      </c>
      <c r="O55" s="268">
        <v>1157.2495999999999</v>
      </c>
      <c r="P55" s="268">
        <f t="shared" si="7"/>
        <v>11164.62976</v>
      </c>
      <c r="Q55" s="277"/>
      <c r="R55" s="246"/>
    </row>
    <row r="56" spans="3:18">
      <c r="C56" s="290" t="s">
        <v>89</v>
      </c>
      <c r="D56" s="268">
        <v>240.55327000000003</v>
      </c>
      <c r="E56" s="268">
        <v>235.34828000000002</v>
      </c>
      <c r="F56" s="268">
        <v>228.66031000000001</v>
      </c>
      <c r="G56" s="268">
        <v>214.01281</v>
      </c>
      <c r="H56" s="268">
        <v>222.59485000000001</v>
      </c>
      <c r="I56" s="268">
        <v>214.79728</v>
      </c>
      <c r="J56" s="303">
        <v>220.58414000000002</v>
      </c>
      <c r="K56" s="268">
        <v>216.29196000000002</v>
      </c>
      <c r="L56" s="268">
        <v>231.30396999999999</v>
      </c>
      <c r="M56" s="268">
        <v>226.49686</v>
      </c>
      <c r="N56" s="268">
        <v>203.74715</v>
      </c>
      <c r="O56" s="268">
        <v>199.00378000000001</v>
      </c>
      <c r="P56" s="268">
        <f t="shared" si="7"/>
        <v>2653.3946599999999</v>
      </c>
      <c r="Q56" s="277"/>
      <c r="R56" s="246"/>
    </row>
    <row r="57" spans="3:18">
      <c r="C57" s="290" t="s">
        <v>94</v>
      </c>
      <c r="D57" s="268">
        <v>288.39271000000002</v>
      </c>
      <c r="E57" s="268">
        <v>297.96696999999995</v>
      </c>
      <c r="F57" s="268">
        <v>164.91092999999998</v>
      </c>
      <c r="G57" s="268">
        <v>41.630220000000001</v>
      </c>
      <c r="H57" s="268">
        <v>167.67451</v>
      </c>
      <c r="I57" s="268">
        <v>312.83546999999999</v>
      </c>
      <c r="J57" s="268">
        <v>300.94707</v>
      </c>
      <c r="K57" s="268">
        <v>238.28548000000001</v>
      </c>
      <c r="L57" s="268">
        <v>194.28211999999999</v>
      </c>
      <c r="M57" s="268">
        <v>206.98688000000001</v>
      </c>
      <c r="N57" s="268">
        <v>206.96994000000001</v>
      </c>
      <c r="O57" s="268">
        <v>185.37207000000001</v>
      </c>
      <c r="P57" s="268">
        <f t="shared" si="7"/>
        <v>2606.2543700000001</v>
      </c>
      <c r="Q57" s="277"/>
      <c r="R57" s="246"/>
    </row>
    <row r="58" spans="3:18">
      <c r="C58" s="290" t="s">
        <v>95</v>
      </c>
      <c r="D58" s="268">
        <v>735.38279999999997</v>
      </c>
      <c r="E58" s="268">
        <v>730.26268000000016</v>
      </c>
      <c r="F58" s="268">
        <v>385.17329999999998</v>
      </c>
      <c r="G58" s="268">
        <v>37.280460000000005</v>
      </c>
      <c r="H58" s="268">
        <v>343.54082</v>
      </c>
      <c r="I58" s="268">
        <v>769.34595000000002</v>
      </c>
      <c r="J58" s="268">
        <v>807.34118999999998</v>
      </c>
      <c r="K58" s="268">
        <v>741.70637999999997</v>
      </c>
      <c r="L58" s="268">
        <v>827.30801999999994</v>
      </c>
      <c r="M58" s="268">
        <v>912.50030000000004</v>
      </c>
      <c r="N58" s="268">
        <v>843.05300999999997</v>
      </c>
      <c r="O58" s="268">
        <v>821.53577000000007</v>
      </c>
      <c r="P58" s="268">
        <f t="shared" si="7"/>
        <v>7954.4306799999995</v>
      </c>
      <c r="Q58" s="277"/>
      <c r="R58" s="246"/>
    </row>
    <row r="59" spans="3:18">
      <c r="C59" s="290" t="s">
        <v>96</v>
      </c>
      <c r="D59" s="268">
        <v>147.33611999999999</v>
      </c>
      <c r="E59" s="268">
        <v>122.30699</v>
      </c>
      <c r="F59" s="268">
        <v>93.33184</v>
      </c>
      <c r="G59" s="268">
        <v>70.675089999999997</v>
      </c>
      <c r="H59" s="268">
        <v>65.448520000000002</v>
      </c>
      <c r="I59" s="268">
        <v>88.085940000000008</v>
      </c>
      <c r="J59" s="268">
        <v>123.48175999999999</v>
      </c>
      <c r="K59" s="268">
        <v>131.49964000000003</v>
      </c>
      <c r="L59" s="268">
        <v>138.03788</v>
      </c>
      <c r="M59" s="268">
        <v>122.64675</v>
      </c>
      <c r="N59" s="268">
        <v>119.95191</v>
      </c>
      <c r="O59" s="268">
        <v>124.68204000000001</v>
      </c>
      <c r="P59" s="268">
        <f t="shared" si="7"/>
        <v>1347.4844800000001</v>
      </c>
      <c r="Q59" s="277"/>
      <c r="R59" s="246"/>
    </row>
    <row r="60" spans="3:18">
      <c r="C60" s="290" t="s">
        <v>97</v>
      </c>
      <c r="D60" s="268">
        <v>362.12588</v>
      </c>
      <c r="E60" s="268">
        <v>335.42369999999994</v>
      </c>
      <c r="F60" s="268">
        <v>303.92642000000001</v>
      </c>
      <c r="G60" s="268">
        <v>197.38598000000002</v>
      </c>
      <c r="H60" s="268">
        <v>169.48217000000002</v>
      </c>
      <c r="I60" s="268">
        <v>228.53403</v>
      </c>
      <c r="J60" s="268">
        <v>241.30017999999998</v>
      </c>
      <c r="K60" s="268">
        <v>214.03942999999998</v>
      </c>
      <c r="L60" s="268">
        <v>183.28613000000001</v>
      </c>
      <c r="M60" s="268">
        <v>161.25068999999999</v>
      </c>
      <c r="N60" s="268">
        <v>233.41507000000001</v>
      </c>
      <c r="O60" s="268">
        <v>417.66926000000001</v>
      </c>
      <c r="P60" s="268">
        <f t="shared" si="7"/>
        <v>3047.8389399999996</v>
      </c>
      <c r="Q60" s="277"/>
      <c r="R60" s="246"/>
    </row>
    <row r="61" spans="3:18">
      <c r="C61" s="290" t="s">
        <v>100</v>
      </c>
      <c r="D61" s="268">
        <v>920.08638000000008</v>
      </c>
      <c r="E61" s="268">
        <v>871.24304000000006</v>
      </c>
      <c r="F61" s="268">
        <v>483.33504999999997</v>
      </c>
      <c r="G61" s="268">
        <v>16.415409999999998</v>
      </c>
      <c r="H61" s="268">
        <v>130.55871999999999</v>
      </c>
      <c r="I61" s="268">
        <v>893.22825</v>
      </c>
      <c r="J61" s="268">
        <v>896.48324000000002</v>
      </c>
      <c r="K61" s="268">
        <v>897.32378000000006</v>
      </c>
      <c r="L61" s="268">
        <v>947.03489000000013</v>
      </c>
      <c r="M61" s="268">
        <v>967.28859</v>
      </c>
      <c r="N61" s="268">
        <v>934.92161999999985</v>
      </c>
      <c r="O61" s="268">
        <v>953.45193999999992</v>
      </c>
      <c r="P61" s="268">
        <f t="shared" si="7"/>
        <v>8911.3709099999996</v>
      </c>
      <c r="Q61" s="277"/>
      <c r="R61" s="246"/>
    </row>
    <row r="62" spans="3:18" ht="12" thickBot="1">
      <c r="C62" s="291" t="s">
        <v>101</v>
      </c>
      <c r="D62" s="292">
        <v>137.13855999999998</v>
      </c>
      <c r="E62" s="292">
        <v>149.06174999999999</v>
      </c>
      <c r="F62" s="292">
        <v>87.295210000000012</v>
      </c>
      <c r="G62" s="292">
        <v>4.5886000000000005</v>
      </c>
      <c r="H62" s="292">
        <v>55.692120000000003</v>
      </c>
      <c r="I62" s="292">
        <v>104.92761</v>
      </c>
      <c r="J62" s="292">
        <v>114.47041</v>
      </c>
      <c r="K62" s="292">
        <v>151.07307</v>
      </c>
      <c r="L62" s="292">
        <v>142.92426</v>
      </c>
      <c r="M62" s="292">
        <v>163.68800999999999</v>
      </c>
      <c r="N62" s="292">
        <v>186.11106000000001</v>
      </c>
      <c r="O62" s="292">
        <v>201.06338</v>
      </c>
      <c r="P62" s="292">
        <f t="shared" si="7"/>
        <v>1498.03404</v>
      </c>
      <c r="Q62" s="277"/>
      <c r="R62" s="246"/>
    </row>
    <row r="63" spans="3:18" ht="12" thickTop="1">
      <c r="D63" s="293">
        <f t="shared" ref="D63:O63" si="17">+D33/D28</f>
        <v>3.4561367453979099E-3</v>
      </c>
      <c r="E63" s="293">
        <f t="shared" si="17"/>
        <v>3.0551602410169472E-3</v>
      </c>
      <c r="F63" s="293">
        <f t="shared" si="17"/>
        <v>2.7804358375869806E-3</v>
      </c>
      <c r="G63" s="293">
        <f t="shared" si="17"/>
        <v>3.0233735094208165E-3</v>
      </c>
      <c r="H63" s="293">
        <f t="shared" si="17"/>
        <v>4.23420806129211E-3</v>
      </c>
      <c r="I63" s="293">
        <f t="shared" si="17"/>
        <v>4.2462826183068767E-3</v>
      </c>
      <c r="J63" s="293">
        <f t="shared" si="17"/>
        <v>4.3361627067409576E-3</v>
      </c>
      <c r="K63" s="293">
        <f t="shared" si="17"/>
        <v>4.1988001837529737E-3</v>
      </c>
      <c r="L63" s="293">
        <f t="shared" si="17"/>
        <v>4.0368457394119681E-3</v>
      </c>
      <c r="M63" s="293">
        <f t="shared" si="17"/>
        <v>3.952705414824377E-3</v>
      </c>
      <c r="N63" s="293">
        <f t="shared" si="17"/>
        <v>3.9436182430216812E-3</v>
      </c>
      <c r="O63" s="293">
        <f t="shared" si="17"/>
        <v>3.7853175399868745E-3</v>
      </c>
      <c r="R63" s="246"/>
    </row>
    <row r="64" spans="3:18">
      <c r="D64" s="294"/>
      <c r="E64" s="295"/>
      <c r="F64" s="294"/>
      <c r="G64" s="294"/>
      <c r="H64" s="294"/>
      <c r="L64" s="246"/>
      <c r="M64" s="246"/>
      <c r="R64" s="277"/>
    </row>
    <row r="65" spans="1:256">
      <c r="C65" s="221" t="s">
        <v>92</v>
      </c>
      <c r="D65" s="294"/>
      <c r="E65" s="295"/>
      <c r="F65" s="294"/>
      <c r="G65" s="294"/>
      <c r="H65" s="294"/>
      <c r="L65" s="246"/>
      <c r="M65" s="246"/>
      <c r="R65" s="277"/>
    </row>
    <row r="66" spans="1:256" s="231" customFormat="1">
      <c r="A66" s="221"/>
      <c r="B66" s="221"/>
      <c r="C66" s="221"/>
      <c r="D66" s="106">
        <f t="shared" ref="D66:O66" si="18">D39-D40</f>
        <v>62740.842779999999</v>
      </c>
      <c r="E66" s="106">
        <f t="shared" si="18"/>
        <v>61101.166899999989</v>
      </c>
      <c r="F66" s="106">
        <f t="shared" si="18"/>
        <v>58042.669630000004</v>
      </c>
      <c r="G66" s="106">
        <f t="shared" si="18"/>
        <v>47671.779540000003</v>
      </c>
      <c r="H66" s="106">
        <f t="shared" si="18"/>
        <v>50204.460719999988</v>
      </c>
      <c r="I66" s="106">
        <f t="shared" si="18"/>
        <v>51074.337320000006</v>
      </c>
      <c r="J66" s="106">
        <f t="shared" si="18"/>
        <v>54034.672680000018</v>
      </c>
      <c r="K66" s="106">
        <f t="shared" si="18"/>
        <v>54589.765239999993</v>
      </c>
      <c r="L66" s="106">
        <f t="shared" si="18"/>
        <v>54253.498820000008</v>
      </c>
      <c r="M66" s="106">
        <f t="shared" si="18"/>
        <v>57718.177970000012</v>
      </c>
      <c r="N66" s="106">
        <f t="shared" si="18"/>
        <v>57390.491900000008</v>
      </c>
      <c r="O66" s="106">
        <f t="shared" si="18"/>
        <v>60046.924780000008</v>
      </c>
    </row>
    <row r="67" spans="1:256"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  <c r="BW67" s="231"/>
      <c r="BX67" s="231"/>
      <c r="BY67" s="231"/>
      <c r="BZ67" s="231"/>
      <c r="CA67" s="231"/>
      <c r="CB67" s="231"/>
      <c r="CC67" s="231"/>
      <c r="CD67" s="231"/>
      <c r="CE67" s="231"/>
      <c r="CF67" s="231"/>
      <c r="CG67" s="231"/>
      <c r="CH67" s="231"/>
      <c r="CI67" s="231"/>
      <c r="CJ67" s="231"/>
      <c r="CK67" s="231"/>
      <c r="CL67" s="231"/>
      <c r="CM67" s="231"/>
      <c r="CN67" s="231"/>
      <c r="CO67" s="231"/>
      <c r="CP67" s="231"/>
      <c r="CQ67" s="231"/>
      <c r="CR67" s="231"/>
      <c r="CS67" s="231"/>
      <c r="CT67" s="231"/>
      <c r="CU67" s="231"/>
      <c r="CV67" s="231"/>
      <c r="CW67" s="231"/>
      <c r="CX67" s="231"/>
      <c r="CY67" s="231"/>
      <c r="CZ67" s="231"/>
      <c r="DA67" s="231"/>
      <c r="DB67" s="231"/>
      <c r="DC67" s="231"/>
      <c r="DD67" s="231"/>
      <c r="DE67" s="231"/>
      <c r="DF67" s="231"/>
      <c r="DG67" s="231"/>
      <c r="DH67" s="231"/>
      <c r="DI67" s="231"/>
      <c r="DJ67" s="231"/>
      <c r="DK67" s="231"/>
      <c r="DL67" s="231"/>
      <c r="DM67" s="231"/>
      <c r="DN67" s="231"/>
      <c r="DO67" s="231"/>
      <c r="DP67" s="231"/>
      <c r="DQ67" s="231"/>
      <c r="DR67" s="231"/>
      <c r="DS67" s="231"/>
      <c r="DT67" s="231"/>
      <c r="DU67" s="231"/>
      <c r="DV67" s="231"/>
      <c r="DW67" s="231"/>
      <c r="DX67" s="231"/>
      <c r="DY67" s="231"/>
      <c r="DZ67" s="231"/>
      <c r="EA67" s="231"/>
      <c r="EB67" s="231"/>
      <c r="EC67" s="231"/>
      <c r="ED67" s="231"/>
      <c r="EE67" s="231"/>
      <c r="EF67" s="231"/>
      <c r="EG67" s="231"/>
      <c r="EH67" s="231"/>
      <c r="EI67" s="231"/>
      <c r="EJ67" s="231"/>
      <c r="EK67" s="231"/>
      <c r="EL67" s="231"/>
      <c r="EM67" s="231"/>
      <c r="EN67" s="231"/>
      <c r="EO67" s="231"/>
      <c r="EP67" s="231"/>
      <c r="EQ67" s="231"/>
      <c r="ER67" s="231"/>
      <c r="ES67" s="231"/>
      <c r="ET67" s="231"/>
      <c r="EU67" s="231"/>
      <c r="EV67" s="231"/>
      <c r="EW67" s="231"/>
      <c r="EX67" s="231"/>
      <c r="EY67" s="231"/>
      <c r="EZ67" s="231"/>
      <c r="FA67" s="231"/>
      <c r="FB67" s="231"/>
      <c r="FC67" s="231"/>
      <c r="FD67" s="231"/>
      <c r="FE67" s="231"/>
      <c r="FF67" s="231"/>
      <c r="FG67" s="231"/>
      <c r="FH67" s="231"/>
      <c r="FI67" s="231"/>
      <c r="FJ67" s="231"/>
      <c r="FK67" s="231"/>
      <c r="FL67" s="231"/>
      <c r="FM67" s="231"/>
      <c r="FN67" s="231"/>
      <c r="FO67" s="231"/>
      <c r="FP67" s="231"/>
      <c r="FQ67" s="231"/>
      <c r="FR67" s="231"/>
      <c r="FS67" s="231"/>
      <c r="FT67" s="231"/>
      <c r="FU67" s="231"/>
      <c r="FV67" s="231"/>
      <c r="FW67" s="231"/>
      <c r="FX67" s="231"/>
      <c r="FY67" s="231"/>
      <c r="FZ67" s="231"/>
      <c r="GA67" s="231"/>
      <c r="GB67" s="231"/>
      <c r="GC67" s="231"/>
      <c r="GD67" s="231"/>
      <c r="GE67" s="231"/>
      <c r="GF67" s="231"/>
      <c r="GG67" s="231"/>
      <c r="GH67" s="231"/>
      <c r="GI67" s="231"/>
      <c r="GJ67" s="231"/>
      <c r="GK67" s="231"/>
      <c r="GL67" s="231"/>
      <c r="GM67" s="231"/>
      <c r="GN67" s="231"/>
      <c r="GO67" s="231"/>
      <c r="GP67" s="231"/>
      <c r="GQ67" s="231"/>
      <c r="GR67" s="231"/>
      <c r="GS67" s="231"/>
      <c r="GT67" s="231"/>
      <c r="GU67" s="231"/>
      <c r="GV67" s="231"/>
      <c r="GW67" s="231"/>
      <c r="GX67" s="231"/>
      <c r="GY67" s="231"/>
      <c r="GZ67" s="231"/>
      <c r="HA67" s="231"/>
      <c r="HB67" s="231"/>
      <c r="HC67" s="231"/>
      <c r="HD67" s="231"/>
      <c r="HE67" s="231"/>
      <c r="HF67" s="231"/>
      <c r="HG67" s="231"/>
      <c r="HH67" s="231"/>
      <c r="HI67" s="231"/>
      <c r="HJ67" s="231"/>
      <c r="HK67" s="231"/>
      <c r="HL67" s="231"/>
      <c r="HM67" s="231"/>
      <c r="HN67" s="231"/>
      <c r="HO67" s="231"/>
      <c r="HP67" s="231"/>
      <c r="HQ67" s="231"/>
      <c r="HR67" s="231"/>
      <c r="HS67" s="231"/>
      <c r="HT67" s="231"/>
      <c r="HU67" s="231"/>
      <c r="HV67" s="231"/>
      <c r="HW67" s="231"/>
      <c r="HX67" s="231"/>
      <c r="HY67" s="231"/>
      <c r="HZ67" s="231"/>
      <c r="IA67" s="231"/>
      <c r="IB67" s="231"/>
      <c r="IC67" s="231"/>
      <c r="ID67" s="231"/>
      <c r="IE67" s="231"/>
      <c r="IF67" s="231"/>
      <c r="IG67" s="231"/>
      <c r="IH67" s="231"/>
      <c r="II67" s="231"/>
      <c r="IJ67" s="231"/>
      <c r="IK67" s="231"/>
      <c r="IL67" s="231"/>
      <c r="IM67" s="231"/>
      <c r="IN67" s="231"/>
      <c r="IO67" s="231"/>
      <c r="IP67" s="231"/>
      <c r="IQ67" s="231"/>
      <c r="IR67" s="231"/>
      <c r="IS67" s="231"/>
      <c r="IT67" s="231"/>
      <c r="IU67" s="231"/>
      <c r="IV67" s="231"/>
    </row>
    <row r="68" spans="1:256">
      <c r="D68" s="297">
        <f t="shared" ref="D68:O68" si="19">+D38-D39</f>
        <v>0</v>
      </c>
      <c r="E68" s="297">
        <f t="shared" si="19"/>
        <v>0</v>
      </c>
      <c r="F68" s="297">
        <f t="shared" si="19"/>
        <v>0</v>
      </c>
      <c r="G68" s="297">
        <f t="shared" si="19"/>
        <v>0</v>
      </c>
      <c r="H68" s="297">
        <f t="shared" si="19"/>
        <v>0</v>
      </c>
      <c r="I68" s="297">
        <f t="shared" si="19"/>
        <v>0</v>
      </c>
      <c r="J68" s="297">
        <f t="shared" si="19"/>
        <v>0</v>
      </c>
      <c r="K68" s="297">
        <f t="shared" si="19"/>
        <v>0</v>
      </c>
      <c r="L68" s="297">
        <f t="shared" si="19"/>
        <v>0</v>
      </c>
      <c r="M68" s="297">
        <f t="shared" si="19"/>
        <v>0</v>
      </c>
      <c r="N68" s="297">
        <f t="shared" si="19"/>
        <v>0</v>
      </c>
      <c r="O68" s="297">
        <f t="shared" si="19"/>
        <v>0</v>
      </c>
      <c r="P68" s="297"/>
      <c r="R68" s="298"/>
    </row>
    <row r="69" spans="1:256">
      <c r="B69" s="278"/>
      <c r="C69" s="249"/>
      <c r="D69" s="297">
        <f t="shared" ref="D69:O69" si="20">+D68*0.4</f>
        <v>0</v>
      </c>
      <c r="E69" s="297">
        <f t="shared" si="20"/>
        <v>0</v>
      </c>
      <c r="F69" s="297">
        <f t="shared" si="20"/>
        <v>0</v>
      </c>
      <c r="G69" s="297">
        <f t="shared" si="20"/>
        <v>0</v>
      </c>
      <c r="H69" s="297">
        <f t="shared" si="20"/>
        <v>0</v>
      </c>
      <c r="I69" s="297">
        <f t="shared" si="20"/>
        <v>0</v>
      </c>
      <c r="J69" s="297">
        <f t="shared" si="20"/>
        <v>0</v>
      </c>
      <c r="K69" s="297">
        <f t="shared" si="20"/>
        <v>0</v>
      </c>
      <c r="L69" s="297">
        <f t="shared" si="20"/>
        <v>0</v>
      </c>
      <c r="M69" s="297">
        <f t="shared" si="20"/>
        <v>0</v>
      </c>
      <c r="N69" s="297">
        <f t="shared" si="20"/>
        <v>0</v>
      </c>
      <c r="O69" s="297">
        <f t="shared" si="20"/>
        <v>0</v>
      </c>
      <c r="P69" s="297"/>
    </row>
    <row r="70" spans="1:256">
      <c r="B70" s="278"/>
      <c r="C70" s="249"/>
      <c r="D70" s="297">
        <f t="shared" ref="D70:O70" si="21">+D68*0.6</f>
        <v>0</v>
      </c>
      <c r="E70" s="297">
        <f t="shared" si="21"/>
        <v>0</v>
      </c>
      <c r="F70" s="297">
        <f t="shared" si="21"/>
        <v>0</v>
      </c>
      <c r="G70" s="297">
        <f t="shared" si="21"/>
        <v>0</v>
      </c>
      <c r="H70" s="297">
        <f t="shared" si="21"/>
        <v>0</v>
      </c>
      <c r="I70" s="297">
        <f>+I68*0.6</f>
        <v>0</v>
      </c>
      <c r="J70" s="297">
        <f t="shared" si="21"/>
        <v>0</v>
      </c>
      <c r="K70" s="297">
        <f t="shared" si="21"/>
        <v>0</v>
      </c>
      <c r="L70" s="297">
        <f t="shared" si="21"/>
        <v>0</v>
      </c>
      <c r="M70" s="297">
        <f t="shared" si="21"/>
        <v>0</v>
      </c>
      <c r="N70" s="297">
        <f t="shared" si="21"/>
        <v>0</v>
      </c>
      <c r="O70" s="297">
        <f t="shared" si="21"/>
        <v>0</v>
      </c>
      <c r="P70" s="297"/>
    </row>
    <row r="71" spans="1:256">
      <c r="D71" s="299"/>
      <c r="E71" s="299"/>
      <c r="F71" s="299"/>
      <c r="G71" s="299"/>
      <c r="H71" s="299"/>
      <c r="I71" s="299"/>
      <c r="J71" s="299"/>
      <c r="K71" s="299"/>
      <c r="L71" s="299"/>
      <c r="M71" s="299"/>
      <c r="N71" s="299"/>
      <c r="O71" s="297"/>
      <c r="P71" s="297"/>
    </row>
    <row r="72" spans="1:256">
      <c r="D72" s="300">
        <f t="shared" ref="D72:O72" si="22">D35/D27</f>
        <v>1.509523472992747E-2</v>
      </c>
      <c r="E72" s="300">
        <f t="shared" si="22"/>
        <v>1.37778524070868E-2</v>
      </c>
      <c r="F72" s="300">
        <f t="shared" si="22"/>
        <v>1.3426336751909664E-2</v>
      </c>
      <c r="G72" s="300">
        <f t="shared" si="22"/>
        <v>1.407442560114581E-2</v>
      </c>
      <c r="H72" s="300">
        <f t="shared" si="22"/>
        <v>1.6411640554479089E-2</v>
      </c>
      <c r="I72" s="300">
        <f t="shared" si="22"/>
        <v>1.620170513266813E-2</v>
      </c>
      <c r="J72" s="300">
        <f t="shared" si="22"/>
        <v>1.5892301504236168E-2</v>
      </c>
      <c r="K72" s="300">
        <f t="shared" si="22"/>
        <v>1.6202442806210637E-2</v>
      </c>
      <c r="L72" s="300">
        <f t="shared" si="22"/>
        <v>1.624307423256989E-2</v>
      </c>
      <c r="M72" s="300">
        <f t="shared" si="22"/>
        <v>1.5847749512855273E-2</v>
      </c>
      <c r="N72" s="300">
        <f t="shared" si="22"/>
        <v>1.486017420874192E-2</v>
      </c>
      <c r="O72" s="300">
        <f t="shared" si="22"/>
        <v>1.5204409210950041E-2</v>
      </c>
    </row>
    <row r="73" spans="1:256">
      <c r="C73" s="221">
        <v>1000</v>
      </c>
      <c r="D73" s="246"/>
      <c r="E73" s="246"/>
      <c r="F73" s="246"/>
      <c r="G73" s="246"/>
      <c r="H73" s="246"/>
      <c r="I73" s="246"/>
      <c r="J73" s="246"/>
      <c r="K73" s="301"/>
      <c r="L73" s="246"/>
      <c r="M73" s="246"/>
      <c r="N73" s="246"/>
      <c r="O73" s="246"/>
    </row>
    <row r="74" spans="1:256">
      <c r="D74" s="237"/>
      <c r="E74" s="237"/>
      <c r="F74" s="246"/>
      <c r="G74" s="237"/>
      <c r="H74" s="237"/>
      <c r="I74" s="237"/>
      <c r="J74" s="237"/>
      <c r="K74" s="237"/>
      <c r="L74" s="237"/>
      <c r="M74" s="237"/>
      <c r="N74" s="237"/>
      <c r="O74" s="237"/>
    </row>
    <row r="76" spans="1:256">
      <c r="D76" s="277">
        <f>+D53+D43+D41</f>
        <v>91133.251245315885</v>
      </c>
      <c r="E76" s="277">
        <f t="shared" ref="E76:N76" si="23">+E53+E43+E41</f>
        <v>100756.85911959529</v>
      </c>
      <c r="F76" s="277">
        <f t="shared" si="23"/>
        <v>124725.09946607539</v>
      </c>
      <c r="G76" s="277">
        <f t="shared" si="23"/>
        <v>103081.86964628298</v>
      </c>
      <c r="H76" s="277">
        <f t="shared" si="23"/>
        <v>71768.642924392581</v>
      </c>
      <c r="I76" s="277">
        <f t="shared" si="23"/>
        <v>68724.700057637136</v>
      </c>
      <c r="J76" s="277">
        <f t="shared" si="23"/>
        <v>70739.411094356416</v>
      </c>
      <c r="K76" s="277">
        <f t="shared" si="23"/>
        <v>70626.508744252205</v>
      </c>
      <c r="L76" s="277">
        <f t="shared" si="23"/>
        <v>72080.9550849675</v>
      </c>
      <c r="M76" s="277">
        <f t="shared" si="23"/>
        <v>76728.998505560274</v>
      </c>
      <c r="N76" s="277">
        <f t="shared" si="23"/>
        <v>73269.384822187916</v>
      </c>
    </row>
    <row r="78" spans="1:256">
      <c r="D78" s="278">
        <f>+D76-D53-D43</f>
        <v>28392.408465315879</v>
      </c>
      <c r="E78" s="278">
        <f t="shared" ref="E78:N78" si="24">+E76-E53-E43</f>
        <v>39655.692219595301</v>
      </c>
      <c r="F78" s="278">
        <f t="shared" si="24"/>
        <v>66682.429836075389</v>
      </c>
      <c r="G78" s="278">
        <f t="shared" si="24"/>
        <v>55410.090106282987</v>
      </c>
      <c r="H78" s="278">
        <f t="shared" si="24"/>
        <v>21564.182204392593</v>
      </c>
      <c r="I78" s="278">
        <f t="shared" si="24"/>
        <v>17650.36273763713</v>
      </c>
      <c r="J78" s="278">
        <f t="shared" si="24"/>
        <v>16704.738414356405</v>
      </c>
      <c r="K78" s="278">
        <f t="shared" si="24"/>
        <v>16036.743504252212</v>
      </c>
      <c r="L78" s="278">
        <f t="shared" si="24"/>
        <v>17827.456264967492</v>
      </c>
      <c r="M78" s="278">
        <f t="shared" si="24"/>
        <v>19010.820535560269</v>
      </c>
      <c r="N78" s="278">
        <f t="shared" si="24"/>
        <v>15878.892922187908</v>
      </c>
    </row>
    <row r="79" spans="1:256">
      <c r="D79" s="278">
        <f>+D43+D53</f>
        <v>62740.842780000006</v>
      </c>
      <c r="E79" s="278">
        <f t="shared" ref="E79:O79" si="25">+E43+E53</f>
        <v>61101.166899999989</v>
      </c>
      <c r="F79" s="278">
        <f t="shared" si="25"/>
        <v>58042.669629999997</v>
      </c>
      <c r="G79" s="278">
        <f t="shared" si="25"/>
        <v>47671.779539999996</v>
      </c>
      <c r="H79" s="278">
        <f t="shared" si="25"/>
        <v>50204.460719999988</v>
      </c>
      <c r="I79" s="278">
        <f t="shared" si="25"/>
        <v>51074.337320000006</v>
      </c>
      <c r="J79" s="278">
        <f t="shared" si="25"/>
        <v>54034.672680000003</v>
      </c>
      <c r="K79" s="278">
        <f t="shared" si="25"/>
        <v>54589.765239999993</v>
      </c>
      <c r="L79" s="278">
        <f t="shared" si="25"/>
        <v>54253.498820000008</v>
      </c>
      <c r="M79" s="278">
        <f t="shared" si="25"/>
        <v>57718.177970000004</v>
      </c>
      <c r="N79" s="278">
        <f t="shared" si="25"/>
        <v>57390.491900000008</v>
      </c>
      <c r="O79" s="278">
        <f t="shared" si="25"/>
        <v>60046.924780000001</v>
      </c>
    </row>
    <row r="80" spans="1:256">
      <c r="I80" s="277">
        <v>1159159.4699999997</v>
      </c>
      <c r="J80" s="277">
        <v>1252685.6999999997</v>
      </c>
      <c r="K80" s="277">
        <v>1264037.1000000003</v>
      </c>
      <c r="L80" s="277">
        <v>1269109.6299999999</v>
      </c>
      <c r="M80" s="277">
        <v>1310815.27</v>
      </c>
      <c r="N80" s="277">
        <v>1209634.3700000001</v>
      </c>
      <c r="O80" s="277">
        <v>1223506.3099999996</v>
      </c>
    </row>
    <row r="81" spans="9:15">
      <c r="I81" s="277">
        <v>4131720.28</v>
      </c>
      <c r="J81" s="277">
        <v>4430884.6100000003</v>
      </c>
      <c r="K81" s="277">
        <v>4453918.8800000008</v>
      </c>
      <c r="L81" s="277">
        <v>4307086.540000001</v>
      </c>
      <c r="M81" s="277">
        <v>4473574.91</v>
      </c>
      <c r="N81" s="277">
        <v>4386859.96</v>
      </c>
      <c r="O81" s="277">
        <v>4625894.76</v>
      </c>
    </row>
    <row r="82" spans="9:15">
      <c r="I82" s="277">
        <v>4727776.91</v>
      </c>
      <c r="J82" s="277">
        <v>5109235.6199999992</v>
      </c>
      <c r="K82" s="277">
        <v>5155534.0499999989</v>
      </c>
      <c r="L82" s="277">
        <v>5176222.9799999995</v>
      </c>
      <c r="M82" s="277">
        <v>5346324.42</v>
      </c>
      <c r="N82" s="277">
        <v>4933645.629999999</v>
      </c>
      <c r="O82" s="277">
        <v>4990223.8499999996</v>
      </c>
    </row>
    <row r="83" spans="9:15">
      <c r="I83" s="277">
        <v>16851739.579999998</v>
      </c>
      <c r="J83" s="277">
        <v>18071918.760000002</v>
      </c>
      <c r="K83" s="277">
        <v>18165866.759999998</v>
      </c>
      <c r="L83" s="277">
        <v>17566992.729999997</v>
      </c>
      <c r="M83" s="277">
        <v>18246036.43</v>
      </c>
      <c r="N83" s="277">
        <v>17892358.530000001</v>
      </c>
      <c r="O83" s="277">
        <v>18867292.009999998</v>
      </c>
    </row>
    <row r="84" spans="9:15">
      <c r="I84" s="277">
        <f>+SUM(I80:I83)/1000</f>
        <v>26870.396239999998</v>
      </c>
      <c r="J84" s="277">
        <f t="shared" ref="J84:O84" si="26">+SUM(J80:J83)/1000</f>
        <v>28864.724690000003</v>
      </c>
      <c r="K84" s="277">
        <f t="shared" si="26"/>
        <v>29039.356789999998</v>
      </c>
      <c r="L84" s="277">
        <f t="shared" si="26"/>
        <v>28319.411879999996</v>
      </c>
      <c r="M84" s="277">
        <f t="shared" si="26"/>
        <v>29376.751029999999</v>
      </c>
      <c r="N84" s="277">
        <f t="shared" si="26"/>
        <v>28422.498490000002</v>
      </c>
      <c r="O84" s="277">
        <f t="shared" si="26"/>
        <v>29706.916929999996</v>
      </c>
    </row>
    <row r="86" spans="9:15">
      <c r="I86" s="277">
        <v>119551.85</v>
      </c>
      <c r="J86" s="277">
        <v>126652.23999999999</v>
      </c>
      <c r="K86" s="221">
        <v>125500.17</v>
      </c>
      <c r="L86" s="221">
        <v>122702.75</v>
      </c>
      <c r="M86" s="221">
        <v>133651.19</v>
      </c>
      <c r="N86" s="221">
        <v>121625.78</v>
      </c>
      <c r="O86" s="221">
        <v>126790.77</v>
      </c>
    </row>
    <row r="87" spans="9:15">
      <c r="I87" s="277">
        <v>405272.86</v>
      </c>
      <c r="J87" s="277">
        <v>417465.69999999995</v>
      </c>
      <c r="K87" s="221">
        <v>426181.58</v>
      </c>
      <c r="L87" s="221">
        <v>400561.55</v>
      </c>
      <c r="M87" s="221">
        <v>430569.16</v>
      </c>
      <c r="N87" s="221">
        <v>427881.43000000005</v>
      </c>
      <c r="O87" s="221">
        <v>464196.03</v>
      </c>
    </row>
    <row r="88" spans="9:15">
      <c r="I88" s="277"/>
    </row>
    <row r="89" spans="9:15">
      <c r="I89" s="277">
        <f>+(I86+I87)/1000</f>
        <v>524.82470999999998</v>
      </c>
      <c r="J89" s="277">
        <f t="shared" ref="J89:O89" si="27">+(J86+J87)/1000</f>
        <v>544.11793999999998</v>
      </c>
      <c r="K89" s="277">
        <f t="shared" si="27"/>
        <v>551.68174999999997</v>
      </c>
      <c r="L89" s="277">
        <f t="shared" si="27"/>
        <v>523.26429999999993</v>
      </c>
      <c r="M89" s="277">
        <f t="shared" si="27"/>
        <v>564.22034999999994</v>
      </c>
      <c r="N89" s="277">
        <f t="shared" si="27"/>
        <v>549.5072100000001</v>
      </c>
      <c r="O89" s="277">
        <f t="shared" si="27"/>
        <v>590.98680000000002</v>
      </c>
    </row>
    <row r="91" spans="9:15">
      <c r="I91" s="249">
        <f>+I84+I89</f>
        <v>27395.220949999999</v>
      </c>
      <c r="J91" s="249">
        <f t="shared" ref="J91:O91" si="28">+J84+J89</f>
        <v>29408.842630000003</v>
      </c>
      <c r="K91" s="249">
        <f t="shared" si="28"/>
        <v>29591.038539999998</v>
      </c>
      <c r="L91" s="249">
        <f t="shared" si="28"/>
        <v>28842.676179999995</v>
      </c>
      <c r="M91" s="249">
        <f t="shared" si="28"/>
        <v>29940.971379999999</v>
      </c>
      <c r="N91" s="249">
        <f t="shared" si="28"/>
        <v>28972.005700000002</v>
      </c>
      <c r="O91" s="249">
        <f t="shared" si="28"/>
        <v>30297.903729999995</v>
      </c>
    </row>
    <row r="92" spans="9:15">
      <c r="I92" s="249">
        <f>+I45</f>
        <v>27395.220949999999</v>
      </c>
      <c r="J92" s="249">
        <f t="shared" ref="J92:O92" si="29">+J45</f>
        <v>29408.842629999999</v>
      </c>
      <c r="K92" s="249">
        <f t="shared" si="29"/>
        <v>29591.038539999998</v>
      </c>
      <c r="L92" s="249">
        <f t="shared" si="29"/>
        <v>28842.676179999999</v>
      </c>
      <c r="M92" s="249">
        <f t="shared" si="29"/>
        <v>29940.971379999999</v>
      </c>
      <c r="N92" s="249">
        <f t="shared" si="29"/>
        <v>28972.005700000002</v>
      </c>
      <c r="O92" s="249">
        <f t="shared" si="29"/>
        <v>30297.903729999998</v>
      </c>
    </row>
  </sheetData>
  <printOptions horizontalCentered="1"/>
  <pageMargins left="0.39370078740157483" right="0.39370078740157483" top="1.3779527559055118" bottom="1" header="0" footer="0"/>
  <pageSetup paperSize="9" scale="81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2ED5-1104-4D9E-8D46-6B7B64AFD42F}">
  <sheetPr codeName="Sheet12">
    <pageSetUpPr fitToPage="1"/>
  </sheetPr>
  <dimension ref="A1:IV83"/>
  <sheetViews>
    <sheetView view="pageBreakPreview" topLeftCell="A25" zoomScale="98" zoomScaleNormal="80" zoomScaleSheetLayoutView="98" workbookViewId="0">
      <pane xSplit="3" ySplit="2" topLeftCell="D27" activePane="bottomRight" state="frozen"/>
      <selection activeCell="A25" sqref="A25"/>
      <selection pane="topRight" activeCell="D25" sqref="D25"/>
      <selection pane="bottomLeft" activeCell="A27" sqref="A27"/>
      <selection pane="bottomRight" activeCell="H40" sqref="H40"/>
    </sheetView>
  </sheetViews>
  <sheetFormatPr baseColWidth="10" defaultColWidth="9" defaultRowHeight="11.25"/>
  <cols>
    <col min="1" max="1" width="3" style="221" customWidth="1"/>
    <col min="2" max="2" width="8.7109375" style="221" customWidth="1"/>
    <col min="3" max="3" width="26.85546875" style="221" bestFit="1" customWidth="1"/>
    <col min="4" max="4" width="13.5703125" style="221" bestFit="1" customWidth="1"/>
    <col min="5" max="5" width="12.5703125" style="221" bestFit="1" customWidth="1"/>
    <col min="6" max="7" width="13.5703125" style="221" bestFit="1" customWidth="1"/>
    <col min="8" max="8" width="13.140625" style="221" bestFit="1" customWidth="1"/>
    <col min="9" max="11" width="13.5703125" style="221" bestFit="1" customWidth="1"/>
    <col min="12" max="12" width="12.85546875" style="221" bestFit="1" customWidth="1"/>
    <col min="13" max="14" width="13.140625" style="221" bestFit="1" customWidth="1"/>
    <col min="15" max="15" width="10.28515625" style="221" bestFit="1" customWidth="1"/>
    <col min="16" max="16" width="11.7109375" style="221" bestFit="1" customWidth="1"/>
    <col min="17" max="17" width="10.42578125" style="221" bestFit="1" customWidth="1"/>
    <col min="18" max="18" width="7.85546875" style="221" bestFit="1" customWidth="1"/>
    <col min="19" max="16384" width="9" style="221"/>
  </cols>
  <sheetData>
    <row r="1" spans="3:16" hidden="1"/>
    <row r="2" spans="3:16" hidden="1"/>
    <row r="3" spans="3:16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61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235">
        <v>1233.102616973877</v>
      </c>
      <c r="E8" s="235">
        <v>1097.8118066394329</v>
      </c>
      <c r="F8" s="236">
        <v>1179.0509203028678</v>
      </c>
      <c r="G8" s="236">
        <v>1184.7244219871425</v>
      </c>
      <c r="H8" s="236">
        <v>1252.9574702080413</v>
      </c>
      <c r="I8" s="236">
        <v>1180.0157286756269</v>
      </c>
      <c r="J8" s="236">
        <v>1210.7492569425535</v>
      </c>
      <c r="K8" s="237">
        <v>1211.6105867347717</v>
      </c>
      <c r="L8" s="236">
        <v>1182.234948726654</v>
      </c>
      <c r="M8" s="236">
        <v>1230.9181626663208</v>
      </c>
      <c r="N8" s="236">
        <v>1020.2672981666323</v>
      </c>
      <c r="O8" s="238">
        <v>1186.9236830627435</v>
      </c>
      <c r="P8" s="239">
        <f t="shared" ref="P8:P14" si="0">+SUM(D8:O8)</f>
        <v>14170.366901086665</v>
      </c>
    </row>
    <row r="9" spans="3:16">
      <c r="C9" s="234" t="s">
        <v>17</v>
      </c>
      <c r="D9" s="235">
        <v>419.48752566183731</v>
      </c>
      <c r="E9" s="235">
        <v>382.36457670211792</v>
      </c>
      <c r="F9" s="236">
        <v>416.14057712009503</v>
      </c>
      <c r="G9" s="236">
        <v>406.44832254552841</v>
      </c>
      <c r="H9" s="236">
        <v>422.59609326648712</v>
      </c>
      <c r="I9" s="236">
        <v>409.94979420614243</v>
      </c>
      <c r="J9" s="236">
        <v>424.82105837561375</v>
      </c>
      <c r="K9" s="237">
        <v>429.95356168890743</v>
      </c>
      <c r="L9" s="236">
        <v>413.35267374262213</v>
      </c>
      <c r="M9" s="236">
        <v>432.96923291563985</v>
      </c>
      <c r="N9" s="236">
        <v>417.33608965206145</v>
      </c>
      <c r="O9" s="238">
        <v>426.68924250000003</v>
      </c>
      <c r="P9" s="239">
        <f t="shared" si="0"/>
        <v>5002.1087483770525</v>
      </c>
    </row>
    <row r="10" spans="3:16">
      <c r="C10" s="234" t="s">
        <v>18</v>
      </c>
      <c r="D10" s="235">
        <v>3416.5507712834033</v>
      </c>
      <c r="E10" s="235">
        <v>3057.3522481908799</v>
      </c>
      <c r="F10" s="236">
        <v>3412.1624729585646</v>
      </c>
      <c r="G10" s="236">
        <v>3321.1458732638357</v>
      </c>
      <c r="H10" s="236">
        <v>3472.1454925231933</v>
      </c>
      <c r="I10" s="236">
        <v>3328.5985520229337</v>
      </c>
      <c r="J10" s="236">
        <v>3443.9152772979737</v>
      </c>
      <c r="K10" s="237">
        <v>3401.1505751572549</v>
      </c>
      <c r="L10" s="236">
        <v>3355.334414489746</v>
      </c>
      <c r="M10" s="236">
        <v>3430.0749387454985</v>
      </c>
      <c r="N10" s="236">
        <v>3331.0571288337705</v>
      </c>
      <c r="O10" s="238">
        <v>3436.2716599999994</v>
      </c>
      <c r="P10" s="239">
        <f t="shared" si="0"/>
        <v>40405.759404767043</v>
      </c>
    </row>
    <row r="11" spans="3:16">
      <c r="C11" s="234" t="s">
        <v>19</v>
      </c>
      <c r="D11" s="235">
        <v>11080.669155641377</v>
      </c>
      <c r="E11" s="235">
        <v>9244.1965181584965</v>
      </c>
      <c r="F11" s="236">
        <v>8516.1474925635648</v>
      </c>
      <c r="G11" s="236">
        <v>10519.902336172305</v>
      </c>
      <c r="H11" s="236">
        <v>8098.437588789795</v>
      </c>
      <c r="I11" s="236">
        <v>8454.8969809405844</v>
      </c>
      <c r="J11" s="236">
        <v>8718.5718635289868</v>
      </c>
      <c r="K11" s="237">
        <v>9912.0978316661112</v>
      </c>
      <c r="L11" s="236">
        <v>9600.511436954499</v>
      </c>
      <c r="M11" s="236">
        <v>10042.734091144875</v>
      </c>
      <c r="N11" s="236">
        <v>9709.3608699533615</v>
      </c>
      <c r="O11" s="238">
        <v>8460.9802225000039</v>
      </c>
      <c r="P11" s="239">
        <f t="shared" si="0"/>
        <v>112358.50638801396</v>
      </c>
    </row>
    <row r="12" spans="3:16">
      <c r="C12" s="234" t="s">
        <v>20</v>
      </c>
      <c r="D12" s="235">
        <v>81604.066991568572</v>
      </c>
      <c r="E12" s="235">
        <v>58450.056295399067</v>
      </c>
      <c r="F12" s="236">
        <v>59178.474648029565</v>
      </c>
      <c r="G12" s="236">
        <v>86516.136499450804</v>
      </c>
      <c r="H12" s="236">
        <v>53418.91271417254</v>
      </c>
      <c r="I12" s="236">
        <v>51695.818644980267</v>
      </c>
      <c r="J12" s="236">
        <v>53378.969316558898</v>
      </c>
      <c r="K12" s="237">
        <v>62358.638895465345</v>
      </c>
      <c r="L12" s="236">
        <v>60310.445918653728</v>
      </c>
      <c r="M12" s="236">
        <v>62320.546985839843</v>
      </c>
      <c r="N12" s="236">
        <v>60309.032603181091</v>
      </c>
      <c r="O12" s="238">
        <v>62667.343002499947</v>
      </c>
      <c r="P12" s="239">
        <f t="shared" si="0"/>
        <v>752208.44251579966</v>
      </c>
    </row>
    <row r="13" spans="3:16">
      <c r="C13" s="234" t="s">
        <v>21</v>
      </c>
      <c r="D13" s="235">
        <v>5977.5722042839452</v>
      </c>
      <c r="E13" s="235">
        <v>5336.1502899169918</v>
      </c>
      <c r="F13" s="236">
        <v>4742.5634572115396</v>
      </c>
      <c r="G13" s="236">
        <v>5851.0019576653485</v>
      </c>
      <c r="H13" s="236">
        <v>5140.3484563064576</v>
      </c>
      <c r="I13" s="236">
        <v>4965.9737820773717</v>
      </c>
      <c r="J13" s="236">
        <v>5124.0304550933834</v>
      </c>
      <c r="K13" s="237">
        <v>5364.5399544529701</v>
      </c>
      <c r="L13" s="236">
        <v>4879.4505169955464</v>
      </c>
      <c r="M13" s="236">
        <v>4392.6209095322265</v>
      </c>
      <c r="N13" s="236">
        <v>5794.0167765660017</v>
      </c>
      <c r="O13" s="238">
        <v>6008.4979975000015</v>
      </c>
      <c r="P13" s="239">
        <f t="shared" si="0"/>
        <v>63576.766757601785</v>
      </c>
    </row>
    <row r="14" spans="3:16">
      <c r="C14" s="240" t="s">
        <v>22</v>
      </c>
      <c r="D14" s="241">
        <f t="shared" ref="D14:O14" si="1">SUM(D8:D13)</f>
        <v>103731.44926541302</v>
      </c>
      <c r="E14" s="241">
        <f t="shared" si="1"/>
        <v>77567.931735006976</v>
      </c>
      <c r="F14" s="241">
        <f t="shared" si="1"/>
        <v>77444.539568186199</v>
      </c>
      <c r="G14" s="241">
        <f t="shared" si="1"/>
        <v>107799.35941108497</v>
      </c>
      <c r="H14" s="241">
        <f t="shared" si="1"/>
        <v>71805.397815266508</v>
      </c>
      <c r="I14" s="241">
        <f t="shared" si="1"/>
        <v>70035.253482902932</v>
      </c>
      <c r="J14" s="241">
        <f t="shared" si="1"/>
        <v>72301.057227797413</v>
      </c>
      <c r="K14" s="241">
        <f t="shared" si="1"/>
        <v>82677.991405165361</v>
      </c>
      <c r="L14" s="241">
        <f t="shared" si="1"/>
        <v>79741.329909562803</v>
      </c>
      <c r="M14" s="241">
        <f t="shared" si="1"/>
        <v>81849.864320844397</v>
      </c>
      <c r="N14" s="241">
        <f t="shared" si="1"/>
        <v>80581.070766352917</v>
      </c>
      <c r="O14" s="242">
        <f t="shared" si="1"/>
        <v>82186.705808062688</v>
      </c>
      <c r="P14" s="243">
        <f t="shared" si="0"/>
        <v>987721.95071564626</v>
      </c>
    </row>
    <row r="15" spans="3:16">
      <c r="C15" s="228" t="s">
        <v>23</v>
      </c>
      <c r="D15" s="244"/>
      <c r="E15" s="244"/>
      <c r="F15" s="245"/>
      <c r="G15" s="245"/>
      <c r="H15" s="245"/>
      <c r="I15" s="245"/>
      <c r="J15" s="245"/>
      <c r="K15" s="246"/>
      <c r="L15" s="236"/>
      <c r="M15" s="236"/>
      <c r="N15" s="236"/>
      <c r="O15" s="238"/>
      <c r="P15" s="247"/>
    </row>
    <row r="16" spans="3:16">
      <c r="C16" s="248" t="s">
        <v>24</v>
      </c>
      <c r="D16" s="235">
        <v>0</v>
      </c>
      <c r="E16" s="235">
        <v>0</v>
      </c>
      <c r="F16" s="236">
        <v>0</v>
      </c>
      <c r="G16" s="236">
        <v>0</v>
      </c>
      <c r="H16" s="236">
        <v>0</v>
      </c>
      <c r="I16" s="236">
        <v>0</v>
      </c>
      <c r="J16" s="236">
        <v>0</v>
      </c>
      <c r="K16" s="237">
        <v>0</v>
      </c>
      <c r="L16" s="236">
        <v>0</v>
      </c>
      <c r="M16" s="236">
        <v>0</v>
      </c>
      <c r="N16" s="236">
        <v>0</v>
      </c>
      <c r="O16" s="238">
        <v>0</v>
      </c>
      <c r="P16" s="239">
        <f t="shared" ref="P16:P22" si="2">+SUM(D16:O16)</f>
        <v>0</v>
      </c>
    </row>
    <row r="17" spans="3:18">
      <c r="C17" s="234" t="s">
        <v>25</v>
      </c>
      <c r="D17" s="235">
        <v>0</v>
      </c>
      <c r="E17" s="235">
        <v>1.9170344848632812</v>
      </c>
      <c r="F17" s="236">
        <v>25.870295898437501</v>
      </c>
      <c r="G17" s="236">
        <v>16.659714155241272</v>
      </c>
      <c r="H17" s="236">
        <v>26.078884826660158</v>
      </c>
      <c r="I17" s="236">
        <v>1.5885762634277343</v>
      </c>
      <c r="J17" s="236">
        <v>0</v>
      </c>
      <c r="K17" s="237">
        <v>2.6681024169921876</v>
      </c>
      <c r="L17" s="236">
        <v>16.684983978271486</v>
      </c>
      <c r="M17" s="236">
        <v>4.2668598632812502</v>
      </c>
      <c r="N17" s="236">
        <v>0</v>
      </c>
      <c r="O17" s="238">
        <v>31.2816875</v>
      </c>
      <c r="P17" s="239">
        <f t="shared" si="2"/>
        <v>127.01613938717489</v>
      </c>
    </row>
    <row r="18" spans="3:18">
      <c r="C18" s="248" t="s">
        <v>26</v>
      </c>
      <c r="D18" s="235">
        <v>0</v>
      </c>
      <c r="E18" s="235">
        <v>4.1758846869662518</v>
      </c>
      <c r="F18" s="236">
        <v>0</v>
      </c>
      <c r="G18" s="236">
        <v>1.6534859466552734</v>
      </c>
      <c r="H18" s="236">
        <v>0</v>
      </c>
      <c r="I18" s="236">
        <v>2.2837405633084709</v>
      </c>
      <c r="J18" s="236">
        <v>12.729358222961427</v>
      </c>
      <c r="K18" s="237">
        <v>10.286797623012454</v>
      </c>
      <c r="L18" s="236">
        <v>11.160500827787946</v>
      </c>
      <c r="M18" s="236">
        <v>1.6514606255168656</v>
      </c>
      <c r="N18" s="236">
        <v>0</v>
      </c>
      <c r="O18" s="238">
        <v>2.4701899999999997</v>
      </c>
      <c r="P18" s="239">
        <f t="shared" si="2"/>
        <v>46.41141849620869</v>
      </c>
      <c r="Q18" s="249"/>
    </row>
    <row r="19" spans="3:18">
      <c r="C19" s="248" t="s">
        <v>27</v>
      </c>
      <c r="D19" s="235">
        <v>2.9758904418945313</v>
      </c>
      <c r="E19" s="235">
        <v>0</v>
      </c>
      <c r="F19" s="236">
        <v>3.6601343352799591</v>
      </c>
      <c r="G19" s="236">
        <v>0</v>
      </c>
      <c r="H19" s="236">
        <v>25.838618032796045</v>
      </c>
      <c r="I19" s="236">
        <v>0</v>
      </c>
      <c r="J19" s="236">
        <v>56.883053890809613</v>
      </c>
      <c r="K19" s="237">
        <v>0</v>
      </c>
      <c r="L19" s="236">
        <v>49.621064443727931</v>
      </c>
      <c r="M19" s="236">
        <v>19.142644165039062</v>
      </c>
      <c r="N19" s="236">
        <v>3.7305728566034428</v>
      </c>
      <c r="O19" s="238">
        <v>20.000377499999999</v>
      </c>
      <c r="P19" s="239">
        <f t="shared" si="2"/>
        <v>181.85235566615057</v>
      </c>
      <c r="Q19" s="249"/>
    </row>
    <row r="20" spans="3:18">
      <c r="C20" s="250" t="s">
        <v>46</v>
      </c>
      <c r="D20" s="235">
        <v>0</v>
      </c>
      <c r="E20" s="235">
        <v>0</v>
      </c>
      <c r="F20" s="235">
        <v>0</v>
      </c>
      <c r="G20" s="235">
        <v>0</v>
      </c>
      <c r="H20" s="235">
        <v>0</v>
      </c>
      <c r="I20" s="235">
        <v>0</v>
      </c>
      <c r="J20" s="235">
        <v>0</v>
      </c>
      <c r="K20" s="235">
        <v>0</v>
      </c>
      <c r="L20" s="235">
        <v>0</v>
      </c>
      <c r="M20" s="235">
        <v>0</v>
      </c>
      <c r="N20" s="235">
        <v>0</v>
      </c>
      <c r="O20" s="237">
        <v>0</v>
      </c>
      <c r="P20" s="239">
        <f t="shared" si="2"/>
        <v>0</v>
      </c>
      <c r="Q20" s="249"/>
    </row>
    <row r="21" spans="3:18">
      <c r="C21" s="240" t="s">
        <v>28</v>
      </c>
      <c r="D21" s="241">
        <f t="shared" ref="D21:O21" si="3">SUM(D16:D20)</f>
        <v>2.9758904418945313</v>
      </c>
      <c r="E21" s="241">
        <f t="shared" si="3"/>
        <v>6.092919171829533</v>
      </c>
      <c r="F21" s="241">
        <f t="shared" si="3"/>
        <v>29.53043023371746</v>
      </c>
      <c r="G21" s="241">
        <f t="shared" si="3"/>
        <v>18.313200101896545</v>
      </c>
      <c r="H21" s="241">
        <f t="shared" si="3"/>
        <v>51.917502859456206</v>
      </c>
      <c r="I21" s="241">
        <f t="shared" si="3"/>
        <v>3.8723168267362054</v>
      </c>
      <c r="J21" s="241">
        <f t="shared" si="3"/>
        <v>69.612412113771043</v>
      </c>
      <c r="K21" s="241">
        <f t="shared" si="3"/>
        <v>12.954900040004642</v>
      </c>
      <c r="L21" s="241">
        <f t="shared" si="3"/>
        <v>77.466549249787363</v>
      </c>
      <c r="M21" s="241">
        <f t="shared" si="3"/>
        <v>25.060964653837178</v>
      </c>
      <c r="N21" s="241">
        <f t="shared" si="3"/>
        <v>3.7305728566034428</v>
      </c>
      <c r="O21" s="242">
        <f t="shared" si="3"/>
        <v>53.752254999999998</v>
      </c>
      <c r="P21" s="243">
        <f t="shared" si="2"/>
        <v>355.27991354953411</v>
      </c>
    </row>
    <row r="22" spans="3:18" ht="12" thickBot="1">
      <c r="C22" s="251" t="s">
        <v>29</v>
      </c>
      <c r="D22" s="252">
        <f t="shared" ref="D22:O22" si="4">+D14+D21</f>
        <v>103734.42515585491</v>
      </c>
      <c r="E22" s="252">
        <f t="shared" si="4"/>
        <v>77574.024654178807</v>
      </c>
      <c r="F22" s="252">
        <f t="shared" si="4"/>
        <v>77474.069998419916</v>
      </c>
      <c r="G22" s="252">
        <f t="shared" si="4"/>
        <v>107817.67261118686</v>
      </c>
      <c r="H22" s="252">
        <f t="shared" si="4"/>
        <v>71857.315318125969</v>
      </c>
      <c r="I22" s="252">
        <f t="shared" si="4"/>
        <v>70039.125799729663</v>
      </c>
      <c r="J22" s="252">
        <f t="shared" si="4"/>
        <v>72370.669639911182</v>
      </c>
      <c r="K22" s="252">
        <f t="shared" si="4"/>
        <v>82690.946305205362</v>
      </c>
      <c r="L22" s="252">
        <f t="shared" si="4"/>
        <v>79818.796458812591</v>
      </c>
      <c r="M22" s="252">
        <f t="shared" si="4"/>
        <v>81874.925285498233</v>
      </c>
      <c r="N22" s="252">
        <f t="shared" si="4"/>
        <v>80584.801339209516</v>
      </c>
      <c r="O22" s="253">
        <f t="shared" si="4"/>
        <v>82240.458063062688</v>
      </c>
      <c r="P22" s="254">
        <f t="shared" si="2"/>
        <v>988077.23062919569</v>
      </c>
    </row>
    <row r="23" spans="3:18" ht="12" thickTop="1"/>
    <row r="24" spans="3:18">
      <c r="C24" s="222" t="s">
        <v>110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18" ht="12" thickBot="1"/>
    <row r="26" spans="3:18" ht="12" thickTop="1">
      <c r="C26" s="255" t="s">
        <v>30</v>
      </c>
      <c r="D26" s="256" t="s">
        <v>2</v>
      </c>
      <c r="E26" s="257" t="s">
        <v>3</v>
      </c>
      <c r="F26" s="257" t="s">
        <v>4</v>
      </c>
      <c r="G26" s="257" t="s">
        <v>5</v>
      </c>
      <c r="H26" s="257" t="s">
        <v>6</v>
      </c>
      <c r="I26" s="257" t="s">
        <v>7</v>
      </c>
      <c r="J26" s="257" t="s">
        <v>8</v>
      </c>
      <c r="K26" s="257" t="s">
        <v>9</v>
      </c>
      <c r="L26" s="257" t="s">
        <v>10</v>
      </c>
      <c r="M26" s="257" t="s">
        <v>11</v>
      </c>
      <c r="N26" s="257" t="s">
        <v>12</v>
      </c>
      <c r="O26" s="258" t="s">
        <v>13</v>
      </c>
      <c r="P26" s="259" t="s">
        <v>14</v>
      </c>
    </row>
    <row r="27" spans="3:18">
      <c r="C27" s="260" t="s">
        <v>31</v>
      </c>
      <c r="D27" s="261">
        <f t="shared" ref="D27:O27" si="5">+D28+D29</f>
        <v>103734.42515585491</v>
      </c>
      <c r="E27" s="262">
        <f t="shared" si="5"/>
        <v>77574.024654178807</v>
      </c>
      <c r="F27" s="263">
        <f t="shared" si="5"/>
        <v>77474.069998419916</v>
      </c>
      <c r="G27" s="263">
        <f t="shared" si="5"/>
        <v>107817.67261118686</v>
      </c>
      <c r="H27" s="263">
        <f t="shared" si="5"/>
        <v>71857.315318125969</v>
      </c>
      <c r="I27" s="263">
        <f t="shared" si="5"/>
        <v>70039.125799729663</v>
      </c>
      <c r="J27" s="263">
        <f t="shared" si="5"/>
        <v>72370.669639911182</v>
      </c>
      <c r="K27" s="263">
        <f t="shared" si="5"/>
        <v>82690.946305205362</v>
      </c>
      <c r="L27" s="263">
        <f t="shared" si="5"/>
        <v>79818.796458812591</v>
      </c>
      <c r="M27" s="263">
        <f t="shared" si="5"/>
        <v>81874.925285498233</v>
      </c>
      <c r="N27" s="263">
        <f t="shared" si="5"/>
        <v>80584.801339209516</v>
      </c>
      <c r="O27" s="264">
        <f t="shared" si="5"/>
        <v>82240.458063062688</v>
      </c>
      <c r="P27" s="265">
        <f>SUM(D27:O27)</f>
        <v>988077.23062919569</v>
      </c>
      <c r="R27" s="246"/>
    </row>
    <row r="28" spans="3:18">
      <c r="C28" s="266" t="s">
        <v>32</v>
      </c>
      <c r="D28" s="267">
        <f>+D14</f>
        <v>103731.44926541302</v>
      </c>
      <c r="E28" s="268">
        <f t="shared" ref="E28:O28" si="6">+E14</f>
        <v>77567.931735006976</v>
      </c>
      <c r="F28" s="268">
        <f t="shared" si="6"/>
        <v>77444.539568186199</v>
      </c>
      <c r="G28" s="268">
        <f t="shared" si="6"/>
        <v>107799.35941108497</v>
      </c>
      <c r="H28" s="268">
        <f t="shared" si="6"/>
        <v>71805.397815266508</v>
      </c>
      <c r="I28" s="268">
        <f t="shared" si="6"/>
        <v>70035.253482902932</v>
      </c>
      <c r="J28" s="268">
        <f t="shared" si="6"/>
        <v>72301.057227797413</v>
      </c>
      <c r="K28" s="268">
        <f t="shared" si="6"/>
        <v>82677.991405165361</v>
      </c>
      <c r="L28" s="268">
        <f t="shared" si="6"/>
        <v>79741.329909562803</v>
      </c>
      <c r="M28" s="268">
        <f t="shared" si="6"/>
        <v>81849.864320844397</v>
      </c>
      <c r="N28" s="268">
        <f t="shared" si="6"/>
        <v>80581.070766352917</v>
      </c>
      <c r="O28" s="268">
        <f t="shared" si="6"/>
        <v>82186.705808062688</v>
      </c>
      <c r="P28" s="269">
        <f t="shared" ref="P28:P63" si="7">SUM(D28:O28)</f>
        <v>987721.95071564626</v>
      </c>
      <c r="R28" s="246"/>
    </row>
    <row r="29" spans="3:18">
      <c r="C29" s="270" t="s">
        <v>33</v>
      </c>
      <c r="D29" s="271">
        <f>+D21</f>
        <v>2.9758904418945313</v>
      </c>
      <c r="E29" s="272">
        <f t="shared" ref="E29:O29" si="8">+E21</f>
        <v>6.092919171829533</v>
      </c>
      <c r="F29" s="272">
        <f t="shared" si="8"/>
        <v>29.53043023371746</v>
      </c>
      <c r="G29" s="272">
        <f t="shared" si="8"/>
        <v>18.313200101896545</v>
      </c>
      <c r="H29" s="272">
        <f t="shared" si="8"/>
        <v>51.917502859456206</v>
      </c>
      <c r="I29" s="272">
        <f t="shared" si="8"/>
        <v>3.8723168267362054</v>
      </c>
      <c r="J29" s="272">
        <f t="shared" si="8"/>
        <v>69.612412113771043</v>
      </c>
      <c r="K29" s="272">
        <f t="shared" si="8"/>
        <v>12.954900040004642</v>
      </c>
      <c r="L29" s="272">
        <f t="shared" si="8"/>
        <v>77.466549249787363</v>
      </c>
      <c r="M29" s="272">
        <f t="shared" si="8"/>
        <v>25.060964653837178</v>
      </c>
      <c r="N29" s="272">
        <f t="shared" si="8"/>
        <v>3.7305728566034428</v>
      </c>
      <c r="O29" s="272">
        <f t="shared" si="8"/>
        <v>53.752254999999998</v>
      </c>
      <c r="P29" s="273">
        <f t="shared" si="7"/>
        <v>355.27991354953411</v>
      </c>
      <c r="R29" s="246"/>
    </row>
    <row r="30" spans="3:18">
      <c r="C30" s="260" t="s">
        <v>34</v>
      </c>
      <c r="D30" s="274">
        <f>+SUM(D31:D32)</f>
        <v>0</v>
      </c>
      <c r="E30" s="263">
        <f t="shared" ref="E30:P30" si="9">+SUM(E31:E32)</f>
        <v>0</v>
      </c>
      <c r="F30" s="263">
        <f t="shared" si="9"/>
        <v>0</v>
      </c>
      <c r="G30" s="263">
        <f t="shared" si="9"/>
        <v>0</v>
      </c>
      <c r="H30" s="263">
        <f t="shared" si="9"/>
        <v>0</v>
      </c>
      <c r="I30" s="263">
        <f t="shared" si="9"/>
        <v>0</v>
      </c>
      <c r="J30" s="263">
        <f t="shared" si="9"/>
        <v>0</v>
      </c>
      <c r="K30" s="263">
        <f t="shared" si="9"/>
        <v>156.31370105838775</v>
      </c>
      <c r="L30" s="263">
        <f t="shared" si="9"/>
        <v>149.98760319423675</v>
      </c>
      <c r="M30" s="263">
        <f t="shared" si="9"/>
        <v>153.82518224525452</v>
      </c>
      <c r="N30" s="263">
        <f t="shared" si="9"/>
        <v>145.401581477165</v>
      </c>
      <c r="O30" s="264">
        <f t="shared" si="9"/>
        <v>151.60891999999998</v>
      </c>
      <c r="P30" s="265">
        <f t="shared" si="9"/>
        <v>757.13698797504401</v>
      </c>
      <c r="R30" s="246"/>
    </row>
    <row r="31" spans="3:18">
      <c r="C31" s="290" t="s">
        <v>41</v>
      </c>
      <c r="D31" s="267">
        <v>0</v>
      </c>
      <c r="E31" s="268">
        <v>0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75">
        <v>0</v>
      </c>
      <c r="P31" s="269">
        <f t="shared" si="7"/>
        <v>0</v>
      </c>
      <c r="R31" s="246"/>
    </row>
    <row r="32" spans="3:18">
      <c r="C32" s="323" t="s">
        <v>109</v>
      </c>
      <c r="D32" s="286">
        <v>0</v>
      </c>
      <c r="E32" s="272">
        <v>0</v>
      </c>
      <c r="F32" s="272">
        <v>0</v>
      </c>
      <c r="G32" s="272">
        <v>0</v>
      </c>
      <c r="H32" s="272">
        <v>0</v>
      </c>
      <c r="I32" s="272">
        <v>0</v>
      </c>
      <c r="J32" s="272"/>
      <c r="K32" s="272">
        <v>156.31370105838775</v>
      </c>
      <c r="L32" s="272">
        <v>149.98760319423675</v>
      </c>
      <c r="M32" s="272">
        <v>153.82518224525452</v>
      </c>
      <c r="N32" s="272">
        <f>145401.581477165/1000</f>
        <v>145.401581477165</v>
      </c>
      <c r="O32" s="271">
        <v>151.60891999999998</v>
      </c>
      <c r="P32" s="273">
        <f t="shared" si="7"/>
        <v>757.13698797504401</v>
      </c>
      <c r="R32" s="246"/>
    </row>
    <row r="33" spans="2:20">
      <c r="C33" s="260" t="s">
        <v>35</v>
      </c>
      <c r="D33" s="261">
        <f>+D34+D35</f>
        <v>350.53758879079425</v>
      </c>
      <c r="E33" s="263">
        <f t="shared" ref="E33:O33" si="10">+E34+E35</f>
        <v>299.76848623561534</v>
      </c>
      <c r="F33" s="263">
        <f t="shared" si="10"/>
        <v>317.35592181072718</v>
      </c>
      <c r="G33" s="263">
        <f t="shared" si="10"/>
        <v>322.94378548102264</v>
      </c>
      <c r="H33" s="263">
        <f t="shared" si="10"/>
        <v>406.92321836879097</v>
      </c>
      <c r="I33" s="263">
        <f t="shared" si="10"/>
        <v>382.63909800366946</v>
      </c>
      <c r="J33" s="263">
        <f t="shared" si="10"/>
        <v>508.2701127209483</v>
      </c>
      <c r="K33" s="263">
        <f t="shared" si="10"/>
        <v>346.40587719296104</v>
      </c>
      <c r="L33" s="263">
        <f t="shared" si="10"/>
        <v>481.30257529233029</v>
      </c>
      <c r="M33" s="263">
        <f t="shared" si="10"/>
        <v>320.43192268965635</v>
      </c>
      <c r="N33" s="263">
        <f t="shared" si="10"/>
        <v>335.38561434304154</v>
      </c>
      <c r="O33" s="276">
        <f t="shared" si="10"/>
        <v>419.45480031262002</v>
      </c>
      <c r="P33" s="265">
        <f t="shared" si="7"/>
        <v>4491.4190012421777</v>
      </c>
      <c r="R33" s="246"/>
    </row>
    <row r="34" spans="2:20">
      <c r="B34" s="277"/>
      <c r="C34" s="266" t="s">
        <v>32</v>
      </c>
      <c r="D34" s="267">
        <v>350.30532875814043</v>
      </c>
      <c r="E34" s="268">
        <v>299.16194384936961</v>
      </c>
      <c r="F34" s="268">
        <v>316.79680669470315</v>
      </c>
      <c r="G34" s="268">
        <v>320.98974943957217</v>
      </c>
      <c r="H34" s="268">
        <v>347.42069221284231</v>
      </c>
      <c r="I34" s="268">
        <v>347.07474373416494</v>
      </c>
      <c r="J34" s="268">
        <v>347.16849149687272</v>
      </c>
      <c r="K34" s="268">
        <v>344.28652643345481</v>
      </c>
      <c r="L34" s="268">
        <v>327.49984524689245</v>
      </c>
      <c r="M34" s="268">
        <v>319.0008216125766</v>
      </c>
      <c r="N34" s="268">
        <v>334.69543766533769</v>
      </c>
      <c r="O34" s="275">
        <v>338.36299172888357</v>
      </c>
      <c r="P34" s="269">
        <f t="shared" si="7"/>
        <v>3992.7633788728103</v>
      </c>
      <c r="R34" s="246"/>
    </row>
    <row r="35" spans="2:20">
      <c r="B35" s="278"/>
      <c r="C35" s="279" t="s">
        <v>33</v>
      </c>
      <c r="D35" s="267">
        <v>0.2322600326538086</v>
      </c>
      <c r="E35" s="268">
        <v>0.60654238624572754</v>
      </c>
      <c r="F35" s="268">
        <v>0.55911511602401731</v>
      </c>
      <c r="G35" s="272">
        <v>1.9540360414505005</v>
      </c>
      <c r="H35" s="272">
        <v>59.502526155948637</v>
      </c>
      <c r="I35" s="272">
        <v>35.564354269504548</v>
      </c>
      <c r="J35" s="272">
        <v>161.10162122407556</v>
      </c>
      <c r="K35" s="272">
        <v>2.1193507595062258</v>
      </c>
      <c r="L35" s="272">
        <v>153.80273004543781</v>
      </c>
      <c r="M35" s="268">
        <v>1.431101077079773</v>
      </c>
      <c r="N35" s="272">
        <v>0.69017667770385738</v>
      </c>
      <c r="O35" s="280">
        <v>81.091808583736423</v>
      </c>
      <c r="P35" s="273">
        <f t="shared" si="7"/>
        <v>498.65562236936682</v>
      </c>
      <c r="R35" s="246"/>
    </row>
    <row r="36" spans="2:20">
      <c r="C36" s="281" t="s">
        <v>36</v>
      </c>
      <c r="D36" s="261">
        <f t="shared" ref="D36:O36" si="11">+D37+D38</f>
        <v>1027.2493037762324</v>
      </c>
      <c r="E36" s="263">
        <f t="shared" si="11"/>
        <v>1176.9577660291689</v>
      </c>
      <c r="F36" s="263">
        <f t="shared" si="11"/>
        <v>1244.5604279887484</v>
      </c>
      <c r="G36" s="282">
        <f t="shared" si="11"/>
        <v>1305.4208722085459</v>
      </c>
      <c r="H36" s="282">
        <f t="shared" si="11"/>
        <v>1162.5873835156235</v>
      </c>
      <c r="I36" s="282">
        <f t="shared" si="11"/>
        <v>1033.3908381899964</v>
      </c>
      <c r="J36" s="282">
        <f t="shared" si="11"/>
        <v>1085.5815444412729</v>
      </c>
      <c r="K36" s="282">
        <f t="shared" si="11"/>
        <v>1184.6591761912423</v>
      </c>
      <c r="L36" s="282">
        <f t="shared" si="11"/>
        <v>1076.7582557043206</v>
      </c>
      <c r="M36" s="263">
        <f t="shared" si="11"/>
        <v>1293.4066046785883</v>
      </c>
      <c r="N36" s="282">
        <f t="shared" si="11"/>
        <v>1221.238958317932</v>
      </c>
      <c r="O36" s="283">
        <f t="shared" si="11"/>
        <v>1176.0111552450981</v>
      </c>
      <c r="P36" s="284">
        <f t="shared" si="7"/>
        <v>13987.82228628677</v>
      </c>
      <c r="R36" s="246"/>
    </row>
    <row r="37" spans="2:20">
      <c r="B37" s="278"/>
      <c r="C37" s="266" t="s">
        <v>37</v>
      </c>
      <c r="D37" s="267">
        <v>410.89972151049301</v>
      </c>
      <c r="E37" s="268">
        <v>470.78310641166757</v>
      </c>
      <c r="F37" s="268">
        <v>497.82417119549939</v>
      </c>
      <c r="G37" s="268">
        <v>522.16834888341839</v>
      </c>
      <c r="H37" s="268">
        <v>465.03495340624943</v>
      </c>
      <c r="I37" s="268">
        <v>413.35633527599862</v>
      </c>
      <c r="J37" s="268">
        <v>434.23261777650919</v>
      </c>
      <c r="K37" s="268">
        <v>473.86367047649696</v>
      </c>
      <c r="L37" s="268">
        <v>430.70330228172827</v>
      </c>
      <c r="M37" s="268">
        <v>517.36264187143536</v>
      </c>
      <c r="N37" s="268">
        <v>488.49558332717282</v>
      </c>
      <c r="O37" s="268">
        <v>470.40446209803923</v>
      </c>
      <c r="P37" s="269">
        <f t="shared" si="7"/>
        <v>5595.1289145147084</v>
      </c>
      <c r="R37" s="246"/>
      <c r="T37" s="246"/>
    </row>
    <row r="38" spans="2:20">
      <c r="B38" s="285"/>
      <c r="C38" s="266" t="s">
        <v>38</v>
      </c>
      <c r="D38" s="286">
        <v>616.3495822657394</v>
      </c>
      <c r="E38" s="272">
        <v>706.17465961750133</v>
      </c>
      <c r="F38" s="272">
        <v>746.73625679324903</v>
      </c>
      <c r="G38" s="268">
        <v>783.25252332512753</v>
      </c>
      <c r="H38" s="268">
        <v>697.55243010937409</v>
      </c>
      <c r="I38" s="268">
        <v>620.03450291399781</v>
      </c>
      <c r="J38" s="268">
        <v>651.34892666476367</v>
      </c>
      <c r="K38" s="272">
        <v>710.79550571474533</v>
      </c>
      <c r="L38" s="272">
        <v>646.05495342259235</v>
      </c>
      <c r="M38" s="272">
        <v>776.04396280715298</v>
      </c>
      <c r="N38" s="272">
        <v>732.74337499075921</v>
      </c>
      <c r="O38" s="272">
        <v>705.60669314705876</v>
      </c>
      <c r="P38" s="269">
        <f t="shared" si="7"/>
        <v>8392.6933717720622</v>
      </c>
      <c r="S38" s="246"/>
      <c r="T38" s="246"/>
    </row>
    <row r="39" spans="2:20">
      <c r="B39" s="285"/>
      <c r="C39" s="287" t="s">
        <v>39</v>
      </c>
      <c r="D39" s="302">
        <f t="shared" ref="D39:O39" si="12">+D27+D30-D33-D36</f>
        <v>102356.63826328788</v>
      </c>
      <c r="E39" s="302">
        <f t="shared" si="12"/>
        <v>76097.298401914028</v>
      </c>
      <c r="F39" s="302">
        <f t="shared" si="12"/>
        <v>75912.153648620442</v>
      </c>
      <c r="G39" s="302">
        <f t="shared" si="12"/>
        <v>106189.30795349729</v>
      </c>
      <c r="H39" s="302">
        <f t="shared" si="12"/>
        <v>70287.804716241561</v>
      </c>
      <c r="I39" s="302">
        <f t="shared" si="12"/>
        <v>68623.095863536</v>
      </c>
      <c r="J39" s="302">
        <f t="shared" si="12"/>
        <v>70776.817982748966</v>
      </c>
      <c r="K39" s="302">
        <f>+K27+K30-K33-K36</f>
        <v>81316.194952879552</v>
      </c>
      <c r="L39" s="302">
        <f t="shared" si="12"/>
        <v>78410.723231010183</v>
      </c>
      <c r="M39" s="302">
        <f t="shared" si="12"/>
        <v>80414.911940375241</v>
      </c>
      <c r="N39" s="302">
        <f t="shared" si="12"/>
        <v>79173.578348025709</v>
      </c>
      <c r="O39" s="302">
        <f t="shared" si="12"/>
        <v>80796.601027504963</v>
      </c>
      <c r="P39" s="302">
        <f t="shared" si="7"/>
        <v>970355.12632964179</v>
      </c>
      <c r="R39" s="246"/>
    </row>
    <row r="40" spans="2:20">
      <c r="B40" s="285"/>
      <c r="C40" s="287" t="s">
        <v>40</v>
      </c>
      <c r="D40" s="302">
        <f t="shared" ref="D40:O40" si="13">+D41+D44+D54</f>
        <v>102356.63826328788</v>
      </c>
      <c r="E40" s="302">
        <f t="shared" si="13"/>
        <v>76097.298401914028</v>
      </c>
      <c r="F40" s="302">
        <f t="shared" si="13"/>
        <v>75912.153648620442</v>
      </c>
      <c r="G40" s="302">
        <f t="shared" si="13"/>
        <v>106189.30795349729</v>
      </c>
      <c r="H40" s="302">
        <f t="shared" si="13"/>
        <v>70287.804716241561</v>
      </c>
      <c r="I40" s="302">
        <f t="shared" si="13"/>
        <v>68623.095863536</v>
      </c>
      <c r="J40" s="302">
        <f t="shared" si="13"/>
        <v>70776.817982748966</v>
      </c>
      <c r="K40" s="302">
        <f t="shared" si="13"/>
        <v>81316.194952879552</v>
      </c>
      <c r="L40" s="302">
        <f t="shared" si="13"/>
        <v>78410.723231010183</v>
      </c>
      <c r="M40" s="302">
        <f t="shared" si="13"/>
        <v>80414.911940375241</v>
      </c>
      <c r="N40" s="302">
        <f t="shared" si="13"/>
        <v>79173.578348025709</v>
      </c>
      <c r="O40" s="302">
        <f t="shared" si="13"/>
        <v>80796.601027504963</v>
      </c>
      <c r="P40" s="302">
        <f t="shared" si="7"/>
        <v>970355.12632964179</v>
      </c>
      <c r="R40" s="246"/>
    </row>
    <row r="41" spans="2:20">
      <c r="B41" s="221">
        <v>1000</v>
      </c>
      <c r="C41" s="281" t="s">
        <v>44</v>
      </c>
      <c r="D41" s="263">
        <f t="shared" ref="D41:O41" si="14">+D42+D43</f>
        <v>38885.853093287878</v>
      </c>
      <c r="E41" s="263">
        <f t="shared" si="14"/>
        <v>19925.527431914015</v>
      </c>
      <c r="F41" s="263">
        <f t="shared" si="14"/>
        <v>13346.296228620435</v>
      </c>
      <c r="G41" s="263">
        <f t="shared" si="14"/>
        <v>47938.385643497299</v>
      </c>
      <c r="H41" s="263">
        <f t="shared" si="14"/>
        <v>12044.950596241571</v>
      </c>
      <c r="I41" s="263">
        <f t="shared" si="14"/>
        <v>12862.620883535994</v>
      </c>
      <c r="J41" s="263">
        <f t="shared" si="14"/>
        <v>13386.821572748966</v>
      </c>
      <c r="K41" s="263">
        <f t="shared" si="14"/>
        <v>22851.30995287955</v>
      </c>
      <c r="L41" s="263">
        <f t="shared" si="14"/>
        <v>19219.017321010178</v>
      </c>
      <c r="M41" s="263">
        <f t="shared" si="14"/>
        <v>18667.911280375229</v>
      </c>
      <c r="N41" s="263">
        <f t="shared" si="14"/>
        <v>17579.880088025704</v>
      </c>
      <c r="O41" s="263">
        <f t="shared" si="14"/>
        <v>16861.676077504955</v>
      </c>
      <c r="P41" s="263">
        <f t="shared" si="7"/>
        <v>253570.25016964183</v>
      </c>
      <c r="R41" s="246"/>
      <c r="S41" s="246"/>
    </row>
    <row r="42" spans="2:20">
      <c r="B42" s="278">
        <v>13030.85947876166</v>
      </c>
      <c r="C42" s="266" t="s">
        <v>41</v>
      </c>
      <c r="D42" s="268">
        <v>38885.853093287878</v>
      </c>
      <c r="E42" s="268">
        <v>19925.527431914015</v>
      </c>
      <c r="F42" s="268">
        <v>13346.296228620435</v>
      </c>
      <c r="G42" s="268">
        <v>47938.385643497299</v>
      </c>
      <c r="H42" s="268">
        <v>12044.950596241571</v>
      </c>
      <c r="I42" s="268">
        <v>12862.620883535994</v>
      </c>
      <c r="J42" s="268">
        <v>13386.821572748966</v>
      </c>
      <c r="K42" s="268">
        <v>22851.30995287955</v>
      </c>
      <c r="L42" s="268">
        <v>19219.017321010178</v>
      </c>
      <c r="M42" s="268">
        <v>18667.911280375229</v>
      </c>
      <c r="N42" s="268">
        <v>17579.880088025704</v>
      </c>
      <c r="O42" s="268">
        <v>16861.676077504955</v>
      </c>
      <c r="P42" s="268">
        <f t="shared" si="7"/>
        <v>253570.25016964183</v>
      </c>
      <c r="Q42" s="246"/>
      <c r="R42" s="246"/>
    </row>
    <row r="43" spans="2:20" hidden="1">
      <c r="C43" s="266" t="s">
        <v>45</v>
      </c>
      <c r="D43" s="268">
        <v>0</v>
      </c>
      <c r="E43" s="268">
        <v>0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/>
      <c r="P43" s="268">
        <f t="shared" si="7"/>
        <v>0</v>
      </c>
      <c r="Q43" s="246"/>
      <c r="R43" s="246"/>
    </row>
    <row r="44" spans="2:20">
      <c r="C44" s="281" t="s">
        <v>42</v>
      </c>
      <c r="D44" s="282">
        <f t="shared" ref="D44:P44" si="15">SUM(D45:D53)</f>
        <v>58554.523889999997</v>
      </c>
      <c r="E44" s="282">
        <f>SUM(E45:E53)</f>
        <v>51480.286209999998</v>
      </c>
      <c r="F44" s="282">
        <f>SUM(F45:F53)</f>
        <v>57148.96759</v>
      </c>
      <c r="G44" s="282">
        <f>SUM(G45:G53)</f>
        <v>53163.191119999996</v>
      </c>
      <c r="H44" s="282">
        <f t="shared" si="15"/>
        <v>52905.255529999995</v>
      </c>
      <c r="I44" s="282">
        <f t="shared" si="15"/>
        <v>50571.222220000003</v>
      </c>
      <c r="J44" s="282">
        <f t="shared" si="15"/>
        <v>52213.578850000005</v>
      </c>
      <c r="K44" s="282">
        <f t="shared" si="15"/>
        <v>53302.714469999999</v>
      </c>
      <c r="L44" s="282">
        <f t="shared" si="15"/>
        <v>54123.833299999991</v>
      </c>
      <c r="M44" s="282">
        <f t="shared" si="15"/>
        <v>56769.374609999999</v>
      </c>
      <c r="N44" s="282">
        <f t="shared" si="15"/>
        <v>56697.607120000001</v>
      </c>
      <c r="O44" s="282">
        <f t="shared" si="15"/>
        <v>59070.015940000005</v>
      </c>
      <c r="P44" s="282">
        <f t="shared" si="15"/>
        <v>656000.57085000013</v>
      </c>
      <c r="R44" s="246"/>
    </row>
    <row r="45" spans="2:20">
      <c r="C45" s="266" t="s">
        <v>47</v>
      </c>
      <c r="D45" s="268">
        <v>11798.4897</v>
      </c>
      <c r="E45" s="288">
        <v>10713.770940000002</v>
      </c>
      <c r="F45" s="268">
        <v>12299.596440000001</v>
      </c>
      <c r="G45" s="268">
        <v>11334.690359999997</v>
      </c>
      <c r="H45" s="268">
        <v>11445.130949999999</v>
      </c>
      <c r="I45" s="268">
        <v>11117.62815</v>
      </c>
      <c r="J45" s="268">
        <v>11248.599410000001</v>
      </c>
      <c r="K45" s="303">
        <v>11221.016820000001</v>
      </c>
      <c r="L45" s="268">
        <v>10979.927089999999</v>
      </c>
      <c r="M45" s="268">
        <v>11310.517680000001</v>
      </c>
      <c r="N45" s="289">
        <v>11190.639429999999</v>
      </c>
      <c r="O45" s="268">
        <v>11644.308030000002</v>
      </c>
      <c r="P45" s="268">
        <f t="shared" si="7"/>
        <v>136304.315</v>
      </c>
      <c r="Q45" s="277"/>
      <c r="R45" s="246">
        <v>1000</v>
      </c>
    </row>
    <row r="46" spans="2:20">
      <c r="C46" s="266" t="s">
        <v>48</v>
      </c>
      <c r="D46" s="268">
        <v>31016.131410000002</v>
      </c>
      <c r="E46" s="288">
        <v>28069.628779999999</v>
      </c>
      <c r="F46" s="268">
        <v>32393.365650000003</v>
      </c>
      <c r="G46" s="268">
        <v>29609.62185</v>
      </c>
      <c r="H46" s="268">
        <v>29869.181109999994</v>
      </c>
      <c r="I46" s="268">
        <v>29257.566780000001</v>
      </c>
      <c r="J46" s="268">
        <v>29854.745870000002</v>
      </c>
      <c r="K46" s="268">
        <v>29754.319379999997</v>
      </c>
      <c r="L46" s="268">
        <v>29201.738249999995</v>
      </c>
      <c r="M46" s="268">
        <v>29863.032899999998</v>
      </c>
      <c r="N46" s="289">
        <v>29256.472330000001</v>
      </c>
      <c r="O46" s="268">
        <v>30441.006149999997</v>
      </c>
      <c r="P46" s="268">
        <f t="shared" si="7"/>
        <v>358586.81046000001</v>
      </c>
      <c r="Q46" s="277"/>
      <c r="R46" s="246"/>
    </row>
    <row r="47" spans="2:20">
      <c r="C47" s="266" t="s">
        <v>50</v>
      </c>
      <c r="D47" s="268">
        <v>1236.44805</v>
      </c>
      <c r="E47" s="288">
        <v>1117.42821</v>
      </c>
      <c r="F47" s="268">
        <v>1248.6028499999998</v>
      </c>
      <c r="G47" s="268">
        <v>1162.40148</v>
      </c>
      <c r="H47" s="268">
        <v>1173.07293</v>
      </c>
      <c r="I47" s="268">
        <v>1121.37049</v>
      </c>
      <c r="J47" s="268">
        <v>1155.6085199999998</v>
      </c>
      <c r="K47" s="268">
        <v>1150.0756500000002</v>
      </c>
      <c r="L47" s="268">
        <v>1139.3790800000002</v>
      </c>
      <c r="M47" s="268">
        <v>1185.73677</v>
      </c>
      <c r="N47" s="289">
        <v>1172.4338</v>
      </c>
      <c r="O47" s="268">
        <v>1256.10211</v>
      </c>
      <c r="P47" s="268">
        <f t="shared" si="7"/>
        <v>14118.659940000001</v>
      </c>
      <c r="Q47" s="277"/>
      <c r="R47" s="246"/>
    </row>
    <row r="48" spans="2:20">
      <c r="C48" s="266" t="s">
        <v>51</v>
      </c>
      <c r="D48" s="268">
        <v>882.72280000000001</v>
      </c>
      <c r="E48" s="288">
        <v>786.7737699999999</v>
      </c>
      <c r="F48" s="268">
        <v>890.96055999999999</v>
      </c>
      <c r="G48" s="268">
        <v>864.13310000000013</v>
      </c>
      <c r="H48" s="303">
        <v>918.35962999999992</v>
      </c>
      <c r="I48" s="268">
        <v>929.15510000000006</v>
      </c>
      <c r="J48" s="268">
        <v>975.91939000000002</v>
      </c>
      <c r="K48" s="268">
        <v>1013.1736000000001</v>
      </c>
      <c r="L48" s="268">
        <v>1021.3749800000001</v>
      </c>
      <c r="M48" s="303">
        <v>1039.2169099999999</v>
      </c>
      <c r="N48" s="289">
        <v>986.56173000000001</v>
      </c>
      <c r="O48" s="268">
        <v>976.19825000000003</v>
      </c>
      <c r="P48" s="268">
        <f t="shared" si="7"/>
        <v>11284.549819999998</v>
      </c>
      <c r="Q48" s="277"/>
      <c r="R48" s="246"/>
    </row>
    <row r="49" spans="3:18">
      <c r="C49" s="266" t="s">
        <v>52</v>
      </c>
      <c r="D49" s="268">
        <v>759.92550000000006</v>
      </c>
      <c r="E49" s="288">
        <v>697.56756000000007</v>
      </c>
      <c r="F49" s="268">
        <v>823.36295999999993</v>
      </c>
      <c r="G49" s="268">
        <v>791.75203999999997</v>
      </c>
      <c r="H49" s="268">
        <v>840.35552000000007</v>
      </c>
      <c r="I49" s="268">
        <v>858.32623000000001</v>
      </c>
      <c r="J49" s="303">
        <v>896.19375999999988</v>
      </c>
      <c r="K49" s="268">
        <v>870.34384999999997</v>
      </c>
      <c r="L49" s="268">
        <v>879.92854</v>
      </c>
      <c r="M49" s="268">
        <v>898.54853999999989</v>
      </c>
      <c r="N49" s="289">
        <v>845.41408000000001</v>
      </c>
      <c r="O49" s="268">
        <v>882.84753000000001</v>
      </c>
      <c r="P49" s="268">
        <f t="shared" si="7"/>
        <v>10044.56611</v>
      </c>
      <c r="Q49" s="277"/>
      <c r="R49" s="246"/>
    </row>
    <row r="50" spans="3:18">
      <c r="C50" s="266" t="s">
        <v>90</v>
      </c>
      <c r="D50" s="268">
        <v>1419.0863700000002</v>
      </c>
      <c r="E50" s="288">
        <v>1271.60733</v>
      </c>
      <c r="F50" s="268">
        <v>1423.2257500000001</v>
      </c>
      <c r="G50" s="268">
        <v>1360.92073</v>
      </c>
      <c r="H50" s="268">
        <v>1407.4233999999999</v>
      </c>
      <c r="I50" s="268">
        <v>1370.1912199999999</v>
      </c>
      <c r="J50" s="268">
        <v>1400.3636100000003</v>
      </c>
      <c r="K50" s="268">
        <v>1403.0489599999999</v>
      </c>
      <c r="L50" s="303">
        <v>1372.24011</v>
      </c>
      <c r="M50" s="268">
        <v>1396.4090199999998</v>
      </c>
      <c r="N50" s="289">
        <v>1327.8620899999999</v>
      </c>
      <c r="O50" s="268">
        <v>1453.45298</v>
      </c>
      <c r="P50" s="268">
        <f t="shared" si="7"/>
        <v>16605.831570000002</v>
      </c>
      <c r="Q50" s="277"/>
      <c r="R50" s="246"/>
    </row>
    <row r="51" spans="3:18">
      <c r="C51" s="266" t="s">
        <v>53</v>
      </c>
      <c r="D51" s="268">
        <v>2209.4275899999998</v>
      </c>
      <c r="E51" s="288">
        <v>2185.7337799999996</v>
      </c>
      <c r="F51" s="304">
        <v>1889.3387600000003</v>
      </c>
      <c r="G51" s="268">
        <v>1927.5793499999997</v>
      </c>
      <c r="H51" s="268">
        <v>1839.31296</v>
      </c>
      <c r="I51" s="268">
        <v>1415.84719</v>
      </c>
      <c r="J51" s="268">
        <v>1643.2194399999998</v>
      </c>
      <c r="K51" s="268">
        <v>1896.9163400000002</v>
      </c>
      <c r="L51" s="268">
        <v>1886.49622</v>
      </c>
      <c r="M51" s="324">
        <v>1593.4900000000002</v>
      </c>
      <c r="N51" s="289">
        <v>1788.0503299999998</v>
      </c>
      <c r="O51" s="268">
        <v>1941.3447900000001</v>
      </c>
      <c r="P51" s="268">
        <f t="shared" si="7"/>
        <v>22216.75675</v>
      </c>
      <c r="Q51" s="277"/>
      <c r="R51" s="246"/>
    </row>
    <row r="52" spans="3:18">
      <c r="C52" s="266" t="s">
        <v>54</v>
      </c>
      <c r="D52" s="268">
        <v>56.026089999999996</v>
      </c>
      <c r="E52" s="288">
        <v>51.247970000000002</v>
      </c>
      <c r="F52" s="268">
        <v>60.358239999999995</v>
      </c>
      <c r="G52" s="268">
        <v>57.757779999999997</v>
      </c>
      <c r="H52" s="268">
        <v>57.748669999999997</v>
      </c>
      <c r="I52" s="268">
        <v>58.451560000000001</v>
      </c>
      <c r="J52" s="268">
        <v>60.247009999999996</v>
      </c>
      <c r="K52" s="268">
        <v>59.553470000000004</v>
      </c>
      <c r="L52" s="268">
        <v>56.180820000000004</v>
      </c>
      <c r="M52" s="268">
        <v>57.764650000000003</v>
      </c>
      <c r="N52" s="289">
        <v>55.126930000000002</v>
      </c>
      <c r="O52" s="268">
        <v>56.463549999999998</v>
      </c>
      <c r="P52" s="268">
        <f t="shared" si="7"/>
        <v>686.92673999999988</v>
      </c>
      <c r="Q52" s="277"/>
      <c r="R52" s="246"/>
    </row>
    <row r="53" spans="3:18">
      <c r="C53" s="290" t="s">
        <v>93</v>
      </c>
      <c r="D53" s="268">
        <v>9176.2663799999991</v>
      </c>
      <c r="E53" s="268">
        <v>6586.5278699999999</v>
      </c>
      <c r="F53" s="268">
        <v>6120.1563799999994</v>
      </c>
      <c r="G53" s="268">
        <v>6054.3344299999999</v>
      </c>
      <c r="H53" s="268">
        <v>5354.6703600000001</v>
      </c>
      <c r="I53" s="268">
        <v>4442.6854999999996</v>
      </c>
      <c r="J53" s="268">
        <v>4978.6818400000002</v>
      </c>
      <c r="K53" s="268">
        <v>5934.2664000000004</v>
      </c>
      <c r="L53" s="268">
        <v>7586.5682099999995</v>
      </c>
      <c r="M53" s="268">
        <v>9424.6581400000014</v>
      </c>
      <c r="N53" s="289">
        <v>10075.046400000001</v>
      </c>
      <c r="O53" s="268">
        <v>10418.29255</v>
      </c>
      <c r="P53" s="268">
        <f>SUM(D53:O53)</f>
        <v>86152.154460000005</v>
      </c>
      <c r="Q53" s="277"/>
      <c r="R53" s="246"/>
    </row>
    <row r="54" spans="3:18">
      <c r="C54" s="281" t="s">
        <v>43</v>
      </c>
      <c r="D54" s="282">
        <f t="shared" ref="D54:J54" si="16">+SUM(D55:D64)</f>
        <v>4916.2612800000006</v>
      </c>
      <c r="E54" s="282">
        <f t="shared" si="16"/>
        <v>4691.4847600000012</v>
      </c>
      <c r="F54" s="282">
        <f t="shared" si="16"/>
        <v>5416.8898300000001</v>
      </c>
      <c r="G54" s="282">
        <f t="shared" si="16"/>
        <v>5087.7311899999995</v>
      </c>
      <c r="H54" s="282">
        <f t="shared" si="16"/>
        <v>5337.5985899999996</v>
      </c>
      <c r="I54" s="282">
        <f t="shared" si="16"/>
        <v>5189.2527599999994</v>
      </c>
      <c r="J54" s="282">
        <f t="shared" si="16"/>
        <v>5176.417559999999</v>
      </c>
      <c r="K54" s="282">
        <f>+SUM(K55:K64)</f>
        <v>5162.1705300000003</v>
      </c>
      <c r="L54" s="282">
        <f>+SUM(L55:L64)</f>
        <v>5067.8726099999994</v>
      </c>
      <c r="M54" s="282">
        <f>+SUM(M55:M64)</f>
        <v>4977.6260499999999</v>
      </c>
      <c r="N54" s="282">
        <f>+SUM(N55:N65)</f>
        <v>4896.0911399999995</v>
      </c>
      <c r="O54" s="282">
        <f>+SUM(O55:O65)</f>
        <v>4864.9090100000003</v>
      </c>
      <c r="P54" s="282">
        <f>+SUM(P55:P65)</f>
        <v>60784.305309999996</v>
      </c>
      <c r="Q54" s="277"/>
      <c r="R54" s="246"/>
    </row>
    <row r="55" spans="3:18">
      <c r="C55" s="290" t="s">
        <v>56</v>
      </c>
      <c r="D55" s="268">
        <v>1100.73731</v>
      </c>
      <c r="E55" s="268">
        <v>1106.06708</v>
      </c>
      <c r="F55" s="268">
        <v>1222.9028800000001</v>
      </c>
      <c r="G55" s="268">
        <v>1158.19487</v>
      </c>
      <c r="H55" s="268">
        <v>1146.9241099999999</v>
      </c>
      <c r="I55" s="268">
        <v>893.24268999999993</v>
      </c>
      <c r="J55" s="268">
        <v>876.60816</v>
      </c>
      <c r="K55" s="268">
        <v>994.69029999999998</v>
      </c>
      <c r="L55" s="268">
        <v>924.3421699999999</v>
      </c>
      <c r="M55" s="268">
        <v>870.91852000000006</v>
      </c>
      <c r="N55" s="268">
        <v>880.0265599999999</v>
      </c>
      <c r="O55" s="268">
        <v>805.24576000000002</v>
      </c>
      <c r="P55" s="268">
        <f t="shared" si="7"/>
        <v>11979.900409999998</v>
      </c>
      <c r="Q55" s="277"/>
      <c r="R55" s="246"/>
    </row>
    <row r="56" spans="3:18">
      <c r="C56" s="290" t="s">
        <v>59</v>
      </c>
      <c r="D56" s="268">
        <v>1115.2247500000001</v>
      </c>
      <c r="E56" s="268">
        <v>1127.8515899999998</v>
      </c>
      <c r="F56" s="268">
        <v>1390.4486099999999</v>
      </c>
      <c r="G56" s="268">
        <v>1292.7852399999997</v>
      </c>
      <c r="H56" s="268">
        <v>1407.5760799999998</v>
      </c>
      <c r="I56" s="268">
        <v>1469.6871099999998</v>
      </c>
      <c r="J56" s="268">
        <v>1423.1244300000001</v>
      </c>
      <c r="K56" s="268">
        <v>1331.6703200000002</v>
      </c>
      <c r="L56" s="268">
        <v>1397.9092700000001</v>
      </c>
      <c r="M56" s="268">
        <v>1319.0775599999999</v>
      </c>
      <c r="N56" s="268">
        <v>1197.6429800000001</v>
      </c>
      <c r="O56" s="268">
        <v>1157.9522400000001</v>
      </c>
      <c r="P56" s="268">
        <f t="shared" si="7"/>
        <v>15630.95018</v>
      </c>
      <c r="Q56" s="277"/>
      <c r="R56" s="246"/>
    </row>
    <row r="57" spans="3:18">
      <c r="C57" s="290" t="s">
        <v>94</v>
      </c>
      <c r="D57" s="268">
        <v>207.99198999999999</v>
      </c>
      <c r="E57" s="268">
        <v>220.43746000000002</v>
      </c>
      <c r="F57" s="268">
        <v>313.38253000000003</v>
      </c>
      <c r="G57" s="268">
        <v>307.42023</v>
      </c>
      <c r="H57" s="268">
        <v>341.13598999999999</v>
      </c>
      <c r="I57" s="268">
        <v>348.90965999999997</v>
      </c>
      <c r="J57" s="268">
        <v>362.39371</v>
      </c>
      <c r="K57" s="268">
        <v>346.32562000000001</v>
      </c>
      <c r="L57" s="268">
        <v>327.87546999999995</v>
      </c>
      <c r="M57" s="268">
        <v>305.57182</v>
      </c>
      <c r="N57" s="268">
        <v>306.45332000000002</v>
      </c>
      <c r="O57" s="268">
        <v>308.43416000000002</v>
      </c>
      <c r="P57" s="268">
        <f t="shared" si="7"/>
        <v>3696.3319600000004</v>
      </c>
      <c r="Q57" s="277"/>
      <c r="R57" s="246"/>
    </row>
    <row r="58" spans="3:18">
      <c r="C58" s="290" t="s">
        <v>95</v>
      </c>
      <c r="D58" s="268">
        <v>880.73917000000017</v>
      </c>
      <c r="E58" s="268">
        <v>880.66830000000004</v>
      </c>
      <c r="F58" s="268">
        <v>957.61934999999994</v>
      </c>
      <c r="G58" s="268">
        <v>918.99825999999996</v>
      </c>
      <c r="H58" s="268">
        <v>963.60315999999989</v>
      </c>
      <c r="I58" s="268">
        <v>969.33173999999997</v>
      </c>
      <c r="J58" s="268">
        <v>951.12009</v>
      </c>
      <c r="K58" s="268">
        <v>931.31520000000012</v>
      </c>
      <c r="L58" s="268">
        <v>956.40115000000014</v>
      </c>
      <c r="M58" s="268">
        <v>1003.18624</v>
      </c>
      <c r="N58" s="268">
        <v>989.30381000000011</v>
      </c>
      <c r="O58" s="268">
        <v>974.67380000000003</v>
      </c>
      <c r="P58" s="268">
        <f t="shared" si="7"/>
        <v>11376.960270000001</v>
      </c>
      <c r="Q58" s="277"/>
      <c r="R58" s="246"/>
    </row>
    <row r="59" spans="3:18">
      <c r="C59" s="290" t="s">
        <v>96</v>
      </c>
      <c r="D59" s="268">
        <v>138.93511999999998</v>
      </c>
      <c r="E59" s="268">
        <v>131.48661999999999</v>
      </c>
      <c r="F59" s="268">
        <v>142.05346</v>
      </c>
      <c r="G59" s="268">
        <v>130.80500000000001</v>
      </c>
      <c r="H59" s="268">
        <v>166.73286000000002</v>
      </c>
      <c r="I59" s="268">
        <v>160.67279000000002</v>
      </c>
      <c r="J59" s="268">
        <v>160.44413</v>
      </c>
      <c r="K59" s="268">
        <v>161.87913999999998</v>
      </c>
      <c r="L59" s="268">
        <v>166.50742</v>
      </c>
      <c r="M59" s="268">
        <v>159.15458999999998</v>
      </c>
      <c r="N59" s="268">
        <v>176.48505</v>
      </c>
      <c r="O59" s="268">
        <v>143.52892</v>
      </c>
      <c r="P59" s="268">
        <f t="shared" si="7"/>
        <v>1838.6851000000001</v>
      </c>
      <c r="Q59" s="277"/>
      <c r="R59" s="246"/>
    </row>
    <row r="60" spans="3:18">
      <c r="C60" s="290" t="s">
        <v>97</v>
      </c>
      <c r="D60" s="268">
        <v>421.62270999999998</v>
      </c>
      <c r="E60" s="268">
        <v>262.32990000000001</v>
      </c>
      <c r="F60" s="268">
        <v>326.39299</v>
      </c>
      <c r="G60" s="268">
        <v>235.18348999999998</v>
      </c>
      <c r="H60" s="268">
        <v>208.52376000000001</v>
      </c>
      <c r="I60" s="268">
        <v>223.10753</v>
      </c>
      <c r="J60" s="268">
        <v>261.58352000000002</v>
      </c>
      <c r="K60" s="268">
        <v>277.7724</v>
      </c>
      <c r="L60" s="268">
        <v>210.65786000000003</v>
      </c>
      <c r="M60" s="268">
        <v>164.27636999999999</v>
      </c>
      <c r="N60" s="268">
        <v>255.00623999999999</v>
      </c>
      <c r="O60" s="268">
        <v>357.94067999999999</v>
      </c>
      <c r="P60" s="268">
        <f t="shared" si="7"/>
        <v>3204.3974499999999</v>
      </c>
      <c r="Q60" s="277"/>
      <c r="R60" s="246"/>
    </row>
    <row r="61" spans="3:18">
      <c r="C61" s="290" t="s">
        <v>100</v>
      </c>
      <c r="D61" s="268">
        <v>945.84474000000012</v>
      </c>
      <c r="E61" s="268">
        <v>862.38749000000007</v>
      </c>
      <c r="F61" s="268">
        <v>958.80193000000008</v>
      </c>
      <c r="G61" s="268">
        <v>945.99560999999983</v>
      </c>
      <c r="H61" s="268">
        <v>981.36973999999998</v>
      </c>
      <c r="I61" s="268">
        <v>954.3349300000001</v>
      </c>
      <c r="J61" s="268">
        <v>976.72669999999994</v>
      </c>
      <c r="K61" s="268">
        <v>965.74416999999994</v>
      </c>
      <c r="L61" s="268">
        <v>915.63212999999996</v>
      </c>
      <c r="M61" s="268">
        <v>953.06114000000002</v>
      </c>
      <c r="N61" s="268">
        <v>899.45828000000006</v>
      </c>
      <c r="O61" s="268">
        <v>942.75304000000006</v>
      </c>
      <c r="P61" s="268">
        <f t="shared" si="7"/>
        <v>11302.109899999999</v>
      </c>
      <c r="Q61" s="277"/>
      <c r="R61" s="246"/>
    </row>
    <row r="62" spans="3:18">
      <c r="C62" s="307" t="s">
        <v>101</v>
      </c>
      <c r="D62" s="268">
        <v>105.16549000000001</v>
      </c>
      <c r="E62" s="268">
        <v>100.25632</v>
      </c>
      <c r="F62" s="268">
        <v>105.28808000000001</v>
      </c>
      <c r="G62" s="268">
        <v>98.348489999999998</v>
      </c>
      <c r="H62" s="268">
        <v>121.73289</v>
      </c>
      <c r="I62" s="268">
        <v>114.31867</v>
      </c>
      <c r="J62" s="268">
        <v>106.73179</v>
      </c>
      <c r="K62" s="268">
        <v>63.777869999999993</v>
      </c>
      <c r="L62" s="268">
        <v>80.54070999999999</v>
      </c>
      <c r="M62" s="268">
        <v>98.694450000000003</v>
      </c>
      <c r="N62" s="268">
        <v>39.275030000000008</v>
      </c>
      <c r="O62" s="268">
        <v>11.764280000000001</v>
      </c>
      <c r="P62" s="306">
        <f t="shared" si="7"/>
        <v>1045.8940700000001</v>
      </c>
      <c r="Q62" s="277"/>
      <c r="R62" s="246"/>
    </row>
    <row r="63" spans="3:18">
      <c r="C63" s="307" t="s">
        <v>107</v>
      </c>
      <c r="D63" s="268">
        <v>0</v>
      </c>
      <c r="E63" s="268">
        <v>0</v>
      </c>
      <c r="F63" s="268">
        <v>0</v>
      </c>
      <c r="G63" s="268">
        <v>0</v>
      </c>
      <c r="H63" s="268">
        <v>0</v>
      </c>
      <c r="I63" s="268">
        <v>55.647640000000003</v>
      </c>
      <c r="J63" s="268">
        <v>50.576730000000005</v>
      </c>
      <c r="K63" s="268">
        <v>62.933899999999994</v>
      </c>
      <c r="L63" s="268">
        <v>65.127859999999998</v>
      </c>
      <c r="M63" s="268">
        <v>79.008440000000007</v>
      </c>
      <c r="N63" s="268">
        <v>98.14312000000001</v>
      </c>
      <c r="O63" s="268">
        <v>106.32275</v>
      </c>
      <c r="P63" s="306">
        <f t="shared" si="7"/>
        <v>517.76044000000002</v>
      </c>
      <c r="Q63" s="277"/>
      <c r="R63" s="246"/>
    </row>
    <row r="64" spans="3:18">
      <c r="C64" s="307" t="s">
        <v>108</v>
      </c>
      <c r="D64" s="268">
        <v>0</v>
      </c>
      <c r="E64" s="268">
        <v>0</v>
      </c>
      <c r="F64" s="268">
        <v>0</v>
      </c>
      <c r="G64" s="268">
        <v>0</v>
      </c>
      <c r="H64" s="268">
        <v>0</v>
      </c>
      <c r="I64" s="268">
        <v>0</v>
      </c>
      <c r="J64" s="268">
        <v>7.1082999999999998</v>
      </c>
      <c r="K64" s="268">
        <v>26.061610000000002</v>
      </c>
      <c r="L64" s="268">
        <v>22.87857</v>
      </c>
      <c r="M64" s="268">
        <v>24.676919999999999</v>
      </c>
      <c r="N64" s="268">
        <v>24.6051</v>
      </c>
      <c r="O64" s="268">
        <v>25.425419999999999</v>
      </c>
      <c r="P64" s="306">
        <f>SUM(D64:O64)</f>
        <v>130.75592</v>
      </c>
      <c r="Q64" s="277"/>
      <c r="R64" s="246"/>
    </row>
    <row r="65" spans="1:256" ht="12" thickBot="1">
      <c r="C65" s="308" t="s">
        <v>111</v>
      </c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>
        <v>29.691650000000003</v>
      </c>
      <c r="O65" s="292">
        <v>30.86796</v>
      </c>
      <c r="P65" s="309">
        <f>SUM(D65:O65)</f>
        <v>60.559610000000006</v>
      </c>
      <c r="Q65" s="277"/>
      <c r="R65" s="246"/>
    </row>
    <row r="66" spans="1:256" ht="12" thickTop="1">
      <c r="D66" s="293">
        <f t="shared" ref="D66:O66" si="17">+D34/D28</f>
        <v>3.3770407262105236E-3</v>
      </c>
      <c r="E66" s="293">
        <f t="shared" si="17"/>
        <v>3.8567735036611223E-3</v>
      </c>
      <c r="F66" s="293">
        <f t="shared" si="17"/>
        <v>4.0906280605591148E-3</v>
      </c>
      <c r="G66" s="293">
        <f t="shared" si="17"/>
        <v>2.9776591548703111E-3</v>
      </c>
      <c r="H66" s="293">
        <f t="shared" si="17"/>
        <v>4.838364562879385E-3</v>
      </c>
      <c r="I66" s="293">
        <f t="shared" si="17"/>
        <v>4.9557148218060372E-3</v>
      </c>
      <c r="J66" s="293">
        <f t="shared" si="17"/>
        <v>4.8017069847686496E-3</v>
      </c>
      <c r="K66" s="293">
        <f t="shared" si="17"/>
        <v>4.1641859046414294E-3</v>
      </c>
      <c r="L66" s="293">
        <f t="shared" si="17"/>
        <v>4.107027630694403E-3</v>
      </c>
      <c r="M66" s="293">
        <f t="shared" si="17"/>
        <v>3.8973897422984226E-3</v>
      </c>
      <c r="N66" s="293">
        <f t="shared" si="17"/>
        <v>4.1535243262750448E-3</v>
      </c>
      <c r="O66" s="293">
        <f t="shared" si="17"/>
        <v>4.1170039412346112E-3</v>
      </c>
      <c r="R66" s="246"/>
    </row>
    <row r="67" spans="1:256">
      <c r="D67" s="294"/>
      <c r="E67" s="295"/>
      <c r="F67" s="294"/>
      <c r="G67" s="294"/>
      <c r="H67" s="294"/>
      <c r="L67" s="246"/>
      <c r="M67" s="246"/>
      <c r="R67" s="277"/>
    </row>
    <row r="68" spans="1:256">
      <c r="C68" s="221" t="s">
        <v>92</v>
      </c>
      <c r="D68" s="294"/>
      <c r="E68" s="295"/>
      <c r="F68" s="294"/>
      <c r="G68" s="294"/>
      <c r="H68" s="294"/>
      <c r="K68" s="221">
        <v>1000</v>
      </c>
      <c r="L68" s="246"/>
      <c r="M68" s="246"/>
      <c r="R68" s="277"/>
    </row>
    <row r="69" spans="1:256" s="231" customFormat="1">
      <c r="A69" s="221"/>
      <c r="B69" s="221"/>
      <c r="C69" s="221"/>
      <c r="D69" s="106">
        <f t="shared" ref="D69:O69" si="18">D40-D41</f>
        <v>63470.785170000003</v>
      </c>
      <c r="E69" s="106">
        <f t="shared" si="18"/>
        <v>56171.770970000012</v>
      </c>
      <c r="F69" s="106">
        <f t="shared" si="18"/>
        <v>62565.857420000008</v>
      </c>
      <c r="G69" s="106">
        <f t="shared" si="18"/>
        <v>58250.922309999994</v>
      </c>
      <c r="H69" s="106">
        <f t="shared" si="18"/>
        <v>58242.854119999989</v>
      </c>
      <c r="I69" s="106">
        <f t="shared" si="18"/>
        <v>55760.474980000006</v>
      </c>
      <c r="J69" s="106">
        <f t="shared" si="18"/>
        <v>57389.99641</v>
      </c>
      <c r="K69" s="106">
        <f t="shared" si="18"/>
        <v>58464.885000000002</v>
      </c>
      <c r="L69" s="106">
        <f t="shared" si="18"/>
        <v>59191.705910000004</v>
      </c>
      <c r="M69" s="106">
        <f t="shared" si="18"/>
        <v>61747.000660000012</v>
      </c>
      <c r="N69" s="106">
        <f t="shared" si="18"/>
        <v>61593.698260000005</v>
      </c>
      <c r="O69" s="106">
        <f t="shared" si="18"/>
        <v>63934.924950000008</v>
      </c>
    </row>
    <row r="70" spans="1:256"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  <c r="BW70" s="231"/>
      <c r="BX70" s="231"/>
      <c r="BY70" s="231"/>
      <c r="BZ70" s="231"/>
      <c r="CA70" s="231"/>
      <c r="CB70" s="231"/>
      <c r="CC70" s="231"/>
      <c r="CD70" s="231"/>
      <c r="CE70" s="231"/>
      <c r="CF70" s="231"/>
      <c r="CG70" s="231"/>
      <c r="CH70" s="231"/>
      <c r="CI70" s="231"/>
      <c r="CJ70" s="231"/>
      <c r="CK70" s="231"/>
      <c r="CL70" s="231"/>
      <c r="CM70" s="231"/>
      <c r="CN70" s="231"/>
      <c r="CO70" s="231"/>
      <c r="CP70" s="231"/>
      <c r="CQ70" s="231"/>
      <c r="CR70" s="231"/>
      <c r="CS70" s="231"/>
      <c r="CT70" s="231"/>
      <c r="CU70" s="231"/>
      <c r="CV70" s="231"/>
      <c r="CW70" s="231"/>
      <c r="CX70" s="231"/>
      <c r="CY70" s="231"/>
      <c r="CZ70" s="231"/>
      <c r="DA70" s="231"/>
      <c r="DB70" s="231"/>
      <c r="DC70" s="231"/>
      <c r="DD70" s="231"/>
      <c r="DE70" s="231"/>
      <c r="DF70" s="231"/>
      <c r="DG70" s="231"/>
      <c r="DH70" s="231"/>
      <c r="DI70" s="231"/>
      <c r="DJ70" s="231"/>
      <c r="DK70" s="231"/>
      <c r="DL70" s="231"/>
      <c r="DM70" s="231"/>
      <c r="DN70" s="231"/>
      <c r="DO70" s="231"/>
      <c r="DP70" s="231"/>
      <c r="DQ70" s="231"/>
      <c r="DR70" s="231"/>
      <c r="DS70" s="231"/>
      <c r="DT70" s="231"/>
      <c r="DU70" s="231"/>
      <c r="DV70" s="231"/>
      <c r="DW70" s="231"/>
      <c r="DX70" s="231"/>
      <c r="DY70" s="231"/>
      <c r="DZ70" s="231"/>
      <c r="EA70" s="231"/>
      <c r="EB70" s="231"/>
      <c r="EC70" s="231"/>
      <c r="ED70" s="231"/>
      <c r="EE70" s="231"/>
      <c r="EF70" s="231"/>
      <c r="EG70" s="231"/>
      <c r="EH70" s="231"/>
      <c r="EI70" s="231"/>
      <c r="EJ70" s="231"/>
      <c r="EK70" s="231"/>
      <c r="EL70" s="231"/>
      <c r="EM70" s="231"/>
      <c r="EN70" s="231"/>
      <c r="EO70" s="231"/>
      <c r="EP70" s="231"/>
      <c r="EQ70" s="231"/>
      <c r="ER70" s="231"/>
      <c r="ES70" s="231"/>
      <c r="ET70" s="231"/>
      <c r="EU70" s="231"/>
      <c r="EV70" s="231"/>
      <c r="EW70" s="231"/>
      <c r="EX70" s="231"/>
      <c r="EY70" s="231"/>
      <c r="EZ70" s="231"/>
      <c r="FA70" s="231"/>
      <c r="FB70" s="231"/>
      <c r="FC70" s="231"/>
      <c r="FD70" s="231"/>
      <c r="FE70" s="231"/>
      <c r="FF70" s="231"/>
      <c r="FG70" s="231"/>
      <c r="FH70" s="231"/>
      <c r="FI70" s="231"/>
      <c r="FJ70" s="231"/>
      <c r="FK70" s="231"/>
      <c r="FL70" s="231"/>
      <c r="FM70" s="231"/>
      <c r="FN70" s="231"/>
      <c r="FO70" s="231"/>
      <c r="FP70" s="231"/>
      <c r="FQ70" s="231"/>
      <c r="FR70" s="231"/>
      <c r="FS70" s="231"/>
      <c r="FT70" s="231"/>
      <c r="FU70" s="231"/>
      <c r="FV70" s="231"/>
      <c r="FW70" s="231"/>
      <c r="FX70" s="231"/>
      <c r="FY70" s="231"/>
      <c r="FZ70" s="231"/>
      <c r="GA70" s="231"/>
      <c r="GB70" s="231"/>
      <c r="GC70" s="231"/>
      <c r="GD70" s="231"/>
      <c r="GE70" s="231"/>
      <c r="GF70" s="231"/>
      <c r="GG70" s="231"/>
      <c r="GH70" s="231"/>
      <c r="GI70" s="231"/>
      <c r="GJ70" s="231"/>
      <c r="GK70" s="231"/>
      <c r="GL70" s="231"/>
      <c r="GM70" s="231"/>
      <c r="GN70" s="231"/>
      <c r="GO70" s="231"/>
      <c r="GP70" s="231"/>
      <c r="GQ70" s="231"/>
      <c r="GR70" s="231"/>
      <c r="GS70" s="231"/>
      <c r="GT70" s="231"/>
      <c r="GU70" s="231"/>
      <c r="GV70" s="231"/>
      <c r="GW70" s="231"/>
      <c r="GX70" s="231"/>
      <c r="GY70" s="231"/>
      <c r="GZ70" s="231"/>
      <c r="HA70" s="231"/>
      <c r="HB70" s="231"/>
      <c r="HC70" s="231"/>
      <c r="HD70" s="231"/>
      <c r="HE70" s="231"/>
      <c r="HF70" s="231"/>
      <c r="HG70" s="231"/>
      <c r="HH70" s="231"/>
      <c r="HI70" s="231"/>
      <c r="HJ70" s="231"/>
      <c r="HK70" s="231"/>
      <c r="HL70" s="231"/>
      <c r="HM70" s="231"/>
      <c r="HN70" s="231"/>
      <c r="HO70" s="231"/>
      <c r="HP70" s="231"/>
      <c r="HQ70" s="231"/>
      <c r="HR70" s="231"/>
      <c r="HS70" s="231"/>
      <c r="HT70" s="231"/>
      <c r="HU70" s="231"/>
      <c r="HV70" s="231"/>
      <c r="HW70" s="231"/>
      <c r="HX70" s="231"/>
      <c r="HY70" s="231"/>
      <c r="HZ70" s="231"/>
      <c r="IA70" s="231"/>
      <c r="IB70" s="231"/>
      <c r="IC70" s="231"/>
      <c r="ID70" s="231"/>
      <c r="IE70" s="231"/>
      <c r="IF70" s="231"/>
      <c r="IG70" s="231"/>
      <c r="IH70" s="231"/>
      <c r="II70" s="231"/>
      <c r="IJ70" s="231"/>
      <c r="IK70" s="231"/>
      <c r="IL70" s="231"/>
      <c r="IM70" s="231"/>
      <c r="IN70" s="231"/>
      <c r="IO70" s="231"/>
      <c r="IP70" s="231"/>
      <c r="IQ70" s="231"/>
      <c r="IR70" s="231"/>
      <c r="IS70" s="231"/>
      <c r="IT70" s="231"/>
      <c r="IU70" s="231"/>
      <c r="IV70" s="231"/>
    </row>
    <row r="71" spans="1:256">
      <c r="B71" s="221">
        <v>5222.8077499999999</v>
      </c>
      <c r="D71" s="297">
        <f t="shared" ref="D71:O71" si="19">+D39-D40</f>
        <v>0</v>
      </c>
      <c r="E71" s="297">
        <f t="shared" si="19"/>
        <v>0</v>
      </c>
      <c r="F71" s="297">
        <f t="shared" si="19"/>
        <v>0</v>
      </c>
      <c r="G71" s="297">
        <f t="shared" si="19"/>
        <v>0</v>
      </c>
      <c r="H71" s="297">
        <f t="shared" si="19"/>
        <v>0</v>
      </c>
      <c r="I71" s="297">
        <f t="shared" si="19"/>
        <v>0</v>
      </c>
      <c r="J71" s="297">
        <f t="shared" si="19"/>
        <v>0</v>
      </c>
      <c r="K71" s="297">
        <f t="shared" si="19"/>
        <v>0</v>
      </c>
      <c r="L71" s="297">
        <f t="shared" si="19"/>
        <v>0</v>
      </c>
      <c r="M71" s="297">
        <f t="shared" si="19"/>
        <v>0</v>
      </c>
      <c r="N71" s="297">
        <f t="shared" si="19"/>
        <v>0</v>
      </c>
      <c r="O71" s="297">
        <f t="shared" si="19"/>
        <v>0</v>
      </c>
      <c r="P71" s="297"/>
      <c r="R71" s="298"/>
    </row>
    <row r="72" spans="1:256">
      <c r="B72" s="278">
        <f>+B71-H54</f>
        <v>-114.79083999999966</v>
      </c>
      <c r="C72" s="249"/>
      <c r="D72" s="297">
        <f t="shared" ref="D72:O72" si="20">+D71*0.4</f>
        <v>0</v>
      </c>
      <c r="E72" s="297">
        <f t="shared" si="20"/>
        <v>0</v>
      </c>
      <c r="F72" s="297">
        <f t="shared" si="20"/>
        <v>0</v>
      </c>
      <c r="G72" s="297">
        <f t="shared" si="20"/>
        <v>0</v>
      </c>
      <c r="H72" s="297">
        <f t="shared" si="20"/>
        <v>0</v>
      </c>
      <c r="I72" s="297">
        <f>+I71*0.4</f>
        <v>0</v>
      </c>
      <c r="J72" s="297">
        <f t="shared" si="20"/>
        <v>0</v>
      </c>
      <c r="K72" s="297">
        <f t="shared" si="20"/>
        <v>0</v>
      </c>
      <c r="L72" s="297">
        <f t="shared" si="20"/>
        <v>0</v>
      </c>
      <c r="M72" s="297">
        <f t="shared" si="20"/>
        <v>0</v>
      </c>
      <c r="N72" s="297">
        <f t="shared" si="20"/>
        <v>0</v>
      </c>
      <c r="O72" s="297">
        <f t="shared" si="20"/>
        <v>0</v>
      </c>
      <c r="P72" s="297"/>
    </row>
    <row r="73" spans="1:256">
      <c r="B73" s="278"/>
      <c r="C73" s="249"/>
      <c r="D73" s="297">
        <f t="shared" ref="D73:O73" si="21">+D71*0.6</f>
        <v>0</v>
      </c>
      <c r="E73" s="297">
        <f t="shared" si="21"/>
        <v>0</v>
      </c>
      <c r="F73" s="297">
        <f t="shared" si="21"/>
        <v>0</v>
      </c>
      <c r="G73" s="297">
        <f t="shared" si="21"/>
        <v>0</v>
      </c>
      <c r="H73" s="297">
        <f t="shared" si="21"/>
        <v>0</v>
      </c>
      <c r="I73" s="297">
        <f>+I71*0.6</f>
        <v>0</v>
      </c>
      <c r="J73" s="297">
        <f t="shared" si="21"/>
        <v>0</v>
      </c>
      <c r="K73" s="297">
        <f t="shared" si="21"/>
        <v>0</v>
      </c>
      <c r="L73" s="297">
        <f t="shared" si="21"/>
        <v>0</v>
      </c>
      <c r="M73" s="297">
        <f t="shared" si="21"/>
        <v>0</v>
      </c>
      <c r="N73" s="297">
        <f t="shared" si="21"/>
        <v>0</v>
      </c>
      <c r="O73" s="297">
        <f t="shared" si="21"/>
        <v>0</v>
      </c>
      <c r="P73" s="297"/>
    </row>
    <row r="74" spans="1:256"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7"/>
      <c r="P74" s="297"/>
    </row>
    <row r="75" spans="1:256">
      <c r="D75" s="300">
        <f t="shared" ref="D75:O75" si="22">D36/D27</f>
        <v>9.9026846896085874E-3</v>
      </c>
      <c r="E75" s="300">
        <f t="shared" si="22"/>
        <v>1.5172060122908265E-2</v>
      </c>
      <c r="F75" s="300">
        <f t="shared" si="22"/>
        <v>1.6064219009200513E-2</v>
      </c>
      <c r="G75" s="300">
        <f t="shared" si="22"/>
        <v>1.2107670668390027E-2</v>
      </c>
      <c r="H75" s="300">
        <f t="shared" si="22"/>
        <v>1.6179109647620826E-2</v>
      </c>
      <c r="I75" s="300">
        <f t="shared" si="22"/>
        <v>1.4754479391203154E-2</v>
      </c>
      <c r="J75" s="300">
        <f t="shared" si="22"/>
        <v>1.5000297079503507E-2</v>
      </c>
      <c r="K75" s="300">
        <f t="shared" si="22"/>
        <v>1.4326346826637641E-2</v>
      </c>
      <c r="L75" s="300">
        <f t="shared" si="22"/>
        <v>1.3490033719813605E-2</v>
      </c>
      <c r="M75" s="300">
        <f t="shared" si="22"/>
        <v>1.5797346991993869E-2</v>
      </c>
      <c r="N75" s="300">
        <f t="shared" si="22"/>
        <v>1.5154705825696729E-2</v>
      </c>
      <c r="O75" s="300">
        <f t="shared" si="22"/>
        <v>1.4299666890757377E-2</v>
      </c>
    </row>
    <row r="76" spans="1:256">
      <c r="C76" s="221">
        <v>1000</v>
      </c>
      <c r="D76" s="246"/>
      <c r="E76" s="246"/>
      <c r="F76" s="246"/>
      <c r="G76" s="246"/>
      <c r="H76" s="246"/>
      <c r="I76" s="246"/>
      <c r="J76" s="246"/>
      <c r="K76" s="301"/>
      <c r="L76" s="246"/>
      <c r="M76" s="246"/>
      <c r="N76" s="246"/>
      <c r="O76" s="246"/>
    </row>
    <row r="77" spans="1:256">
      <c r="D77" s="237"/>
      <c r="E77" s="237"/>
      <c r="F77" s="246"/>
      <c r="G77" s="237"/>
      <c r="H77" s="237"/>
      <c r="I77" s="237"/>
      <c r="J77" s="237"/>
      <c r="K77" s="237"/>
      <c r="L77" s="237"/>
      <c r="M77" s="237"/>
      <c r="N77" s="237"/>
      <c r="O77" s="237"/>
    </row>
    <row r="79" spans="1:256">
      <c r="D79" s="277">
        <f t="shared" ref="D79:N79" si="23">+D54+D44+D42</f>
        <v>102356.63826328787</v>
      </c>
      <c r="E79" s="277">
        <f t="shared" si="23"/>
        <v>76097.298401914013</v>
      </c>
      <c r="F79" s="277">
        <f t="shared" si="23"/>
        <v>75912.153648620442</v>
      </c>
      <c r="G79" s="277">
        <f t="shared" si="23"/>
        <v>106189.30795349729</v>
      </c>
      <c r="H79" s="277">
        <f t="shared" si="23"/>
        <v>70287.804716241575</v>
      </c>
      <c r="I79" s="277">
        <f t="shared" si="23"/>
        <v>68623.095863536</v>
      </c>
      <c r="J79" s="277">
        <f t="shared" si="23"/>
        <v>70776.817982748966</v>
      </c>
      <c r="K79" s="277">
        <f t="shared" si="23"/>
        <v>81316.194952879552</v>
      </c>
      <c r="L79" s="277">
        <f t="shared" si="23"/>
        <v>78410.723231010168</v>
      </c>
      <c r="M79" s="277">
        <f t="shared" si="23"/>
        <v>80414.911940375227</v>
      </c>
      <c r="N79" s="277">
        <f t="shared" si="23"/>
        <v>79173.578348025709</v>
      </c>
    </row>
    <row r="82" spans="2:16">
      <c r="B82" s="221">
        <v>0.37498031274609062</v>
      </c>
      <c r="D82" s="277">
        <f>+SUM(D45:D52)*$B82</f>
        <v>18515.874443956796</v>
      </c>
      <c r="E82" s="277">
        <f t="shared" ref="E82:N82" si="24">+SUM(E45:E52)*$B82</f>
        <v>16834.275542680614</v>
      </c>
      <c r="F82" s="277">
        <f t="shared" si="24"/>
        <v>19134.799586587014</v>
      </c>
      <c r="G82" s="277">
        <f t="shared" si="24"/>
        <v>17664.893814726962</v>
      </c>
      <c r="H82" s="277">
        <f t="shared" si="24"/>
        <v>17830.533298306218</v>
      </c>
      <c r="I82" s="277">
        <f t="shared" si="24"/>
        <v>17297.293125785127</v>
      </c>
      <c r="J82" s="277">
        <f t="shared" si="24"/>
        <v>17712.156453339183</v>
      </c>
      <c r="K82" s="277">
        <f t="shared" si="24"/>
        <v>17762.235471585551</v>
      </c>
      <c r="L82" s="277">
        <f t="shared" si="24"/>
        <v>17450.558217795922</v>
      </c>
      <c r="M82" s="277">
        <f t="shared" si="24"/>
        <v>17753.336588795588</v>
      </c>
      <c r="N82" s="277">
        <f t="shared" si="24"/>
        <v>17482.542399809201</v>
      </c>
      <c r="O82" s="277">
        <f>+N82*1.03333333333333</f>
        <v>18065.293813136177</v>
      </c>
      <c r="P82" s="277">
        <f>+SUM(D82:O82)</f>
        <v>213503.79275650435</v>
      </c>
    </row>
    <row r="83" spans="2:16">
      <c r="B83" s="221">
        <v>0.62501968725390933</v>
      </c>
      <c r="D83" s="277">
        <f>+SUM(D45:D52)*$B83</f>
        <v>30862.383066043196</v>
      </c>
      <c r="E83" s="277">
        <f t="shared" ref="E83:N83" si="25">+SUM(E45:E52)*$B83</f>
        <v>28059.482797319382</v>
      </c>
      <c r="F83" s="277">
        <f t="shared" si="25"/>
        <v>31894.011623412982</v>
      </c>
      <c r="G83" s="277">
        <f t="shared" si="25"/>
        <v>29443.962875273031</v>
      </c>
      <c r="H83" s="277">
        <f t="shared" si="25"/>
        <v>29720.051871693777</v>
      </c>
      <c r="I83" s="277">
        <f t="shared" si="25"/>
        <v>28831.243594214873</v>
      </c>
      <c r="J83" s="277">
        <f t="shared" si="25"/>
        <v>29522.740556660821</v>
      </c>
      <c r="K83" s="277">
        <f t="shared" si="25"/>
        <v>29606.212598414444</v>
      </c>
      <c r="L83" s="277">
        <f t="shared" si="25"/>
        <v>29086.706872204068</v>
      </c>
      <c r="M83" s="277">
        <f t="shared" si="25"/>
        <v>29591.379881204408</v>
      </c>
      <c r="N83" s="277">
        <f t="shared" si="25"/>
        <v>29140.0183201908</v>
      </c>
      <c r="O83" s="277">
        <f>+N83*1.03333333333333</f>
        <v>30111.352264197165</v>
      </c>
      <c r="P83" s="277">
        <f>+SUM(D83:O83)</f>
        <v>355869.54632082896</v>
      </c>
    </row>
  </sheetData>
  <printOptions horizontalCentered="1"/>
  <pageMargins left="0.39370078740157483" right="0.39370078740157483" top="1.3779527559055118" bottom="1" header="0" footer="0"/>
  <pageSetup paperSize="9" scale="72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BF1D-EDC0-4425-BBD4-0A9B358A290E}">
  <sheetPr codeName="Sheet13">
    <tabColor rgb="FFFFC000"/>
    <pageSetUpPr fitToPage="1"/>
  </sheetPr>
  <dimension ref="A1:IN82"/>
  <sheetViews>
    <sheetView view="pageBreakPreview" topLeftCell="A4" zoomScaleNormal="80" zoomScaleSheetLayoutView="100" workbookViewId="0">
      <selection activeCell="Q54" sqref="Q54"/>
    </sheetView>
  </sheetViews>
  <sheetFormatPr baseColWidth="10" defaultColWidth="9" defaultRowHeight="11.25"/>
  <cols>
    <col min="1" max="1" width="3" style="221" customWidth="1"/>
    <col min="2" max="2" width="4.140625" style="221" customWidth="1"/>
    <col min="3" max="3" width="26.85546875" style="221" bestFit="1" customWidth="1"/>
    <col min="4" max="4" width="10.7109375" style="221" customWidth="1"/>
    <col min="5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0.85546875" style="221" bestFit="1" customWidth="1"/>
    <col min="17" max="17" width="10.42578125" style="221" bestFit="1" customWidth="1"/>
    <col min="18" max="19" width="9.85546875" style="221" bestFit="1" customWidth="1"/>
    <col min="20" max="16384" width="9" style="221"/>
  </cols>
  <sheetData>
    <row r="1" spans="3:16" hidden="1"/>
    <row r="2" spans="3:16" hidden="1"/>
    <row r="3" spans="3:16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61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235">
        <f>+'2021'!D8</f>
        <v>1233.102616973877</v>
      </c>
      <c r="E8" s="235">
        <f>+'2021'!E8</f>
        <v>1097.8118066394329</v>
      </c>
      <c r="F8" s="236">
        <f>+'2021'!F8</f>
        <v>1179.0509203028678</v>
      </c>
      <c r="G8" s="236">
        <f>+'2021'!G8</f>
        <v>1184.7244219871425</v>
      </c>
      <c r="H8" s="236">
        <f>+'2021'!H8</f>
        <v>1252.9574702080413</v>
      </c>
      <c r="I8" s="236">
        <f>+'2021'!I8</f>
        <v>1180.0157286756269</v>
      </c>
      <c r="J8" s="236">
        <f>+'2021'!J8</f>
        <v>1210.7492569425535</v>
      </c>
      <c r="K8" s="237">
        <f>+'2021'!K8</f>
        <v>1211.6105867347717</v>
      </c>
      <c r="L8" s="236">
        <f>+'2021'!L8</f>
        <v>1182.234948726654</v>
      </c>
      <c r="M8" s="236">
        <f>+'2021'!M8</f>
        <v>1230.9181626663208</v>
      </c>
      <c r="N8" s="236">
        <f>+'2021'!N8</f>
        <v>1020.2672981666323</v>
      </c>
      <c r="O8" s="238">
        <f>+'2021'!O8</f>
        <v>1186.9236830627435</v>
      </c>
      <c r="P8" s="239">
        <f t="shared" ref="P8:P14" si="0">+SUM(D8:O8)</f>
        <v>14170.366901086665</v>
      </c>
    </row>
    <row r="9" spans="3:16">
      <c r="C9" s="234" t="s">
        <v>17</v>
      </c>
      <c r="D9" s="235">
        <f>+'2021'!D9</f>
        <v>419.48752566183731</v>
      </c>
      <c r="E9" s="235">
        <f>+'2021'!E9</f>
        <v>382.36457670211792</v>
      </c>
      <c r="F9" s="236">
        <f>+'2021'!F9</f>
        <v>416.14057712009503</v>
      </c>
      <c r="G9" s="236">
        <f>+'2021'!G9</f>
        <v>406.44832254552841</v>
      </c>
      <c r="H9" s="236">
        <f>+'2021'!H9</f>
        <v>422.59609326648712</v>
      </c>
      <c r="I9" s="236">
        <f>+'2021'!I9</f>
        <v>409.94979420614243</v>
      </c>
      <c r="J9" s="236">
        <f>+'2021'!J9</f>
        <v>424.82105837561375</v>
      </c>
      <c r="K9" s="237">
        <f>+'2021'!K9</f>
        <v>429.95356168890743</v>
      </c>
      <c r="L9" s="236">
        <f>+'2021'!L9</f>
        <v>413.35267374262213</v>
      </c>
      <c r="M9" s="236">
        <f>+'2021'!M9</f>
        <v>432.96923291563985</v>
      </c>
      <c r="N9" s="236">
        <f>+'2021'!N9</f>
        <v>417.33608965206145</v>
      </c>
      <c r="O9" s="238">
        <f>+'2021'!O9</f>
        <v>426.68924250000003</v>
      </c>
      <c r="P9" s="239">
        <f t="shared" si="0"/>
        <v>5002.1087483770525</v>
      </c>
    </row>
    <row r="10" spans="3:16">
      <c r="C10" s="234" t="s">
        <v>18</v>
      </c>
      <c r="D10" s="235">
        <f>+'2021'!D10</f>
        <v>3416.5507712834033</v>
      </c>
      <c r="E10" s="235">
        <f>+'2021'!E10</f>
        <v>3057.3522481908799</v>
      </c>
      <c r="F10" s="236">
        <f>+'2021'!F10</f>
        <v>3412.1624729585646</v>
      </c>
      <c r="G10" s="236">
        <f>+'2021'!G10</f>
        <v>3321.1458732638357</v>
      </c>
      <c r="H10" s="236">
        <f>+'2021'!H10</f>
        <v>3472.1454925231933</v>
      </c>
      <c r="I10" s="236">
        <f>+'2021'!I10</f>
        <v>3328.5985520229337</v>
      </c>
      <c r="J10" s="236">
        <f>+'2021'!J10</f>
        <v>3443.9152772979737</v>
      </c>
      <c r="K10" s="237">
        <f>+'2021'!K10</f>
        <v>3401.1505751572549</v>
      </c>
      <c r="L10" s="236">
        <f>+'2021'!L10</f>
        <v>3355.334414489746</v>
      </c>
      <c r="M10" s="236">
        <f>+'2021'!M10</f>
        <v>3430.0749387454985</v>
      </c>
      <c r="N10" s="236">
        <f>+'2021'!N10</f>
        <v>3331.0571288337705</v>
      </c>
      <c r="O10" s="238">
        <f>+'2021'!O10</f>
        <v>3436.2716599999994</v>
      </c>
      <c r="P10" s="239">
        <f t="shared" si="0"/>
        <v>40405.759404767043</v>
      </c>
    </row>
    <row r="11" spans="3:16">
      <c r="C11" s="234" t="s">
        <v>19</v>
      </c>
      <c r="D11" s="235">
        <f>+'2021'!D11</f>
        <v>11080.669155641377</v>
      </c>
      <c r="E11" s="235">
        <f>+'2021'!E11</f>
        <v>9244.1965181584965</v>
      </c>
      <c r="F11" s="236">
        <f>+'2021'!F11</f>
        <v>8516.1474925635648</v>
      </c>
      <c r="G11" s="236">
        <f>+'2021'!G11</f>
        <v>10519.902336172305</v>
      </c>
      <c r="H11" s="236">
        <f>+'2021'!H11</f>
        <v>8098.437588789795</v>
      </c>
      <c r="I11" s="236">
        <f>+'2021'!I11</f>
        <v>8454.8969809405844</v>
      </c>
      <c r="J11" s="236">
        <f>+'2021'!J11</f>
        <v>8718.5718635289868</v>
      </c>
      <c r="K11" s="237">
        <f>+'2021'!K11</f>
        <v>9912.0978316661112</v>
      </c>
      <c r="L11" s="236">
        <f>+'2021'!L11</f>
        <v>9600.511436954499</v>
      </c>
      <c r="M11" s="236">
        <f>+'2021'!M11</f>
        <v>10042.734091144875</v>
      </c>
      <c r="N11" s="236">
        <f>+'2021'!N11</f>
        <v>9709.3608699533615</v>
      </c>
      <c r="O11" s="238">
        <f>+'2021'!O11</f>
        <v>8460.9802225000039</v>
      </c>
      <c r="P11" s="239">
        <f t="shared" si="0"/>
        <v>112358.50638801396</v>
      </c>
    </row>
    <row r="12" spans="3:16">
      <c r="C12" s="234" t="s">
        <v>20</v>
      </c>
      <c r="D12" s="235">
        <f>+'2021'!D12</f>
        <v>81604.066991568572</v>
      </c>
      <c r="E12" s="235">
        <f>+'2021'!E12</f>
        <v>58450.056295399067</v>
      </c>
      <c r="F12" s="236">
        <f>+'2021'!F12</f>
        <v>59178.474648029565</v>
      </c>
      <c r="G12" s="236">
        <f>+'2021'!G12</f>
        <v>86516.136499450804</v>
      </c>
      <c r="H12" s="236">
        <f>+'2021'!H12</f>
        <v>53418.91271417254</v>
      </c>
      <c r="I12" s="236">
        <f>+'2021'!I12</f>
        <v>51695.818644980267</v>
      </c>
      <c r="J12" s="236">
        <f>+'2021'!J12</f>
        <v>53378.969316558898</v>
      </c>
      <c r="K12" s="237">
        <f>+'2021'!K12</f>
        <v>62358.638895465345</v>
      </c>
      <c r="L12" s="236">
        <f>+'2021'!L12</f>
        <v>60310.445918653728</v>
      </c>
      <c r="M12" s="236">
        <f>+'2021'!M12</f>
        <v>62320.546985839843</v>
      </c>
      <c r="N12" s="236">
        <f>+'2021'!N12</f>
        <v>60309.032603181091</v>
      </c>
      <c r="O12" s="238">
        <f>+'2021'!O12</f>
        <v>62667.343002499947</v>
      </c>
      <c r="P12" s="239">
        <f t="shared" si="0"/>
        <v>752208.44251579966</v>
      </c>
    </row>
    <row r="13" spans="3:16">
      <c r="C13" s="234" t="s">
        <v>21</v>
      </c>
      <c r="D13" s="235">
        <f>+'2021'!D13</f>
        <v>5977.5722042839452</v>
      </c>
      <c r="E13" s="235">
        <f>+'2021'!E13</f>
        <v>5336.1502899169918</v>
      </c>
      <c r="F13" s="236">
        <f>+'2021'!F13</f>
        <v>4742.5634572115396</v>
      </c>
      <c r="G13" s="236">
        <f>+'2021'!G13</f>
        <v>5851.0019576653485</v>
      </c>
      <c r="H13" s="236">
        <f>+'2021'!H13</f>
        <v>5140.3484563064576</v>
      </c>
      <c r="I13" s="236">
        <f>+'2021'!I13</f>
        <v>4965.9737820773717</v>
      </c>
      <c r="J13" s="236">
        <f>+'2021'!J13</f>
        <v>5124.0304550933834</v>
      </c>
      <c r="K13" s="237">
        <f>+'2021'!K13</f>
        <v>5364.5399544529701</v>
      </c>
      <c r="L13" s="236">
        <f>+'2021'!L13</f>
        <v>4879.4505169955464</v>
      </c>
      <c r="M13" s="236">
        <f>+'2021'!M13</f>
        <v>4392.6209095322265</v>
      </c>
      <c r="N13" s="236">
        <f>+'2021'!N13</f>
        <v>5794.0167765660017</v>
      </c>
      <c r="O13" s="238">
        <f>+'2021'!O13</f>
        <v>6008.4979975000015</v>
      </c>
      <c r="P13" s="239">
        <f t="shared" si="0"/>
        <v>63576.766757601785</v>
      </c>
    </row>
    <row r="14" spans="3:16">
      <c r="C14" s="240" t="s">
        <v>22</v>
      </c>
      <c r="D14" s="241">
        <f t="shared" ref="D14:O14" si="1">SUM(D8:D13)</f>
        <v>103731.44926541302</v>
      </c>
      <c r="E14" s="241">
        <f t="shared" si="1"/>
        <v>77567.931735006976</v>
      </c>
      <c r="F14" s="241">
        <f t="shared" si="1"/>
        <v>77444.539568186199</v>
      </c>
      <c r="G14" s="241">
        <f t="shared" si="1"/>
        <v>107799.35941108497</v>
      </c>
      <c r="H14" s="241">
        <f t="shared" si="1"/>
        <v>71805.397815266508</v>
      </c>
      <c r="I14" s="241">
        <f t="shared" si="1"/>
        <v>70035.253482902932</v>
      </c>
      <c r="J14" s="241">
        <f t="shared" si="1"/>
        <v>72301.057227797413</v>
      </c>
      <c r="K14" s="241">
        <f t="shared" si="1"/>
        <v>82677.991405165361</v>
      </c>
      <c r="L14" s="241">
        <f t="shared" si="1"/>
        <v>79741.329909562803</v>
      </c>
      <c r="M14" s="241">
        <f t="shared" si="1"/>
        <v>81849.864320844397</v>
      </c>
      <c r="N14" s="241">
        <f t="shared" si="1"/>
        <v>80581.070766352917</v>
      </c>
      <c r="O14" s="242">
        <f t="shared" si="1"/>
        <v>82186.705808062688</v>
      </c>
      <c r="P14" s="243">
        <f t="shared" si="0"/>
        <v>987721.95071564626</v>
      </c>
    </row>
    <row r="15" spans="3:16">
      <c r="C15" s="228" t="s">
        <v>23</v>
      </c>
      <c r="D15" s="244"/>
      <c r="E15" s="244"/>
      <c r="F15" s="245"/>
      <c r="G15" s="245"/>
      <c r="H15" s="245"/>
      <c r="I15" s="245"/>
      <c r="J15" s="245"/>
      <c r="K15" s="246"/>
      <c r="L15" s="236"/>
      <c r="M15" s="236"/>
      <c r="N15" s="236"/>
      <c r="O15" s="238"/>
      <c r="P15" s="247"/>
    </row>
    <row r="16" spans="3:16">
      <c r="C16" s="248" t="s">
        <v>24</v>
      </c>
      <c r="D16" s="235">
        <f>+'2021'!D16</f>
        <v>0</v>
      </c>
      <c r="E16" s="235">
        <f>+'2021'!E16</f>
        <v>0</v>
      </c>
      <c r="F16" s="236">
        <f>+'2021'!F16</f>
        <v>0</v>
      </c>
      <c r="G16" s="236">
        <f>+'2021'!G16</f>
        <v>0</v>
      </c>
      <c r="H16" s="236">
        <f>+'2021'!H16</f>
        <v>0</v>
      </c>
      <c r="I16" s="236">
        <f>+'2021'!I16</f>
        <v>0</v>
      </c>
      <c r="J16" s="236">
        <f>+'2021'!J16</f>
        <v>0</v>
      </c>
      <c r="K16" s="237">
        <f>+'2021'!K16</f>
        <v>0</v>
      </c>
      <c r="L16" s="236">
        <f>+'2021'!L16</f>
        <v>0</v>
      </c>
      <c r="M16" s="236">
        <f>+'2021'!M16</f>
        <v>0</v>
      </c>
      <c r="N16" s="236">
        <f>+'2021'!N16</f>
        <v>0</v>
      </c>
      <c r="O16" s="238">
        <f>+'2021'!O16</f>
        <v>0</v>
      </c>
      <c r="P16" s="239">
        <f t="shared" ref="P16:P22" si="2">+SUM(D16:O16)</f>
        <v>0</v>
      </c>
    </row>
    <row r="17" spans="3:18">
      <c r="C17" s="234" t="s">
        <v>25</v>
      </c>
      <c r="D17" s="235">
        <f>+'2021'!D17</f>
        <v>0</v>
      </c>
      <c r="E17" s="235">
        <f>+'2021'!E17</f>
        <v>1.9170344848632812</v>
      </c>
      <c r="F17" s="236">
        <f>+'2021'!F17</f>
        <v>25.870295898437501</v>
      </c>
      <c r="G17" s="236">
        <f>+'2021'!G17</f>
        <v>16.659714155241272</v>
      </c>
      <c r="H17" s="236">
        <f>+'2021'!H17</f>
        <v>26.078884826660158</v>
      </c>
      <c r="I17" s="236">
        <f>+'2021'!I17</f>
        <v>1.5885762634277343</v>
      </c>
      <c r="J17" s="236">
        <f>+'2021'!J17</f>
        <v>0</v>
      </c>
      <c r="K17" s="237">
        <f>+'2021'!K17</f>
        <v>2.6681024169921876</v>
      </c>
      <c r="L17" s="236">
        <f>+'2021'!L17</f>
        <v>16.684983978271486</v>
      </c>
      <c r="M17" s="236">
        <f>+'2021'!M17</f>
        <v>4.2668598632812502</v>
      </c>
      <c r="N17" s="236">
        <f>+'2021'!N17</f>
        <v>0</v>
      </c>
      <c r="O17" s="238">
        <f>+'2021'!O17</f>
        <v>31.2816875</v>
      </c>
      <c r="P17" s="239">
        <f t="shared" si="2"/>
        <v>127.01613938717489</v>
      </c>
    </row>
    <row r="18" spans="3:18">
      <c r="C18" s="248" t="s">
        <v>26</v>
      </c>
      <c r="D18" s="235">
        <f>+'2021'!D18</f>
        <v>0</v>
      </c>
      <c r="E18" s="235">
        <f>+'2021'!E18</f>
        <v>4.1758846869662518</v>
      </c>
      <c r="F18" s="236">
        <f>+'2021'!F18</f>
        <v>0</v>
      </c>
      <c r="G18" s="236">
        <f>+'2021'!G18</f>
        <v>1.6534859466552734</v>
      </c>
      <c r="H18" s="236">
        <f>+'2021'!H18</f>
        <v>0</v>
      </c>
      <c r="I18" s="236">
        <f>+'2021'!I18</f>
        <v>2.2837405633084709</v>
      </c>
      <c r="J18" s="236">
        <f>+'2021'!J18</f>
        <v>12.729358222961427</v>
      </c>
      <c r="K18" s="237">
        <f>+'2021'!K18</f>
        <v>10.286797623012454</v>
      </c>
      <c r="L18" s="236">
        <f>+'2021'!L18</f>
        <v>11.160500827787946</v>
      </c>
      <c r="M18" s="236">
        <f>+'2021'!M18</f>
        <v>1.6514606255168656</v>
      </c>
      <c r="N18" s="236">
        <f>+'2021'!N18</f>
        <v>0</v>
      </c>
      <c r="O18" s="238">
        <f>+'2021'!O18</f>
        <v>2.4701899999999997</v>
      </c>
      <c r="P18" s="239">
        <f t="shared" si="2"/>
        <v>46.41141849620869</v>
      </c>
      <c r="Q18" s="249"/>
    </row>
    <row r="19" spans="3:18">
      <c r="C19" s="248" t="s">
        <v>27</v>
      </c>
      <c r="D19" s="235">
        <f>+'2021'!D19</f>
        <v>2.9758904418945313</v>
      </c>
      <c r="E19" s="235">
        <f>+'2021'!E19</f>
        <v>0</v>
      </c>
      <c r="F19" s="236">
        <f>+'2021'!F19</f>
        <v>3.6601343352799591</v>
      </c>
      <c r="G19" s="236">
        <f>+'2021'!G19</f>
        <v>0</v>
      </c>
      <c r="H19" s="236">
        <f>+'2021'!H19</f>
        <v>25.838618032796045</v>
      </c>
      <c r="I19" s="236">
        <f>+'2021'!I19</f>
        <v>0</v>
      </c>
      <c r="J19" s="236">
        <f>+'2021'!J19</f>
        <v>56.883053890809613</v>
      </c>
      <c r="K19" s="237">
        <f>+'2021'!K19</f>
        <v>0</v>
      </c>
      <c r="L19" s="236">
        <f>+'2021'!L19</f>
        <v>49.621064443727931</v>
      </c>
      <c r="M19" s="236">
        <f>+'2021'!M19</f>
        <v>19.142644165039062</v>
      </c>
      <c r="N19" s="236">
        <f>+'2021'!N19</f>
        <v>3.7305728566034428</v>
      </c>
      <c r="O19" s="238">
        <f>+'2021'!O19</f>
        <v>20.000377499999999</v>
      </c>
      <c r="P19" s="239">
        <f t="shared" si="2"/>
        <v>181.85235566615057</v>
      </c>
      <c r="Q19" s="249"/>
    </row>
    <row r="20" spans="3:18">
      <c r="C20" s="250" t="s">
        <v>46</v>
      </c>
      <c r="D20" s="235">
        <f>+'2021'!D20</f>
        <v>0</v>
      </c>
      <c r="E20" s="235">
        <f>+'2021'!E20</f>
        <v>0</v>
      </c>
      <c r="F20" s="235">
        <f>+'2021'!F20</f>
        <v>0</v>
      </c>
      <c r="G20" s="235">
        <f>+'2021'!G20</f>
        <v>0</v>
      </c>
      <c r="H20" s="235">
        <f>+'2021'!H20</f>
        <v>0</v>
      </c>
      <c r="I20" s="235">
        <f>+'2021'!I20</f>
        <v>0</v>
      </c>
      <c r="J20" s="235">
        <f>+'2021'!J20</f>
        <v>0</v>
      </c>
      <c r="K20" s="235">
        <f>+'2021'!K20</f>
        <v>0</v>
      </c>
      <c r="L20" s="235">
        <f>+'2021'!L20</f>
        <v>0</v>
      </c>
      <c r="M20" s="235">
        <f>+'2021'!M20</f>
        <v>0</v>
      </c>
      <c r="N20" s="235">
        <f>+'2021'!N20</f>
        <v>0</v>
      </c>
      <c r="O20" s="237">
        <f>+'2021'!O20</f>
        <v>0</v>
      </c>
      <c r="P20" s="239">
        <f t="shared" si="2"/>
        <v>0</v>
      </c>
      <c r="Q20" s="249"/>
    </row>
    <row r="21" spans="3:18">
      <c r="C21" s="240" t="s">
        <v>28</v>
      </c>
      <c r="D21" s="241">
        <f t="shared" ref="D21:O21" si="3">SUM(D16:D20)</f>
        <v>2.9758904418945313</v>
      </c>
      <c r="E21" s="241">
        <f t="shared" si="3"/>
        <v>6.092919171829533</v>
      </c>
      <c r="F21" s="241">
        <f t="shared" si="3"/>
        <v>29.53043023371746</v>
      </c>
      <c r="G21" s="241">
        <f t="shared" si="3"/>
        <v>18.313200101896545</v>
      </c>
      <c r="H21" s="241">
        <f t="shared" si="3"/>
        <v>51.917502859456206</v>
      </c>
      <c r="I21" s="241">
        <f t="shared" si="3"/>
        <v>3.8723168267362054</v>
      </c>
      <c r="J21" s="241">
        <f t="shared" si="3"/>
        <v>69.612412113771043</v>
      </c>
      <c r="K21" s="241">
        <f t="shared" si="3"/>
        <v>12.954900040004642</v>
      </c>
      <c r="L21" s="241">
        <f t="shared" si="3"/>
        <v>77.466549249787363</v>
      </c>
      <c r="M21" s="241">
        <f t="shared" si="3"/>
        <v>25.060964653837178</v>
      </c>
      <c r="N21" s="241">
        <f t="shared" si="3"/>
        <v>3.7305728566034428</v>
      </c>
      <c r="O21" s="242">
        <f t="shared" si="3"/>
        <v>53.752254999999998</v>
      </c>
      <c r="P21" s="243">
        <f t="shared" si="2"/>
        <v>355.27991354953411</v>
      </c>
    </row>
    <row r="22" spans="3:18" ht="12" thickBot="1">
      <c r="C22" s="251" t="s">
        <v>29</v>
      </c>
      <c r="D22" s="252">
        <f t="shared" ref="D22:O22" si="4">+D14+D21</f>
        <v>103734.42515585491</v>
      </c>
      <c r="E22" s="252">
        <f t="shared" si="4"/>
        <v>77574.024654178807</v>
      </c>
      <c r="F22" s="252">
        <f t="shared" si="4"/>
        <v>77474.069998419916</v>
      </c>
      <c r="G22" s="252">
        <f t="shared" si="4"/>
        <v>107817.67261118686</v>
      </c>
      <c r="H22" s="252">
        <f t="shared" si="4"/>
        <v>71857.315318125969</v>
      </c>
      <c r="I22" s="252">
        <f t="shared" si="4"/>
        <v>70039.125799729663</v>
      </c>
      <c r="J22" s="252">
        <f t="shared" si="4"/>
        <v>72370.669639911182</v>
      </c>
      <c r="K22" s="252">
        <f t="shared" si="4"/>
        <v>82690.946305205362</v>
      </c>
      <c r="L22" s="252">
        <f t="shared" si="4"/>
        <v>79818.796458812591</v>
      </c>
      <c r="M22" s="252">
        <f t="shared" si="4"/>
        <v>81874.925285498233</v>
      </c>
      <c r="N22" s="252">
        <f t="shared" si="4"/>
        <v>80584.801339209516</v>
      </c>
      <c r="O22" s="253">
        <f t="shared" si="4"/>
        <v>82240.458063062688</v>
      </c>
      <c r="P22" s="254">
        <f t="shared" si="2"/>
        <v>988077.23062919569</v>
      </c>
    </row>
    <row r="23" spans="3:18" ht="12" thickTop="1"/>
    <row r="24" spans="3:18">
      <c r="C24" s="222" t="s">
        <v>110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18" ht="12" thickBot="1"/>
    <row r="26" spans="3:18" ht="12" thickTop="1">
      <c r="C26" s="310" t="s">
        <v>30</v>
      </c>
      <c r="D26" s="311" t="s">
        <v>2</v>
      </c>
      <c r="E26" s="311" t="s">
        <v>3</v>
      </c>
      <c r="F26" s="311" t="s">
        <v>4</v>
      </c>
      <c r="G26" s="311" t="s">
        <v>5</v>
      </c>
      <c r="H26" s="311" t="s">
        <v>6</v>
      </c>
      <c r="I26" s="311" t="s">
        <v>7</v>
      </c>
      <c r="J26" s="311" t="s">
        <v>8</v>
      </c>
      <c r="K26" s="311" t="s">
        <v>9</v>
      </c>
      <c r="L26" s="311" t="s">
        <v>10</v>
      </c>
      <c r="M26" s="311" t="s">
        <v>11</v>
      </c>
      <c r="N26" s="311" t="s">
        <v>12</v>
      </c>
      <c r="O26" s="311" t="s">
        <v>13</v>
      </c>
      <c r="P26" s="312" t="s">
        <v>14</v>
      </c>
    </row>
    <row r="27" spans="3:18">
      <c r="C27" s="313" t="s">
        <v>31</v>
      </c>
      <c r="D27" s="263">
        <f t="shared" ref="D27:O27" si="5">+D28+D29</f>
        <v>103734.42515585491</v>
      </c>
      <c r="E27" s="262">
        <f t="shared" si="5"/>
        <v>77574.024654178807</v>
      </c>
      <c r="F27" s="263">
        <f t="shared" si="5"/>
        <v>77474.069998419916</v>
      </c>
      <c r="G27" s="263">
        <f t="shared" si="5"/>
        <v>107817.67261118686</v>
      </c>
      <c r="H27" s="263">
        <f t="shared" si="5"/>
        <v>71857.315318125969</v>
      </c>
      <c r="I27" s="263">
        <f t="shared" si="5"/>
        <v>70039.125799729663</v>
      </c>
      <c r="J27" s="263">
        <f t="shared" si="5"/>
        <v>72370.669639911182</v>
      </c>
      <c r="K27" s="263">
        <f t="shared" si="5"/>
        <v>82690.946305205362</v>
      </c>
      <c r="L27" s="263">
        <f t="shared" si="5"/>
        <v>79818.796458812591</v>
      </c>
      <c r="M27" s="263">
        <f t="shared" si="5"/>
        <v>81874.925285498233</v>
      </c>
      <c r="N27" s="263">
        <f t="shared" si="5"/>
        <v>80584.801339209516</v>
      </c>
      <c r="O27" s="263">
        <f t="shared" si="5"/>
        <v>82240.458063062688</v>
      </c>
      <c r="P27" s="314">
        <f>SUM(D27:O27)</f>
        <v>988077.23062919569</v>
      </c>
      <c r="R27" s="221">
        <v>988077.23</v>
      </c>
    </row>
    <row r="28" spans="3:18">
      <c r="C28" s="315" t="s">
        <v>32</v>
      </c>
      <c r="D28" s="268">
        <f>+D14</f>
        <v>103731.44926541302</v>
      </c>
      <c r="E28" s="268">
        <f t="shared" ref="E28:O28" si="6">+E14</f>
        <v>77567.931735006976</v>
      </c>
      <c r="F28" s="268">
        <f t="shared" si="6"/>
        <v>77444.539568186199</v>
      </c>
      <c r="G28" s="268">
        <f t="shared" si="6"/>
        <v>107799.35941108497</v>
      </c>
      <c r="H28" s="268">
        <f t="shared" si="6"/>
        <v>71805.397815266508</v>
      </c>
      <c r="I28" s="268">
        <f t="shared" si="6"/>
        <v>70035.253482902932</v>
      </c>
      <c r="J28" s="268">
        <f t="shared" si="6"/>
        <v>72301.057227797413</v>
      </c>
      <c r="K28" s="268">
        <f t="shared" si="6"/>
        <v>82677.991405165361</v>
      </c>
      <c r="L28" s="268">
        <f t="shared" si="6"/>
        <v>79741.329909562803</v>
      </c>
      <c r="M28" s="268">
        <f t="shared" si="6"/>
        <v>81849.864320844397</v>
      </c>
      <c r="N28" s="268">
        <f t="shared" si="6"/>
        <v>80581.070766352917</v>
      </c>
      <c r="O28" s="268">
        <f t="shared" si="6"/>
        <v>82186.705808062688</v>
      </c>
      <c r="P28" s="306">
        <f t="shared" ref="P28:P65" si="7">SUM(D28:O28)</f>
        <v>987721.95071564626</v>
      </c>
      <c r="R28" s="221">
        <v>987721.95</v>
      </c>
    </row>
    <row r="29" spans="3:18">
      <c r="C29" s="316" t="s">
        <v>33</v>
      </c>
      <c r="D29" s="272">
        <f>+D21</f>
        <v>2.9758904418945313</v>
      </c>
      <c r="E29" s="272">
        <f t="shared" ref="E29:O29" si="8">+E21</f>
        <v>6.092919171829533</v>
      </c>
      <c r="F29" s="272">
        <f t="shared" si="8"/>
        <v>29.53043023371746</v>
      </c>
      <c r="G29" s="272">
        <f t="shared" si="8"/>
        <v>18.313200101896545</v>
      </c>
      <c r="H29" s="272">
        <f t="shared" si="8"/>
        <v>51.917502859456206</v>
      </c>
      <c r="I29" s="272">
        <f t="shared" si="8"/>
        <v>3.8723168267362054</v>
      </c>
      <c r="J29" s="272">
        <f t="shared" si="8"/>
        <v>69.612412113771043</v>
      </c>
      <c r="K29" s="272">
        <f t="shared" si="8"/>
        <v>12.954900040004642</v>
      </c>
      <c r="L29" s="272">
        <f t="shared" si="8"/>
        <v>77.466549249787363</v>
      </c>
      <c r="M29" s="272">
        <f t="shared" si="8"/>
        <v>25.060964653837178</v>
      </c>
      <c r="N29" s="272">
        <f t="shared" si="8"/>
        <v>3.7305728566034428</v>
      </c>
      <c r="O29" s="272">
        <f t="shared" si="8"/>
        <v>53.752254999999998</v>
      </c>
      <c r="P29" s="317">
        <f t="shared" si="7"/>
        <v>355.27991354953411</v>
      </c>
      <c r="R29" s="221">
        <v>355.28</v>
      </c>
    </row>
    <row r="30" spans="3:18">
      <c r="C30" s="313" t="s">
        <v>34</v>
      </c>
      <c r="D30" s="263">
        <f>+SUM(D31:D32)</f>
        <v>0</v>
      </c>
      <c r="E30" s="263">
        <f t="shared" ref="E30:P30" si="9">+SUM(E31:E32)</f>
        <v>0</v>
      </c>
      <c r="F30" s="263">
        <f t="shared" si="9"/>
        <v>0</v>
      </c>
      <c r="G30" s="263">
        <f t="shared" si="9"/>
        <v>0</v>
      </c>
      <c r="H30" s="263">
        <f t="shared" si="9"/>
        <v>0</v>
      </c>
      <c r="I30" s="263">
        <f t="shared" si="9"/>
        <v>0</v>
      </c>
      <c r="J30" s="263">
        <f t="shared" si="9"/>
        <v>158.3495632652</v>
      </c>
      <c r="K30" s="263">
        <f t="shared" si="9"/>
        <v>156.82953627200001</v>
      </c>
      <c r="L30" s="263">
        <f t="shared" si="9"/>
        <v>149.98760319423675</v>
      </c>
      <c r="M30" s="263">
        <f t="shared" si="9"/>
        <v>153.82518224525452</v>
      </c>
      <c r="N30" s="263">
        <f t="shared" si="9"/>
        <v>145.401581477165</v>
      </c>
      <c r="O30" s="263">
        <f t="shared" si="9"/>
        <v>149.20185000000001</v>
      </c>
      <c r="P30" s="314">
        <f t="shared" si="9"/>
        <v>913.5953164538563</v>
      </c>
    </row>
    <row r="31" spans="3:18">
      <c r="C31" s="307" t="s">
        <v>41</v>
      </c>
      <c r="D31" s="268">
        <v>0</v>
      </c>
      <c r="E31" s="268">
        <v>0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68">
        <v>0</v>
      </c>
      <c r="P31" s="306">
        <f t="shared" si="7"/>
        <v>0</v>
      </c>
    </row>
    <row r="32" spans="3:18">
      <c r="C32" s="322" t="s">
        <v>109</v>
      </c>
      <c r="D32" s="272">
        <v>0</v>
      </c>
      <c r="E32" s="272">
        <v>0</v>
      </c>
      <c r="F32" s="272">
        <v>0</v>
      </c>
      <c r="G32" s="272">
        <v>0</v>
      </c>
      <c r="H32" s="272">
        <v>0</v>
      </c>
      <c r="I32" s="272">
        <v>0</v>
      </c>
      <c r="J32" s="272">
        <v>158.3495632652</v>
      </c>
      <c r="K32" s="272">
        <v>156.82953627200001</v>
      </c>
      <c r="L32" s="272">
        <v>149.98760319423675</v>
      </c>
      <c r="M32" s="272">
        <v>153.82518224525452</v>
      </c>
      <c r="N32" s="272">
        <v>145.401581477165</v>
      </c>
      <c r="O32" s="272">
        <v>149.20185000000001</v>
      </c>
      <c r="P32" s="317">
        <f t="shared" si="7"/>
        <v>913.5953164538563</v>
      </c>
    </row>
    <row r="33" spans="2:19">
      <c r="C33" s="313" t="s">
        <v>35</v>
      </c>
      <c r="D33" s="263">
        <f>+D34+D35</f>
        <v>350.53758879079425</v>
      </c>
      <c r="E33" s="263">
        <f t="shared" ref="E33:O33" si="10">+E34+E35</f>
        <v>299.76848623561534</v>
      </c>
      <c r="F33" s="263">
        <f t="shared" si="10"/>
        <v>317.35592181072718</v>
      </c>
      <c r="G33" s="263">
        <f t="shared" si="10"/>
        <v>322.94378548102264</v>
      </c>
      <c r="H33" s="263">
        <f t="shared" si="10"/>
        <v>406.92321836879097</v>
      </c>
      <c r="I33" s="263">
        <f t="shared" si="10"/>
        <v>382.63909800366946</v>
      </c>
      <c r="J33" s="263">
        <f t="shared" si="10"/>
        <v>508.2701127209483</v>
      </c>
      <c r="K33" s="263">
        <f t="shared" si="10"/>
        <v>346.40587719296104</v>
      </c>
      <c r="L33" s="263">
        <f t="shared" si="10"/>
        <v>481.30257529233029</v>
      </c>
      <c r="M33" s="263">
        <f t="shared" si="10"/>
        <v>320.43192268965635</v>
      </c>
      <c r="N33" s="263">
        <f t="shared" si="10"/>
        <v>335.38561434304154</v>
      </c>
      <c r="O33" s="263">
        <f t="shared" si="10"/>
        <v>419.45480031262002</v>
      </c>
      <c r="P33" s="314">
        <f t="shared" si="7"/>
        <v>4491.4190012421777</v>
      </c>
    </row>
    <row r="34" spans="2:19">
      <c r="B34" s="277"/>
      <c r="C34" s="315" t="s">
        <v>32</v>
      </c>
      <c r="D34" s="268">
        <f>+'2021'!D34</f>
        <v>350.30532875814043</v>
      </c>
      <c r="E34" s="268">
        <f>+'2021'!E34</f>
        <v>299.16194384936961</v>
      </c>
      <c r="F34" s="268">
        <f>+'2021'!F34</f>
        <v>316.79680669470315</v>
      </c>
      <c r="G34" s="268">
        <f>+'2021'!G34</f>
        <v>320.98974943957217</v>
      </c>
      <c r="H34" s="268">
        <f>+'2021'!H34</f>
        <v>347.42069221284231</v>
      </c>
      <c r="I34" s="268">
        <f>+'2021'!I34</f>
        <v>347.07474373416494</v>
      </c>
      <c r="J34" s="268">
        <f>+'2021'!J34</f>
        <v>347.16849149687272</v>
      </c>
      <c r="K34" s="268">
        <f>+'2021'!K34</f>
        <v>344.28652643345481</v>
      </c>
      <c r="L34" s="268">
        <f>+'2021'!L34</f>
        <v>327.49984524689245</v>
      </c>
      <c r="M34" s="268">
        <f>+'2021'!M34</f>
        <v>319.0008216125766</v>
      </c>
      <c r="N34" s="268">
        <f>+'2021'!N34</f>
        <v>334.69543766533769</v>
      </c>
      <c r="O34" s="268">
        <f>+'2021'!O34</f>
        <v>338.36299172888357</v>
      </c>
      <c r="P34" s="306">
        <f t="shared" si="7"/>
        <v>3992.7633788728103</v>
      </c>
    </row>
    <row r="35" spans="2:19">
      <c r="B35" s="278"/>
      <c r="C35" s="316" t="s">
        <v>33</v>
      </c>
      <c r="D35" s="268">
        <f>+'2021'!D35</f>
        <v>0.2322600326538086</v>
      </c>
      <c r="E35" s="268">
        <f>+'2021'!E35</f>
        <v>0.60654238624572754</v>
      </c>
      <c r="F35" s="268">
        <f>+'2021'!F35</f>
        <v>0.55911511602401731</v>
      </c>
      <c r="G35" s="272">
        <f>+'2021'!G35</f>
        <v>1.9540360414505005</v>
      </c>
      <c r="H35" s="272">
        <f>+'2021'!H35</f>
        <v>59.502526155948637</v>
      </c>
      <c r="I35" s="272">
        <f>+'2021'!I35</f>
        <v>35.564354269504548</v>
      </c>
      <c r="J35" s="272">
        <f>+'2021'!J35</f>
        <v>161.10162122407556</v>
      </c>
      <c r="K35" s="272">
        <f>+'2021'!K35</f>
        <v>2.1193507595062258</v>
      </c>
      <c r="L35" s="272">
        <f>+'2021'!L35</f>
        <v>153.80273004543781</v>
      </c>
      <c r="M35" s="268">
        <f>+'2021'!M35</f>
        <v>1.431101077079773</v>
      </c>
      <c r="N35" s="272">
        <f>+'2021'!N35</f>
        <v>0.69017667770385738</v>
      </c>
      <c r="O35" s="272">
        <f>+'2021'!O35</f>
        <v>81.091808583736423</v>
      </c>
      <c r="P35" s="317">
        <f t="shared" si="7"/>
        <v>498.65562236936682</v>
      </c>
    </row>
    <row r="36" spans="2:19">
      <c r="C36" s="318" t="s">
        <v>36</v>
      </c>
      <c r="D36" s="263">
        <f t="shared" ref="D36:O36" si="11">+D37+D38</f>
        <v>1017.1824537762295</v>
      </c>
      <c r="E36" s="263">
        <f t="shared" si="11"/>
        <v>1176.9577660291834</v>
      </c>
      <c r="F36" s="263">
        <f t="shared" si="11"/>
        <v>1212.4324379887548</v>
      </c>
      <c r="G36" s="282">
        <f t="shared" si="11"/>
        <v>1311.4202622085286</v>
      </c>
      <c r="H36" s="282">
        <f t="shared" si="11"/>
        <v>1160.8976435156073</v>
      </c>
      <c r="I36" s="282">
        <f t="shared" si="11"/>
        <v>1031.4080281899951</v>
      </c>
      <c r="J36" s="282">
        <f t="shared" si="11"/>
        <v>1239.2948277064716</v>
      </c>
      <c r="K36" s="282">
        <f t="shared" si="11"/>
        <v>1195.0765914048388</v>
      </c>
      <c r="L36" s="282">
        <f t="shared" si="11"/>
        <v>1023.3004709279485</v>
      </c>
      <c r="M36" s="263">
        <f t="shared" si="11"/>
        <v>1238.7308321830496</v>
      </c>
      <c r="N36" s="282">
        <f t="shared" si="11"/>
        <v>1171.3920383179357</v>
      </c>
      <c r="O36" s="282">
        <f t="shared" si="11"/>
        <v>1173.6180252470076</v>
      </c>
      <c r="P36" s="326">
        <f t="shared" si="7"/>
        <v>13951.711377495551</v>
      </c>
    </row>
    <row r="37" spans="2:19">
      <c r="B37" s="278"/>
      <c r="C37" s="315" t="s">
        <v>37</v>
      </c>
      <c r="D37" s="268">
        <v>406.87298151049185</v>
      </c>
      <c r="E37" s="268">
        <v>470.78310641167337</v>
      </c>
      <c r="F37" s="268">
        <v>484.97297519550193</v>
      </c>
      <c r="G37" s="268">
        <v>524.56810488341148</v>
      </c>
      <c r="H37" s="268">
        <v>464.35905740624298</v>
      </c>
      <c r="I37" s="268">
        <v>412.56321127599807</v>
      </c>
      <c r="J37" s="268">
        <v>495.71793108258862</v>
      </c>
      <c r="K37" s="268">
        <v>478.03063656193558</v>
      </c>
      <c r="L37" s="268">
        <v>409.32018837117943</v>
      </c>
      <c r="M37" s="268">
        <v>495.49233287321988</v>
      </c>
      <c r="N37" s="268">
        <v>468.55681532717426</v>
      </c>
      <c r="O37" s="268">
        <v>469.44721009880305</v>
      </c>
      <c r="P37" s="306">
        <f t="shared" si="7"/>
        <v>5580.6845509982204</v>
      </c>
    </row>
    <row r="38" spans="2:19">
      <c r="B38" s="285"/>
      <c r="C38" s="315" t="s">
        <v>38</v>
      </c>
      <c r="D38" s="272">
        <v>610.30947226573767</v>
      </c>
      <c r="E38" s="272">
        <v>706.17465961750997</v>
      </c>
      <c r="F38" s="272">
        <v>727.4594627932529</v>
      </c>
      <c r="G38" s="268">
        <v>786.8521573251171</v>
      </c>
      <c r="H38" s="268">
        <v>696.53858610936436</v>
      </c>
      <c r="I38" s="268">
        <v>618.84481691399708</v>
      </c>
      <c r="J38" s="268">
        <v>743.57689662388293</v>
      </c>
      <c r="K38" s="272">
        <v>717.04595484290326</v>
      </c>
      <c r="L38" s="272">
        <v>613.98028255676911</v>
      </c>
      <c r="M38" s="272">
        <v>743.23849930982976</v>
      </c>
      <c r="N38" s="272">
        <v>702.83522299076139</v>
      </c>
      <c r="O38" s="272">
        <v>704.1708151482045</v>
      </c>
      <c r="P38" s="306">
        <f t="shared" si="7"/>
        <v>8371.0268264973311</v>
      </c>
    </row>
    <row r="39" spans="2:19">
      <c r="B39" s="285"/>
      <c r="C39" s="320" t="s">
        <v>39</v>
      </c>
      <c r="D39" s="302">
        <f t="shared" ref="D39:O39" si="12">+D27+D30-D33-D36</f>
        <v>102366.70511328788</v>
      </c>
      <c r="E39" s="302">
        <f t="shared" si="12"/>
        <v>76097.298401914013</v>
      </c>
      <c r="F39" s="302">
        <f t="shared" si="12"/>
        <v>75944.281638620436</v>
      </c>
      <c r="G39" s="302">
        <f t="shared" si="12"/>
        <v>106183.30856349731</v>
      </c>
      <c r="H39" s="302">
        <f t="shared" si="12"/>
        <v>70289.494456241577</v>
      </c>
      <c r="I39" s="302">
        <f t="shared" si="12"/>
        <v>68625.078673536002</v>
      </c>
      <c r="J39" s="302">
        <f t="shared" si="12"/>
        <v>70781.454262748972</v>
      </c>
      <c r="K39" s="302">
        <f t="shared" si="12"/>
        <v>81306.293372879562</v>
      </c>
      <c r="L39" s="302">
        <f t="shared" si="12"/>
        <v>78464.181015786555</v>
      </c>
      <c r="M39" s="302">
        <f t="shared" si="12"/>
        <v>80469.58771287078</v>
      </c>
      <c r="N39" s="302">
        <f t="shared" si="12"/>
        <v>79223.425268025705</v>
      </c>
      <c r="O39" s="302">
        <f t="shared" si="12"/>
        <v>80796.587087503052</v>
      </c>
      <c r="P39" s="321">
        <f t="shared" si="7"/>
        <v>970547.69556691195</v>
      </c>
    </row>
    <row r="40" spans="2:19">
      <c r="B40" s="285"/>
      <c r="C40" s="320" t="s">
        <v>40</v>
      </c>
      <c r="D40" s="302">
        <f t="shared" ref="D40:O40" si="13">+D41+D44+D54</f>
        <v>102366.70511328788</v>
      </c>
      <c r="E40" s="302">
        <f t="shared" si="13"/>
        <v>76097.298401914013</v>
      </c>
      <c r="F40" s="302">
        <f t="shared" si="13"/>
        <v>75944.281638620436</v>
      </c>
      <c r="G40" s="302">
        <f t="shared" si="13"/>
        <v>106183.30856349731</v>
      </c>
      <c r="H40" s="302">
        <f t="shared" si="13"/>
        <v>70289.494456241577</v>
      </c>
      <c r="I40" s="302">
        <f t="shared" si="13"/>
        <v>68625.078673536002</v>
      </c>
      <c r="J40" s="302">
        <f t="shared" si="13"/>
        <v>70781.454262748972</v>
      </c>
      <c r="K40" s="302">
        <f t="shared" si="13"/>
        <v>81306.293372879562</v>
      </c>
      <c r="L40" s="302">
        <f t="shared" si="13"/>
        <v>78464.181015786555</v>
      </c>
      <c r="M40" s="302">
        <f t="shared" si="13"/>
        <v>80469.58771287078</v>
      </c>
      <c r="N40" s="302">
        <f t="shared" si="13"/>
        <v>79223.425268025705</v>
      </c>
      <c r="O40" s="302">
        <f t="shared" si="13"/>
        <v>80796.587087503052</v>
      </c>
      <c r="P40" s="321">
        <f t="shared" si="7"/>
        <v>970547.69556691195</v>
      </c>
    </row>
    <row r="41" spans="2:19">
      <c r="C41" s="318" t="s">
        <v>44</v>
      </c>
      <c r="D41" s="263">
        <f t="shared" ref="D41:O41" si="14">+D42+D43</f>
        <v>38885.853093287878</v>
      </c>
      <c r="E41" s="263">
        <f t="shared" si="14"/>
        <v>19925.527431914015</v>
      </c>
      <c r="F41" s="263">
        <f t="shared" si="14"/>
        <v>13346.296228620435</v>
      </c>
      <c r="G41" s="263">
        <f t="shared" si="14"/>
        <v>47938.385643497299</v>
      </c>
      <c r="H41" s="263">
        <f t="shared" si="14"/>
        <v>12044.950596241571</v>
      </c>
      <c r="I41" s="263">
        <f t="shared" si="14"/>
        <v>12862.620883535994</v>
      </c>
      <c r="J41" s="263">
        <f t="shared" si="14"/>
        <v>13386.821572748966</v>
      </c>
      <c r="K41" s="263">
        <f t="shared" si="14"/>
        <v>22851.30995287955</v>
      </c>
      <c r="L41" s="263">
        <f t="shared" si="14"/>
        <v>19268.610775786547</v>
      </c>
      <c r="M41" s="263">
        <f t="shared" si="14"/>
        <v>18722.449412870767</v>
      </c>
      <c r="N41" s="263">
        <f t="shared" si="14"/>
        <v>17579.880088025704</v>
      </c>
      <c r="O41" s="263">
        <f t="shared" si="14"/>
        <v>16859.699297503052</v>
      </c>
      <c r="P41" s="314">
        <f t="shared" si="7"/>
        <v>253672.40497691181</v>
      </c>
    </row>
    <row r="42" spans="2:19">
      <c r="B42" s="278"/>
      <c r="C42" s="315" t="s">
        <v>41</v>
      </c>
      <c r="D42" s="268">
        <v>38885.853093287878</v>
      </c>
      <c r="E42" s="268">
        <v>19925.527431914015</v>
      </c>
      <c r="F42" s="268">
        <v>13346.296228620435</v>
      </c>
      <c r="G42" s="268">
        <v>47938.385643497299</v>
      </c>
      <c r="H42" s="268">
        <v>12044.950596241571</v>
      </c>
      <c r="I42" s="268">
        <v>12862.620883535994</v>
      </c>
      <c r="J42" s="268">
        <v>13386.821572748966</v>
      </c>
      <c r="K42" s="268">
        <v>22851.30995287955</v>
      </c>
      <c r="L42" s="268">
        <v>19268.610775786547</v>
      </c>
      <c r="M42" s="268">
        <v>18722.449412870767</v>
      </c>
      <c r="N42" s="268">
        <v>17579.880088025704</v>
      </c>
      <c r="O42" s="268">
        <v>16859.699297503052</v>
      </c>
      <c r="P42" s="306">
        <f t="shared" si="7"/>
        <v>253672.40497691181</v>
      </c>
      <c r="Q42" s="246"/>
    </row>
    <row r="43" spans="2:19" hidden="1">
      <c r="C43" s="315" t="s">
        <v>45</v>
      </c>
      <c r="D43" s="268">
        <v>0</v>
      </c>
      <c r="E43" s="268">
        <v>0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/>
      <c r="P43" s="306">
        <f t="shared" si="7"/>
        <v>0</v>
      </c>
      <c r="Q43" s="246"/>
    </row>
    <row r="44" spans="2:19">
      <c r="C44" s="318" t="s">
        <v>42</v>
      </c>
      <c r="D44" s="282">
        <f>SUM(D45:D53)</f>
        <v>58564.59074</v>
      </c>
      <c r="E44" s="282">
        <f t="shared" ref="E44:P44" si="15">SUM(E45:E53)</f>
        <v>51480.286209999991</v>
      </c>
      <c r="F44" s="282">
        <f t="shared" si="15"/>
        <v>57181.095580000001</v>
      </c>
      <c r="G44" s="282">
        <f t="shared" si="15"/>
        <v>53157.191730000006</v>
      </c>
      <c r="H44" s="282">
        <f t="shared" si="15"/>
        <v>52902.225720000002</v>
      </c>
      <c r="I44" s="282">
        <f t="shared" si="15"/>
        <v>50573.205030000012</v>
      </c>
      <c r="J44" s="282">
        <f t="shared" si="15"/>
        <v>52218.215130000004</v>
      </c>
      <c r="K44" s="282">
        <f t="shared" si="15"/>
        <v>53292.812890000001</v>
      </c>
      <c r="L44" s="282">
        <f t="shared" si="15"/>
        <v>54127.697629999995</v>
      </c>
      <c r="M44" s="282">
        <f t="shared" si="15"/>
        <v>56769.51225</v>
      </c>
      <c r="N44" s="282">
        <f t="shared" si="15"/>
        <v>56747.454039999997</v>
      </c>
      <c r="O44" s="282">
        <f t="shared" si="15"/>
        <v>59071.978780000005</v>
      </c>
      <c r="P44" s="319">
        <f t="shared" si="15"/>
        <v>656086.26572999998</v>
      </c>
      <c r="Q44" s="277"/>
      <c r="R44" s="305"/>
    </row>
    <row r="45" spans="2:19">
      <c r="C45" s="315" t="s">
        <v>47</v>
      </c>
      <c r="D45" s="268">
        <v>11798.489700000002</v>
      </c>
      <c r="E45" s="288">
        <v>10713.77094</v>
      </c>
      <c r="F45" s="268">
        <v>12331.583580000002</v>
      </c>
      <c r="G45" s="268">
        <v>11334.68197</v>
      </c>
      <c r="H45" s="268">
        <v>11445.130949999999</v>
      </c>
      <c r="I45" s="268">
        <v>11117.628150000002</v>
      </c>
      <c r="J45" s="268">
        <v>11248.599410000001</v>
      </c>
      <c r="K45" s="303">
        <v>11221.016820000001</v>
      </c>
      <c r="L45" s="268">
        <v>10983.79141</v>
      </c>
      <c r="M45" s="268">
        <v>11310.517680000001</v>
      </c>
      <c r="N45" s="289">
        <v>11190.639429999999</v>
      </c>
      <c r="O45" s="268">
        <v>11644.308030000002</v>
      </c>
      <c r="P45" s="306">
        <f t="shared" si="7"/>
        <v>136340.15807</v>
      </c>
      <c r="Q45" s="277"/>
      <c r="R45" s="277"/>
      <c r="S45" s="278"/>
    </row>
    <row r="46" spans="2:19">
      <c r="C46" s="315" t="s">
        <v>48</v>
      </c>
      <c r="D46" s="268">
        <v>31016.131410000009</v>
      </c>
      <c r="E46" s="288">
        <v>28069.628779999995</v>
      </c>
      <c r="F46" s="268">
        <v>32393.365649999996</v>
      </c>
      <c r="G46" s="268">
        <v>29603.630850000005</v>
      </c>
      <c r="H46" s="268">
        <v>29860.241249999999</v>
      </c>
      <c r="I46" s="268">
        <v>29259.327060000007</v>
      </c>
      <c r="J46" s="268">
        <v>29854.745869999999</v>
      </c>
      <c r="K46" s="268">
        <v>29754.319379999997</v>
      </c>
      <c r="L46" s="268">
        <v>29201.738249999995</v>
      </c>
      <c r="M46" s="268">
        <v>29863.032899999998</v>
      </c>
      <c r="N46" s="289">
        <v>29256.472330000001</v>
      </c>
      <c r="O46" s="268">
        <v>30441.006150000001</v>
      </c>
      <c r="P46" s="306">
        <f t="shared" si="7"/>
        <v>358573.63988000003</v>
      </c>
      <c r="Q46" s="277"/>
      <c r="R46" s="277"/>
      <c r="S46" s="278"/>
    </row>
    <row r="47" spans="2:19">
      <c r="C47" s="315" t="s">
        <v>50</v>
      </c>
      <c r="D47" s="268">
        <v>1236.44805</v>
      </c>
      <c r="E47" s="288">
        <v>1117.42821</v>
      </c>
      <c r="F47" s="268">
        <v>1248.6028499999998</v>
      </c>
      <c r="G47" s="268">
        <v>1162.40148</v>
      </c>
      <c r="H47" s="268">
        <v>1173.07134</v>
      </c>
      <c r="I47" s="268">
        <v>1121.37049</v>
      </c>
      <c r="J47" s="268">
        <v>1155.6085199999998</v>
      </c>
      <c r="K47" s="268">
        <v>1150.0756500000002</v>
      </c>
      <c r="L47" s="268">
        <v>1139.3790800000002</v>
      </c>
      <c r="M47" s="268">
        <v>1185.73677</v>
      </c>
      <c r="N47" s="289">
        <v>1172.4338</v>
      </c>
      <c r="O47" s="268">
        <v>1256.10211</v>
      </c>
      <c r="P47" s="306">
        <f t="shared" si="7"/>
        <v>14118.65835</v>
      </c>
      <c r="Q47" s="277"/>
      <c r="R47" s="277"/>
      <c r="S47" s="278"/>
    </row>
    <row r="48" spans="2:19">
      <c r="C48" s="315" t="s">
        <v>51</v>
      </c>
      <c r="D48" s="268">
        <v>892.78964999999994</v>
      </c>
      <c r="E48" s="288">
        <v>786.77377000000001</v>
      </c>
      <c r="F48" s="268">
        <v>891.10140999999987</v>
      </c>
      <c r="G48" s="268">
        <v>864.13310000000013</v>
      </c>
      <c r="H48" s="303">
        <v>918.35962999999992</v>
      </c>
      <c r="I48" s="268">
        <v>929.15510000000006</v>
      </c>
      <c r="J48" s="268">
        <v>975.91939000000013</v>
      </c>
      <c r="K48" s="268">
        <v>1013.1736000000001</v>
      </c>
      <c r="L48" s="268">
        <v>1021.3749800000001</v>
      </c>
      <c r="M48" s="303">
        <v>1039.35455</v>
      </c>
      <c r="N48" s="289">
        <v>986.56173000000001</v>
      </c>
      <c r="O48" s="268">
        <v>978.16109000000006</v>
      </c>
      <c r="P48" s="306">
        <f t="shared" si="7"/>
        <v>11296.857999999998</v>
      </c>
      <c r="Q48" s="277"/>
      <c r="R48" s="277"/>
      <c r="S48" s="278"/>
    </row>
    <row r="49" spans="3:19">
      <c r="C49" s="315" t="s">
        <v>52</v>
      </c>
      <c r="D49" s="268">
        <v>759.92550000000006</v>
      </c>
      <c r="E49" s="288">
        <v>697.56756000000007</v>
      </c>
      <c r="F49" s="268">
        <v>823.36295999999993</v>
      </c>
      <c r="G49" s="268">
        <v>791.75203999999997</v>
      </c>
      <c r="H49" s="268">
        <v>840.35552000000007</v>
      </c>
      <c r="I49" s="303">
        <v>858.32623000000001</v>
      </c>
      <c r="J49" s="303">
        <v>896.19375999999988</v>
      </c>
      <c r="K49" s="268">
        <v>870.34384999999997</v>
      </c>
      <c r="L49" s="268">
        <v>879.92854</v>
      </c>
      <c r="M49" s="268">
        <v>898.54853999999989</v>
      </c>
      <c r="N49" s="289">
        <v>845.77976000000012</v>
      </c>
      <c r="O49" s="268">
        <v>882.84753000000001</v>
      </c>
      <c r="P49" s="306">
        <f t="shared" si="7"/>
        <v>10044.931789999999</v>
      </c>
      <c r="Q49" s="277"/>
      <c r="R49" s="277"/>
      <c r="S49" s="278"/>
    </row>
    <row r="50" spans="3:19">
      <c r="C50" s="315" t="s">
        <v>90</v>
      </c>
      <c r="D50" s="268">
        <v>1419.0863700000002</v>
      </c>
      <c r="E50" s="288">
        <v>1271.6073299999998</v>
      </c>
      <c r="F50" s="268">
        <v>1423.2257500000001</v>
      </c>
      <c r="G50" s="268">
        <v>1360.92073</v>
      </c>
      <c r="H50" s="268">
        <v>1411.26659</v>
      </c>
      <c r="I50" s="268">
        <v>1370.4137499999999</v>
      </c>
      <c r="J50" s="268">
        <v>1404.9998900000001</v>
      </c>
      <c r="K50" s="268">
        <v>1393.1473800000001</v>
      </c>
      <c r="L50" s="303">
        <v>1372.2401200000002</v>
      </c>
      <c r="M50" s="268">
        <v>1396.4090199999998</v>
      </c>
      <c r="N50" s="289">
        <v>1377.3433300000002</v>
      </c>
      <c r="O50" s="268">
        <v>1453.45298</v>
      </c>
      <c r="P50" s="306">
        <f t="shared" si="7"/>
        <v>16654.113239999999</v>
      </c>
      <c r="Q50" s="277"/>
      <c r="R50" s="277"/>
      <c r="S50" s="278"/>
    </row>
    <row r="51" spans="3:19">
      <c r="C51" s="315" t="s">
        <v>53</v>
      </c>
      <c r="D51" s="268">
        <v>2209.4275899999998</v>
      </c>
      <c r="E51" s="288">
        <v>2185.7337799999996</v>
      </c>
      <c r="F51" s="304">
        <v>1889.3387600000003</v>
      </c>
      <c r="G51" s="268">
        <v>1927.5793500000002</v>
      </c>
      <c r="H51" s="268">
        <v>1838.9595800000002</v>
      </c>
      <c r="I51" s="268">
        <v>1415.84719</v>
      </c>
      <c r="J51" s="268">
        <v>1643.2194399999998</v>
      </c>
      <c r="K51" s="268">
        <v>1896.9163400000002</v>
      </c>
      <c r="L51" s="268">
        <v>1886.49622</v>
      </c>
      <c r="M51" s="268">
        <v>1593.4900000000002</v>
      </c>
      <c r="N51" s="289">
        <v>1788.0503299999998</v>
      </c>
      <c r="O51" s="268">
        <v>1941.3447900000001</v>
      </c>
      <c r="P51" s="306">
        <f t="shared" si="7"/>
        <v>22216.40337</v>
      </c>
      <c r="Q51" s="277"/>
      <c r="R51" s="277"/>
      <c r="S51" s="278"/>
    </row>
    <row r="52" spans="3:19">
      <c r="C52" s="315" t="s">
        <v>54</v>
      </c>
      <c r="D52" s="268">
        <v>56.026089999999996</v>
      </c>
      <c r="E52" s="288">
        <v>51.247970000000009</v>
      </c>
      <c r="F52" s="268">
        <v>60.358239999999995</v>
      </c>
      <c r="G52" s="268">
        <v>57.757780000000004</v>
      </c>
      <c r="H52" s="268">
        <v>57.748670000000004</v>
      </c>
      <c r="I52" s="268">
        <v>58.451560000000001</v>
      </c>
      <c r="J52" s="268">
        <v>60.247009999999996</v>
      </c>
      <c r="K52" s="268">
        <v>59.553470000000004</v>
      </c>
      <c r="L52" s="268">
        <v>56.180820000000004</v>
      </c>
      <c r="M52" s="268">
        <v>57.764650000000003</v>
      </c>
      <c r="N52" s="289">
        <v>55.126930000000002</v>
      </c>
      <c r="O52" s="268">
        <v>56.463549999999998</v>
      </c>
      <c r="P52" s="306">
        <f t="shared" si="7"/>
        <v>686.92673999999988</v>
      </c>
      <c r="Q52" s="277"/>
      <c r="R52" s="277"/>
      <c r="S52" s="278"/>
    </row>
    <row r="53" spans="3:19">
      <c r="C53" s="307" t="s">
        <v>93</v>
      </c>
      <c r="D53" s="268">
        <v>9176.2663799999991</v>
      </c>
      <c r="E53" s="268">
        <v>6586.5278699999999</v>
      </c>
      <c r="F53" s="268">
        <v>6120.1563799999985</v>
      </c>
      <c r="G53" s="268">
        <v>6054.3344299999999</v>
      </c>
      <c r="H53" s="268">
        <v>5357.0921900000003</v>
      </c>
      <c r="I53" s="268">
        <v>4442.6854999999996</v>
      </c>
      <c r="J53" s="268">
        <v>4978.6818400000002</v>
      </c>
      <c r="K53" s="268">
        <v>5934.2664000000004</v>
      </c>
      <c r="L53" s="268">
        <v>7586.5682099999995</v>
      </c>
      <c r="M53" s="268">
        <v>9424.6581400000014</v>
      </c>
      <c r="N53" s="289">
        <v>10075.046400000001</v>
      </c>
      <c r="O53" s="268">
        <v>10418.29255</v>
      </c>
      <c r="P53" s="306">
        <f t="shared" si="7"/>
        <v>86154.576289999997</v>
      </c>
      <c r="Q53" s="277"/>
      <c r="R53" s="277"/>
      <c r="S53" s="278"/>
    </row>
    <row r="54" spans="3:19">
      <c r="C54" s="318" t="s">
        <v>43</v>
      </c>
      <c r="D54" s="282">
        <f t="shared" ref="D54:M54" si="16">+SUM(D55:D65)</f>
        <v>4916.2612799999997</v>
      </c>
      <c r="E54" s="282">
        <f t="shared" si="16"/>
        <v>4691.4847600000012</v>
      </c>
      <c r="F54" s="282">
        <f t="shared" si="16"/>
        <v>5416.8898300000001</v>
      </c>
      <c r="G54" s="282">
        <f t="shared" si="16"/>
        <v>5087.7311899999995</v>
      </c>
      <c r="H54" s="282">
        <f t="shared" si="16"/>
        <v>5342.3181400000012</v>
      </c>
      <c r="I54" s="282">
        <f t="shared" si="16"/>
        <v>5189.2527599999994</v>
      </c>
      <c r="J54" s="282">
        <f t="shared" si="16"/>
        <v>5176.417559999999</v>
      </c>
      <c r="K54" s="282">
        <f t="shared" si="16"/>
        <v>5162.1705300000003</v>
      </c>
      <c r="L54" s="282">
        <f t="shared" si="16"/>
        <v>5067.8726099999994</v>
      </c>
      <c r="M54" s="282">
        <f t="shared" si="16"/>
        <v>4977.6260499999999</v>
      </c>
      <c r="N54" s="282">
        <f>+SUM(N55:N65)</f>
        <v>4896.0911399999995</v>
      </c>
      <c r="O54" s="282">
        <f>+SUM(O55:O65)</f>
        <v>4864.9090100000003</v>
      </c>
      <c r="P54" s="319">
        <f>+SUM(P55:P65)</f>
        <v>60789.024859999998</v>
      </c>
      <c r="Q54" s="277"/>
      <c r="R54" s="278"/>
    </row>
    <row r="55" spans="3:19">
      <c r="C55" s="307" t="s">
        <v>56</v>
      </c>
      <c r="D55" s="268">
        <v>1100.73731</v>
      </c>
      <c r="E55" s="268">
        <v>1106.06708</v>
      </c>
      <c r="F55" s="268">
        <v>1222.9028800000001</v>
      </c>
      <c r="G55" s="268">
        <v>1158.19487</v>
      </c>
      <c r="H55" s="268">
        <v>1147.9442099999999</v>
      </c>
      <c r="I55" s="268">
        <v>893.24268999999993</v>
      </c>
      <c r="J55" s="268">
        <v>876.60816</v>
      </c>
      <c r="K55" s="268">
        <v>994.69029999999998</v>
      </c>
      <c r="L55" s="268">
        <v>924.3421699999999</v>
      </c>
      <c r="M55" s="268">
        <v>870.91852000000006</v>
      </c>
      <c r="N55" s="268">
        <v>880.0265599999999</v>
      </c>
      <c r="O55" s="268">
        <v>805.24576000000002</v>
      </c>
      <c r="P55" s="306">
        <f t="shared" si="7"/>
        <v>11980.920509999998</v>
      </c>
      <c r="Q55" s="327"/>
    </row>
    <row r="56" spans="3:19">
      <c r="C56" s="307" t="s">
        <v>59</v>
      </c>
      <c r="D56" s="268">
        <v>1115.2247500000001</v>
      </c>
      <c r="E56" s="268">
        <v>1127.85159</v>
      </c>
      <c r="F56" s="268">
        <v>1390.4486099999999</v>
      </c>
      <c r="G56" s="268">
        <v>1292.7852399999999</v>
      </c>
      <c r="H56" s="268">
        <v>1408.82798</v>
      </c>
      <c r="I56" s="268">
        <v>1469.6871100000001</v>
      </c>
      <c r="J56" s="268">
        <v>1423.1244299999998</v>
      </c>
      <c r="K56" s="268">
        <v>1331.6703200000002</v>
      </c>
      <c r="L56" s="268">
        <v>1397.9092700000001</v>
      </c>
      <c r="M56" s="268">
        <v>1319.0775599999999</v>
      </c>
      <c r="N56" s="268">
        <v>1197.6429800000001</v>
      </c>
      <c r="O56" s="268">
        <v>1157.9522400000001</v>
      </c>
      <c r="P56" s="306">
        <f t="shared" si="7"/>
        <v>15632.202080000003</v>
      </c>
      <c r="Q56" s="327"/>
    </row>
    <row r="57" spans="3:19">
      <c r="C57" s="307" t="s">
        <v>94</v>
      </c>
      <c r="D57" s="268">
        <v>207.99198999999999</v>
      </c>
      <c r="E57" s="268">
        <v>220.43746000000002</v>
      </c>
      <c r="F57" s="268">
        <v>313.38253000000003</v>
      </c>
      <c r="G57" s="268">
        <v>307.42023</v>
      </c>
      <c r="H57" s="268">
        <v>341.43939999999998</v>
      </c>
      <c r="I57" s="268">
        <v>348.90965999999997</v>
      </c>
      <c r="J57" s="268">
        <v>362.39371</v>
      </c>
      <c r="K57" s="268">
        <v>346.32562000000001</v>
      </c>
      <c r="L57" s="268">
        <v>327.87546999999995</v>
      </c>
      <c r="M57" s="268">
        <v>305.57182</v>
      </c>
      <c r="N57" s="268">
        <v>306.45332000000002</v>
      </c>
      <c r="O57" s="268">
        <v>308.43416000000002</v>
      </c>
      <c r="P57" s="306">
        <f t="shared" si="7"/>
        <v>3696.63537</v>
      </c>
      <c r="Q57" s="277"/>
    </row>
    <row r="58" spans="3:19">
      <c r="C58" s="307" t="s">
        <v>95</v>
      </c>
      <c r="D58" s="268">
        <v>880.73916999999994</v>
      </c>
      <c r="E58" s="268">
        <v>880.66829999999993</v>
      </c>
      <c r="F58" s="268">
        <v>957.61934999999983</v>
      </c>
      <c r="G58" s="268">
        <v>918.99825999999996</v>
      </c>
      <c r="H58" s="268">
        <v>964.46020999999996</v>
      </c>
      <c r="I58" s="268">
        <v>969.33173999999997</v>
      </c>
      <c r="J58" s="268">
        <v>951.12009</v>
      </c>
      <c r="K58" s="268">
        <v>931.3152</v>
      </c>
      <c r="L58" s="268">
        <v>956.40114999999992</v>
      </c>
      <c r="M58" s="268">
        <v>1003.18624</v>
      </c>
      <c r="N58" s="268">
        <v>989.30381000000011</v>
      </c>
      <c r="O58" s="268">
        <v>974.67380000000003</v>
      </c>
      <c r="P58" s="306">
        <f t="shared" si="7"/>
        <v>11377.81732</v>
      </c>
      <c r="Q58" s="277"/>
    </row>
    <row r="59" spans="3:19">
      <c r="C59" s="307" t="s">
        <v>96</v>
      </c>
      <c r="D59" s="268">
        <v>138.93511999999998</v>
      </c>
      <c r="E59" s="268">
        <v>131.48661999999999</v>
      </c>
      <c r="F59" s="268">
        <v>142.05346</v>
      </c>
      <c r="G59" s="268">
        <v>130.80500000000001</v>
      </c>
      <c r="H59" s="268">
        <v>166.88114999999999</v>
      </c>
      <c r="I59" s="268">
        <v>160.67279000000002</v>
      </c>
      <c r="J59" s="268">
        <v>160.44413</v>
      </c>
      <c r="K59" s="268">
        <v>161.87913999999998</v>
      </c>
      <c r="L59" s="268">
        <v>166.50742</v>
      </c>
      <c r="M59" s="268">
        <v>159.15458999999998</v>
      </c>
      <c r="N59" s="268">
        <v>176.48505</v>
      </c>
      <c r="O59" s="268">
        <v>143.52892</v>
      </c>
      <c r="P59" s="306">
        <f t="shared" si="7"/>
        <v>1838.8333899999998</v>
      </c>
      <c r="Q59" s="277"/>
    </row>
    <row r="60" spans="3:19">
      <c r="C60" s="307" t="s">
        <v>97</v>
      </c>
      <c r="D60" s="268">
        <v>421.62270999999998</v>
      </c>
      <c r="E60" s="268">
        <v>262.32990000000001</v>
      </c>
      <c r="F60" s="268">
        <v>326.39299</v>
      </c>
      <c r="G60" s="268">
        <v>235.18348999999998</v>
      </c>
      <c r="H60" s="268">
        <v>208.68147000000002</v>
      </c>
      <c r="I60" s="268">
        <v>223.10753</v>
      </c>
      <c r="J60" s="268">
        <v>261.58352000000002</v>
      </c>
      <c r="K60" s="268">
        <v>277.7724</v>
      </c>
      <c r="L60" s="268">
        <v>210.65786000000003</v>
      </c>
      <c r="M60" s="268">
        <v>164.27636999999999</v>
      </c>
      <c r="N60" s="268">
        <v>255.00623999999999</v>
      </c>
      <c r="O60" s="268">
        <v>357.94067999999999</v>
      </c>
      <c r="P60" s="306">
        <f t="shared" si="7"/>
        <v>3204.5551600000003</v>
      </c>
      <c r="Q60" s="305"/>
    </row>
    <row r="61" spans="3:19">
      <c r="C61" s="307" t="s">
        <v>100</v>
      </c>
      <c r="D61" s="268">
        <v>945.84474</v>
      </c>
      <c r="E61" s="268">
        <v>862.38749000000007</v>
      </c>
      <c r="F61" s="268">
        <v>958.80193000000008</v>
      </c>
      <c r="G61" s="268">
        <v>945.99560999999983</v>
      </c>
      <c r="H61" s="268">
        <v>982.24257000000011</v>
      </c>
      <c r="I61" s="268">
        <v>954.33492999999999</v>
      </c>
      <c r="J61" s="268">
        <v>976.72669999999994</v>
      </c>
      <c r="K61" s="268">
        <v>965.74416999999994</v>
      </c>
      <c r="L61" s="268">
        <v>915.63212999999985</v>
      </c>
      <c r="M61" s="268">
        <v>953.06113999999991</v>
      </c>
      <c r="N61" s="268">
        <v>899.45828000000006</v>
      </c>
      <c r="O61" s="268">
        <v>942.75304000000006</v>
      </c>
      <c r="P61" s="306">
        <f t="shared" si="7"/>
        <v>11302.98273</v>
      </c>
      <c r="Q61" s="277"/>
    </row>
    <row r="62" spans="3:19">
      <c r="C62" s="307" t="s">
        <v>101</v>
      </c>
      <c r="D62" s="268">
        <v>105.16549000000001</v>
      </c>
      <c r="E62" s="268">
        <v>100.25632</v>
      </c>
      <c r="F62" s="268">
        <v>105.28808000000001</v>
      </c>
      <c r="G62" s="268">
        <v>98.348489999999998</v>
      </c>
      <c r="H62" s="268">
        <v>121.84115</v>
      </c>
      <c r="I62" s="268">
        <v>114.31867</v>
      </c>
      <c r="J62" s="268">
        <v>106.73179</v>
      </c>
      <c r="K62" s="268">
        <v>63.777869999999993</v>
      </c>
      <c r="L62" s="268">
        <v>80.54070999999999</v>
      </c>
      <c r="M62" s="268">
        <v>98.694450000000003</v>
      </c>
      <c r="N62" s="268">
        <v>39.275030000000008</v>
      </c>
      <c r="O62" s="268">
        <v>11.764280000000001</v>
      </c>
      <c r="P62" s="306">
        <f t="shared" si="7"/>
        <v>1046.00233</v>
      </c>
      <c r="Q62" s="277"/>
    </row>
    <row r="63" spans="3:19">
      <c r="C63" s="307" t="s">
        <v>107</v>
      </c>
      <c r="D63" s="268">
        <v>0</v>
      </c>
      <c r="E63" s="268">
        <v>0</v>
      </c>
      <c r="F63" s="268">
        <v>0</v>
      </c>
      <c r="G63" s="268">
        <v>0</v>
      </c>
      <c r="H63" s="268">
        <v>0</v>
      </c>
      <c r="I63" s="268">
        <v>55.647640000000003</v>
      </c>
      <c r="J63" s="268">
        <v>50.576730000000005</v>
      </c>
      <c r="K63" s="268">
        <v>62.933899999999994</v>
      </c>
      <c r="L63" s="268">
        <v>65.127859999999998</v>
      </c>
      <c r="M63" s="268">
        <v>79.008440000000007</v>
      </c>
      <c r="N63" s="268">
        <v>98.14312000000001</v>
      </c>
      <c r="O63" s="268">
        <v>106.32275</v>
      </c>
      <c r="P63" s="306">
        <f t="shared" si="7"/>
        <v>517.76044000000002</v>
      </c>
      <c r="Q63" s="277"/>
    </row>
    <row r="64" spans="3:19">
      <c r="C64" s="307" t="s">
        <v>108</v>
      </c>
      <c r="D64" s="268">
        <v>0</v>
      </c>
      <c r="E64" s="268">
        <v>0</v>
      </c>
      <c r="F64" s="268">
        <v>0</v>
      </c>
      <c r="G64" s="268">
        <v>0</v>
      </c>
      <c r="H64" s="268">
        <v>0</v>
      </c>
      <c r="I64" s="268">
        <v>0</v>
      </c>
      <c r="J64" s="268">
        <v>7.1082999999999998</v>
      </c>
      <c r="K64" s="268">
        <v>26.061610000000002</v>
      </c>
      <c r="L64" s="268">
        <v>22.87857</v>
      </c>
      <c r="M64" s="268">
        <v>24.676919999999999</v>
      </c>
      <c r="N64" s="268">
        <v>24.6051</v>
      </c>
      <c r="O64" s="268">
        <v>25.425419999999999</v>
      </c>
      <c r="P64" s="306">
        <f t="shared" si="7"/>
        <v>130.75592</v>
      </c>
      <c r="Q64" s="277"/>
    </row>
    <row r="65" spans="1:248" ht="12" thickBot="1">
      <c r="C65" s="308" t="s">
        <v>111</v>
      </c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>
        <v>29.691650000000003</v>
      </c>
      <c r="O65" s="292">
        <v>30.86796</v>
      </c>
      <c r="P65" s="309">
        <f t="shared" si="7"/>
        <v>60.559610000000006</v>
      </c>
      <c r="Q65" s="277"/>
    </row>
    <row r="66" spans="1:248" ht="12" thickTop="1"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</row>
    <row r="67" spans="1:248">
      <c r="C67" s="221" t="s">
        <v>92</v>
      </c>
      <c r="D67" s="294"/>
      <c r="E67" s="295"/>
      <c r="F67" s="294"/>
      <c r="G67" s="294"/>
      <c r="H67" s="294"/>
      <c r="L67" s="246"/>
      <c r="M67" s="246"/>
    </row>
    <row r="68" spans="1:248" s="231" customFormat="1">
      <c r="A68" s="221"/>
      <c r="B68" s="221"/>
      <c r="C68" s="221"/>
      <c r="D68" s="106">
        <f t="shared" ref="D68:O68" si="17">D40-D41</f>
        <v>63480.852020000006</v>
      </c>
      <c r="E68" s="106">
        <f t="shared" si="17"/>
        <v>56171.770969999998</v>
      </c>
      <c r="F68" s="106">
        <f t="shared" si="17"/>
        <v>62597.985410000001</v>
      </c>
      <c r="G68" s="106">
        <f t="shared" si="17"/>
        <v>58244.922920000012</v>
      </c>
      <c r="H68" s="106">
        <f t="shared" si="17"/>
        <v>58244.543860000005</v>
      </c>
      <c r="I68" s="106">
        <f t="shared" si="17"/>
        <v>55762.457790000008</v>
      </c>
      <c r="J68" s="106">
        <f t="shared" si="17"/>
        <v>57394.632690000006</v>
      </c>
      <c r="K68" s="106">
        <f t="shared" si="17"/>
        <v>58454.983420000011</v>
      </c>
      <c r="L68" s="106">
        <f t="shared" si="17"/>
        <v>59195.570240000008</v>
      </c>
      <c r="M68" s="106">
        <f t="shared" si="17"/>
        <v>61747.138300000013</v>
      </c>
      <c r="N68" s="106">
        <f t="shared" si="17"/>
        <v>61643.545180000001</v>
      </c>
      <c r="O68" s="106">
        <f t="shared" si="17"/>
        <v>63936.887790000001</v>
      </c>
    </row>
    <row r="69" spans="1:248"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  <c r="BW69" s="231"/>
      <c r="BX69" s="231"/>
      <c r="BY69" s="231"/>
      <c r="BZ69" s="231"/>
      <c r="CA69" s="231"/>
      <c r="CB69" s="231"/>
      <c r="CC69" s="231"/>
      <c r="CD69" s="231"/>
      <c r="CE69" s="231"/>
      <c r="CF69" s="231"/>
      <c r="CG69" s="231"/>
      <c r="CH69" s="231"/>
      <c r="CI69" s="231"/>
      <c r="CJ69" s="231"/>
      <c r="CK69" s="231"/>
      <c r="CL69" s="231"/>
      <c r="CM69" s="231"/>
      <c r="CN69" s="231"/>
      <c r="CO69" s="231"/>
      <c r="CP69" s="231"/>
      <c r="CQ69" s="231"/>
      <c r="CR69" s="231"/>
      <c r="CS69" s="231"/>
      <c r="CT69" s="231"/>
      <c r="CU69" s="231"/>
      <c r="CV69" s="231"/>
      <c r="CW69" s="231"/>
      <c r="CX69" s="231"/>
      <c r="CY69" s="231"/>
      <c r="CZ69" s="231"/>
      <c r="DA69" s="231"/>
      <c r="DB69" s="231"/>
      <c r="DC69" s="231"/>
      <c r="DD69" s="231"/>
      <c r="DE69" s="231"/>
      <c r="DF69" s="231"/>
      <c r="DG69" s="231"/>
      <c r="DH69" s="231"/>
      <c r="DI69" s="231"/>
      <c r="DJ69" s="231"/>
      <c r="DK69" s="231"/>
      <c r="DL69" s="231"/>
      <c r="DM69" s="231"/>
      <c r="DN69" s="231"/>
      <c r="DO69" s="231"/>
      <c r="DP69" s="231"/>
      <c r="DQ69" s="231"/>
      <c r="DR69" s="231"/>
      <c r="DS69" s="231"/>
      <c r="DT69" s="231"/>
      <c r="DU69" s="231"/>
      <c r="DV69" s="231"/>
      <c r="DW69" s="231"/>
      <c r="DX69" s="231"/>
      <c r="DY69" s="231"/>
      <c r="DZ69" s="231"/>
      <c r="EA69" s="231"/>
      <c r="EB69" s="231"/>
      <c r="EC69" s="231"/>
      <c r="ED69" s="231"/>
      <c r="EE69" s="231"/>
      <c r="EF69" s="231"/>
      <c r="EG69" s="231"/>
      <c r="EH69" s="231"/>
      <c r="EI69" s="231"/>
      <c r="EJ69" s="231"/>
      <c r="EK69" s="231"/>
      <c r="EL69" s="231"/>
      <c r="EM69" s="231"/>
      <c r="EN69" s="231"/>
      <c r="EO69" s="231"/>
      <c r="EP69" s="231"/>
      <c r="EQ69" s="231"/>
      <c r="ER69" s="231"/>
      <c r="ES69" s="231"/>
      <c r="ET69" s="231"/>
      <c r="EU69" s="231"/>
      <c r="EV69" s="231"/>
      <c r="EW69" s="231"/>
      <c r="EX69" s="231"/>
      <c r="EY69" s="231"/>
      <c r="EZ69" s="231"/>
      <c r="FA69" s="231"/>
      <c r="FB69" s="231"/>
      <c r="FC69" s="231"/>
      <c r="FD69" s="231"/>
      <c r="FE69" s="231"/>
      <c r="FF69" s="231"/>
      <c r="FG69" s="231"/>
      <c r="FH69" s="231"/>
      <c r="FI69" s="231"/>
      <c r="FJ69" s="231"/>
      <c r="FK69" s="231"/>
      <c r="FL69" s="231"/>
      <c r="FM69" s="231"/>
      <c r="FN69" s="231"/>
      <c r="FO69" s="231"/>
      <c r="FP69" s="231"/>
      <c r="FQ69" s="231"/>
      <c r="FR69" s="231"/>
      <c r="FS69" s="231"/>
      <c r="FT69" s="231"/>
      <c r="FU69" s="231"/>
      <c r="FV69" s="231"/>
      <c r="FW69" s="231"/>
      <c r="FX69" s="231"/>
      <c r="FY69" s="231"/>
      <c r="FZ69" s="231"/>
      <c r="GA69" s="231"/>
      <c r="GB69" s="231"/>
      <c r="GC69" s="231"/>
      <c r="GD69" s="231"/>
      <c r="GE69" s="231"/>
      <c r="GF69" s="231"/>
      <c r="GG69" s="231"/>
      <c r="GH69" s="231"/>
      <c r="GI69" s="231"/>
      <c r="GJ69" s="231"/>
      <c r="GK69" s="231"/>
      <c r="GL69" s="231"/>
      <c r="GM69" s="231"/>
      <c r="GN69" s="231"/>
      <c r="GO69" s="231"/>
      <c r="GP69" s="231"/>
      <c r="GQ69" s="231"/>
      <c r="GR69" s="231"/>
      <c r="GS69" s="231"/>
      <c r="GT69" s="231"/>
      <c r="GU69" s="231"/>
      <c r="GV69" s="231"/>
      <c r="GW69" s="231"/>
      <c r="GX69" s="231"/>
      <c r="GY69" s="231"/>
      <c r="GZ69" s="231"/>
      <c r="HA69" s="231"/>
      <c r="HB69" s="231"/>
      <c r="HC69" s="231"/>
      <c r="HD69" s="231"/>
      <c r="HE69" s="231"/>
      <c r="HF69" s="231"/>
      <c r="HG69" s="231"/>
      <c r="HH69" s="231"/>
      <c r="HI69" s="231"/>
      <c r="HJ69" s="231"/>
      <c r="HK69" s="231"/>
      <c r="HL69" s="231"/>
      <c r="HM69" s="231"/>
      <c r="HN69" s="231"/>
      <c r="HO69" s="231"/>
      <c r="HP69" s="231"/>
      <c r="HQ69" s="231"/>
      <c r="HR69" s="231"/>
      <c r="HS69" s="231"/>
      <c r="HT69" s="231"/>
      <c r="HU69" s="231"/>
      <c r="HV69" s="231"/>
      <c r="HW69" s="231"/>
      <c r="HX69" s="231"/>
      <c r="HY69" s="231"/>
      <c r="HZ69" s="231"/>
      <c r="IA69" s="231"/>
      <c r="IB69" s="231"/>
      <c r="IC69" s="231"/>
      <c r="ID69" s="231"/>
      <c r="IE69" s="231"/>
      <c r="IF69" s="231"/>
      <c r="IG69" s="231"/>
      <c r="IH69" s="231"/>
      <c r="II69" s="231"/>
      <c r="IJ69" s="231"/>
      <c r="IK69" s="231"/>
      <c r="IL69" s="231"/>
      <c r="IM69" s="231"/>
      <c r="IN69" s="231"/>
    </row>
    <row r="70" spans="1:248">
      <c r="D70" s="297">
        <f t="shared" ref="D70:O70" si="18">+D39-D40</f>
        <v>0</v>
      </c>
      <c r="E70" s="297">
        <f t="shared" si="18"/>
        <v>0</v>
      </c>
      <c r="F70" s="297">
        <f t="shared" si="18"/>
        <v>0</v>
      </c>
      <c r="G70" s="297">
        <f t="shared" si="18"/>
        <v>0</v>
      </c>
      <c r="H70" s="297">
        <f t="shared" si="18"/>
        <v>0</v>
      </c>
      <c r="I70" s="297">
        <f t="shared" si="18"/>
        <v>0</v>
      </c>
      <c r="J70" s="297">
        <f t="shared" si="18"/>
        <v>0</v>
      </c>
      <c r="K70" s="297">
        <f t="shared" si="18"/>
        <v>0</v>
      </c>
      <c r="L70" s="297">
        <f t="shared" si="18"/>
        <v>0</v>
      </c>
      <c r="M70" s="297">
        <f t="shared" si="18"/>
        <v>0</v>
      </c>
      <c r="N70" s="297">
        <f t="shared" si="18"/>
        <v>0</v>
      </c>
      <c r="O70" s="297">
        <f t="shared" si="18"/>
        <v>0</v>
      </c>
      <c r="P70" s="297"/>
    </row>
    <row r="71" spans="1:248">
      <c r="B71" s="278"/>
      <c r="C71" s="249"/>
      <c r="D71" s="297">
        <f t="shared" ref="D71:O71" si="19">+D70*0.4</f>
        <v>0</v>
      </c>
      <c r="E71" s="297">
        <f t="shared" si="19"/>
        <v>0</v>
      </c>
      <c r="F71" s="297">
        <f t="shared" si="19"/>
        <v>0</v>
      </c>
      <c r="G71" s="297">
        <f t="shared" si="19"/>
        <v>0</v>
      </c>
      <c r="H71" s="297">
        <f t="shared" si="19"/>
        <v>0</v>
      </c>
      <c r="I71" s="297">
        <f>+I70*0.4</f>
        <v>0</v>
      </c>
      <c r="J71" s="297">
        <f t="shared" si="19"/>
        <v>0</v>
      </c>
      <c r="K71" s="297">
        <f t="shared" si="19"/>
        <v>0</v>
      </c>
      <c r="L71" s="297">
        <f t="shared" si="19"/>
        <v>0</v>
      </c>
      <c r="M71" s="297">
        <f t="shared" si="19"/>
        <v>0</v>
      </c>
      <c r="N71" s="297">
        <f t="shared" si="19"/>
        <v>0</v>
      </c>
      <c r="O71" s="297">
        <f t="shared" si="19"/>
        <v>0</v>
      </c>
      <c r="P71" s="297"/>
    </row>
    <row r="72" spans="1:248">
      <c r="B72" s="278"/>
      <c r="C72" s="249"/>
      <c r="D72" s="297">
        <f t="shared" ref="D72:O72" si="20">+D70*0.6</f>
        <v>0</v>
      </c>
      <c r="E72" s="297">
        <f t="shared" si="20"/>
        <v>0</v>
      </c>
      <c r="F72" s="297">
        <f t="shared" si="20"/>
        <v>0</v>
      </c>
      <c r="G72" s="297">
        <f t="shared" si="20"/>
        <v>0</v>
      </c>
      <c r="H72" s="297">
        <f t="shared" si="20"/>
        <v>0</v>
      </c>
      <c r="I72" s="297">
        <f>+I70*0.6</f>
        <v>0</v>
      </c>
      <c r="J72" s="297">
        <f t="shared" si="20"/>
        <v>0</v>
      </c>
      <c r="K72" s="297">
        <f t="shared" si="20"/>
        <v>0</v>
      </c>
      <c r="L72" s="297">
        <f t="shared" si="20"/>
        <v>0</v>
      </c>
      <c r="M72" s="297">
        <f t="shared" si="20"/>
        <v>0</v>
      </c>
      <c r="N72" s="297">
        <f t="shared" si="20"/>
        <v>0</v>
      </c>
      <c r="O72" s="297">
        <f t="shared" si="20"/>
        <v>0</v>
      </c>
      <c r="P72" s="297"/>
    </row>
    <row r="73" spans="1:248"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7"/>
      <c r="P73" s="297"/>
    </row>
    <row r="74" spans="1:248">
      <c r="D74" s="300">
        <f t="shared" ref="D74:O74" si="21">D36/D27</f>
        <v>9.8056402418770072E-3</v>
      </c>
      <c r="E74" s="300">
        <f t="shared" si="21"/>
        <v>1.5172060122908452E-2</v>
      </c>
      <c r="F74" s="300">
        <f t="shared" si="21"/>
        <v>1.5649525551109971E-2</v>
      </c>
      <c r="G74" s="300">
        <f t="shared" si="21"/>
        <v>1.2163314514660181E-2</v>
      </c>
      <c r="H74" s="300">
        <f t="shared" si="21"/>
        <v>1.6155594435668701E-2</v>
      </c>
      <c r="I74" s="300">
        <f t="shared" si="21"/>
        <v>1.4726169357670311E-2</v>
      </c>
      <c r="J74" s="300">
        <f t="shared" si="21"/>
        <v>1.7124269180770736E-2</v>
      </c>
      <c r="K74" s="300">
        <f t="shared" si="21"/>
        <v>1.445232694512784E-2</v>
      </c>
      <c r="L74" s="300">
        <f t="shared" si="21"/>
        <v>1.2820294420951126E-2</v>
      </c>
      <c r="M74" s="300">
        <f t="shared" si="21"/>
        <v>1.5129550687998672E-2</v>
      </c>
      <c r="N74" s="300">
        <f t="shared" si="21"/>
        <v>1.4536141044601429E-2</v>
      </c>
      <c r="O74" s="300">
        <f t="shared" si="21"/>
        <v>1.4270567709472961E-2</v>
      </c>
    </row>
    <row r="75" spans="1:248">
      <c r="D75" s="246"/>
      <c r="E75" s="246"/>
      <c r="F75" s="246"/>
      <c r="G75" s="246"/>
      <c r="H75" s="246"/>
      <c r="I75" s="246"/>
      <c r="J75" s="246"/>
      <c r="K75" s="301"/>
      <c r="L75" s="246"/>
      <c r="M75" s="246"/>
      <c r="N75" s="246"/>
      <c r="O75" s="246"/>
    </row>
    <row r="76" spans="1:248">
      <c r="D76" s="237"/>
      <c r="E76" s="237"/>
      <c r="F76" s="246"/>
      <c r="G76" s="237"/>
      <c r="H76" s="237"/>
      <c r="I76" s="237"/>
      <c r="J76" s="237"/>
      <c r="K76" s="237"/>
      <c r="L76" s="237"/>
      <c r="M76" s="237"/>
      <c r="N76" s="237"/>
      <c r="O76" s="237"/>
    </row>
    <row r="77" spans="1:248">
      <c r="D77" s="278">
        <f t="shared" ref="D77:P77" si="22">+D44</f>
        <v>58564.59074</v>
      </c>
      <c r="E77" s="278">
        <f t="shared" si="22"/>
        <v>51480.286209999991</v>
      </c>
      <c r="F77" s="278">
        <f t="shared" si="22"/>
        <v>57181.095580000001</v>
      </c>
      <c r="G77" s="278">
        <f t="shared" si="22"/>
        <v>53157.191730000006</v>
      </c>
      <c r="H77" s="278">
        <f t="shared" si="22"/>
        <v>52902.225720000002</v>
      </c>
      <c r="I77" s="278">
        <f t="shared" si="22"/>
        <v>50573.205030000012</v>
      </c>
      <c r="J77" s="278">
        <f t="shared" si="22"/>
        <v>52218.215130000004</v>
      </c>
      <c r="K77" s="278">
        <f t="shared" si="22"/>
        <v>53292.812890000001</v>
      </c>
      <c r="L77" s="278">
        <f t="shared" si="22"/>
        <v>54127.697629999995</v>
      </c>
      <c r="M77" s="278">
        <f t="shared" si="22"/>
        <v>56769.51225</v>
      </c>
      <c r="N77" s="278">
        <f t="shared" si="22"/>
        <v>56747.454039999997</v>
      </c>
      <c r="O77" s="278">
        <f t="shared" si="22"/>
        <v>59071.978780000005</v>
      </c>
      <c r="P77" s="278">
        <f t="shared" si="22"/>
        <v>656086.26572999998</v>
      </c>
    </row>
    <row r="78" spans="1:248">
      <c r="D78" s="277">
        <v>58564.59074</v>
      </c>
      <c r="E78" s="277">
        <v>51480.286209999991</v>
      </c>
      <c r="F78" s="277">
        <v>57181.095580000008</v>
      </c>
      <c r="G78" s="277">
        <v>53157.191729999999</v>
      </c>
      <c r="H78" s="277">
        <v>52902.225720000002</v>
      </c>
      <c r="I78" s="277">
        <v>50573.205030000012</v>
      </c>
      <c r="J78" s="277">
        <v>52218.215130000004</v>
      </c>
      <c r="K78" s="277">
        <v>53292.812889999994</v>
      </c>
      <c r="L78" s="277">
        <v>54127.697630000002</v>
      </c>
      <c r="M78" s="277">
        <v>56769.51225</v>
      </c>
      <c r="N78" s="277">
        <v>56747.454039999997</v>
      </c>
      <c r="O78" s="221">
        <v>59071.978780000005</v>
      </c>
      <c r="P78" s="221">
        <v>656086.26572999998</v>
      </c>
    </row>
    <row r="79" spans="1:248">
      <c r="D79" s="325">
        <f>+D77-D78</f>
        <v>0</v>
      </c>
      <c r="E79" s="325">
        <f t="shared" ref="E79:P79" si="23">+E77-E78</f>
        <v>0</v>
      </c>
      <c r="F79" s="325">
        <f t="shared" si="23"/>
        <v>0</v>
      </c>
      <c r="G79" s="325">
        <f t="shared" si="23"/>
        <v>0</v>
      </c>
      <c r="H79" s="325">
        <f t="shared" si="23"/>
        <v>0</v>
      </c>
      <c r="I79" s="325">
        <f t="shared" si="23"/>
        <v>0</v>
      </c>
      <c r="J79" s="325">
        <f t="shared" si="23"/>
        <v>0</v>
      </c>
      <c r="K79" s="325">
        <f t="shared" si="23"/>
        <v>0</v>
      </c>
      <c r="L79" s="325">
        <f t="shared" si="23"/>
        <v>0</v>
      </c>
      <c r="M79" s="325">
        <f t="shared" si="23"/>
        <v>0</v>
      </c>
      <c r="N79" s="325">
        <f t="shared" si="23"/>
        <v>0</v>
      </c>
      <c r="O79" s="325">
        <f t="shared" si="23"/>
        <v>0</v>
      </c>
      <c r="P79" s="325">
        <f t="shared" si="23"/>
        <v>0</v>
      </c>
    </row>
    <row r="80" spans="1:248">
      <c r="D80" s="278"/>
      <c r="E80" s="278"/>
      <c r="F80" s="278"/>
      <c r="G80" s="278"/>
      <c r="H80" s="278"/>
      <c r="I80" s="278"/>
      <c r="J80" s="278"/>
      <c r="K80" s="278"/>
      <c r="L80" s="278"/>
      <c r="M80" s="278"/>
      <c r="N80" s="278"/>
    </row>
    <row r="82" spans="9:15">
      <c r="I82" s="277"/>
      <c r="J82" s="277"/>
      <c r="K82" s="277"/>
      <c r="L82" s="277"/>
      <c r="M82" s="277"/>
      <c r="N82" s="277"/>
      <c r="O82" s="277"/>
    </row>
  </sheetData>
  <printOptions horizontalCentered="1"/>
  <pageMargins left="0.39370078740157483" right="0.39370078740157483" top="1.3779527559055118" bottom="1" header="0" footer="0"/>
  <pageSetup paperSize="9" scale="8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2E0F-9012-48FA-B885-6B73CFE16170}">
  <sheetPr codeName="Sheet14">
    <pageSetUpPr fitToPage="1"/>
  </sheetPr>
  <dimension ref="A1:IV78"/>
  <sheetViews>
    <sheetView view="pageBreakPreview" topLeftCell="A4" zoomScaleNormal="80" zoomScaleSheetLayoutView="100" workbookViewId="0">
      <selection activeCell="N66" sqref="N66"/>
    </sheetView>
  </sheetViews>
  <sheetFormatPr baseColWidth="10" defaultColWidth="9" defaultRowHeight="11.25"/>
  <cols>
    <col min="1" max="1" width="3" style="221" customWidth="1"/>
    <col min="2" max="2" width="10.5703125" style="221" customWidth="1"/>
    <col min="3" max="3" width="26.85546875" style="221" bestFit="1" customWidth="1"/>
    <col min="4" max="4" width="10.7109375" style="221" customWidth="1"/>
    <col min="5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0.85546875" style="221" bestFit="1" customWidth="1"/>
    <col min="17" max="17" width="10.42578125" style="221" bestFit="1" customWidth="1"/>
    <col min="18" max="18" width="9.5703125" style="221" bestFit="1" customWidth="1"/>
    <col min="19" max="19" width="10.42578125" style="221" bestFit="1" customWidth="1"/>
    <col min="20" max="16384" width="9" style="221"/>
  </cols>
  <sheetData>
    <row r="1" spans="3:16" hidden="1"/>
    <row r="2" spans="3:16" hidden="1"/>
    <row r="3" spans="3:16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61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235">
        <f>+'2021'!D8</f>
        <v>1233.102616973877</v>
      </c>
      <c r="E8" s="235">
        <f>+'2021'!E8</f>
        <v>1097.8118066394329</v>
      </c>
      <c r="F8" s="236">
        <f>+'2021'!F8</f>
        <v>1179.0509203028678</v>
      </c>
      <c r="G8" s="236">
        <f>+'2021'!G8</f>
        <v>1184.7244219871425</v>
      </c>
      <c r="H8" s="236">
        <f>+'2021'!H8</f>
        <v>1252.9574702080413</v>
      </c>
      <c r="I8" s="236">
        <f>+'2021'!I8</f>
        <v>1180.0157286756269</v>
      </c>
      <c r="J8" s="236">
        <f>+'2021'!J8</f>
        <v>1210.7492569425535</v>
      </c>
      <c r="K8" s="237">
        <f>+'2021'!K8</f>
        <v>1211.6105867347717</v>
      </c>
      <c r="L8" s="236">
        <f>+'2021'!L8</f>
        <v>1182.234948726654</v>
      </c>
      <c r="M8" s="236">
        <f>+'2021'!M8</f>
        <v>1230.9181626663208</v>
      </c>
      <c r="N8" s="236">
        <f>+'2021'!N8</f>
        <v>1020.2672981666323</v>
      </c>
      <c r="O8" s="238">
        <f>+'2021'!O8</f>
        <v>1186.9236830627435</v>
      </c>
      <c r="P8" s="239">
        <f t="shared" ref="P8:P14" si="0">+SUM(D8:O8)</f>
        <v>14170.366901086665</v>
      </c>
    </row>
    <row r="9" spans="3:16">
      <c r="C9" s="234" t="s">
        <v>17</v>
      </c>
      <c r="D9" s="235">
        <f>+'2021'!D9</f>
        <v>419.48752566183731</v>
      </c>
      <c r="E9" s="235">
        <f>+'2021'!E9</f>
        <v>382.36457670211792</v>
      </c>
      <c r="F9" s="236">
        <f>+'2021'!F9</f>
        <v>416.14057712009503</v>
      </c>
      <c r="G9" s="236">
        <f>+'2021'!G9</f>
        <v>406.44832254552841</v>
      </c>
      <c r="H9" s="236">
        <f>+'2021'!H9</f>
        <v>422.59609326648712</v>
      </c>
      <c r="I9" s="236">
        <f>+'2021'!I9</f>
        <v>409.94979420614243</v>
      </c>
      <c r="J9" s="236">
        <f>+'2021'!J9</f>
        <v>424.82105837561375</v>
      </c>
      <c r="K9" s="237">
        <f>+'2021'!K9</f>
        <v>429.95356168890743</v>
      </c>
      <c r="L9" s="236">
        <f>+'2021'!L9</f>
        <v>413.35267374262213</v>
      </c>
      <c r="M9" s="236">
        <f>+'2021'!M9</f>
        <v>432.96923291563985</v>
      </c>
      <c r="N9" s="236">
        <f>+'2021'!N9</f>
        <v>417.33608965206145</v>
      </c>
      <c r="O9" s="238">
        <f>+'2021'!O9</f>
        <v>426.68924250000003</v>
      </c>
      <c r="P9" s="239">
        <f t="shared" si="0"/>
        <v>5002.1087483770525</v>
      </c>
    </row>
    <row r="10" spans="3:16">
      <c r="C10" s="234" t="s">
        <v>18</v>
      </c>
      <c r="D10" s="235">
        <f>+'2021'!D10</f>
        <v>3416.5507712834033</v>
      </c>
      <c r="E10" s="235">
        <f>+'2021'!E10</f>
        <v>3057.3522481908799</v>
      </c>
      <c r="F10" s="236">
        <f>+'2021'!F10</f>
        <v>3412.1624729585646</v>
      </c>
      <c r="G10" s="236">
        <f>+'2021'!G10</f>
        <v>3321.1458732638357</v>
      </c>
      <c r="H10" s="236">
        <f>+'2021'!H10</f>
        <v>3472.1454925231933</v>
      </c>
      <c r="I10" s="236">
        <f>+'2021'!I10</f>
        <v>3328.5985520229337</v>
      </c>
      <c r="J10" s="236">
        <f>+'2021'!J10</f>
        <v>3443.9152772979737</v>
      </c>
      <c r="K10" s="237">
        <f>+'2021'!K10</f>
        <v>3401.1505751572549</v>
      </c>
      <c r="L10" s="236">
        <f>+'2021'!L10</f>
        <v>3355.334414489746</v>
      </c>
      <c r="M10" s="236">
        <f>+'2021'!M10</f>
        <v>3430.0749387454985</v>
      </c>
      <c r="N10" s="236">
        <f>+'2021'!N10</f>
        <v>3331.0571288337705</v>
      </c>
      <c r="O10" s="238">
        <f>+'2021'!O10</f>
        <v>3436.2716599999994</v>
      </c>
      <c r="P10" s="239">
        <f t="shared" si="0"/>
        <v>40405.759404767043</v>
      </c>
    </row>
    <row r="11" spans="3:16">
      <c r="C11" s="234" t="s">
        <v>19</v>
      </c>
      <c r="D11" s="235">
        <f>+'2021'!D11</f>
        <v>11080.669155641377</v>
      </c>
      <c r="E11" s="235">
        <f>+'2021'!E11</f>
        <v>9244.1965181584965</v>
      </c>
      <c r="F11" s="236">
        <f>+'2021'!F11</f>
        <v>8516.1474925635648</v>
      </c>
      <c r="G11" s="236">
        <f>+'2021'!G11</f>
        <v>10519.902336172305</v>
      </c>
      <c r="H11" s="236">
        <f>+'2021'!H11</f>
        <v>8098.437588789795</v>
      </c>
      <c r="I11" s="236">
        <f>+'2021'!I11</f>
        <v>8454.8969809405844</v>
      </c>
      <c r="J11" s="236">
        <f>+'2021'!J11</f>
        <v>8718.5718635289868</v>
      </c>
      <c r="K11" s="237">
        <f>+'2021'!K11</f>
        <v>9912.0978316661112</v>
      </c>
      <c r="L11" s="236">
        <f>+'2021'!L11</f>
        <v>9600.511436954499</v>
      </c>
      <c r="M11" s="236">
        <f>+'2021'!M11</f>
        <v>10042.734091144875</v>
      </c>
      <c r="N11" s="236">
        <f>+'2021'!N11</f>
        <v>9709.3608699533615</v>
      </c>
      <c r="O11" s="238">
        <f>+'2021'!O11</f>
        <v>8460.9802225000039</v>
      </c>
      <c r="P11" s="239">
        <f t="shared" si="0"/>
        <v>112358.50638801396</v>
      </c>
    </row>
    <row r="12" spans="3:16">
      <c r="C12" s="234" t="s">
        <v>20</v>
      </c>
      <c r="D12" s="235">
        <f>+'2021'!D12</f>
        <v>81604.066991568572</v>
      </c>
      <c r="E12" s="235">
        <f>+'2021'!E12</f>
        <v>58450.056295399067</v>
      </c>
      <c r="F12" s="236">
        <f>+'2021'!F12</f>
        <v>59178.474648029565</v>
      </c>
      <c r="G12" s="236">
        <f>+'2021'!G12</f>
        <v>86516.136499450804</v>
      </c>
      <c r="H12" s="236">
        <f>+'2021'!H12</f>
        <v>53418.91271417254</v>
      </c>
      <c r="I12" s="236">
        <f>+'2021'!I12</f>
        <v>51695.818644980267</v>
      </c>
      <c r="J12" s="236">
        <f>+'2021'!J12</f>
        <v>53378.969316558898</v>
      </c>
      <c r="K12" s="237">
        <f>+'2021'!K12</f>
        <v>62358.638895465345</v>
      </c>
      <c r="L12" s="236">
        <f>+'2021'!L12</f>
        <v>60310.445918653728</v>
      </c>
      <c r="M12" s="236">
        <f>+'2021'!M12</f>
        <v>62320.546985839843</v>
      </c>
      <c r="N12" s="236">
        <f>+'2021'!N12</f>
        <v>60309.032603181091</v>
      </c>
      <c r="O12" s="238">
        <f>+'2021'!O12</f>
        <v>62667.343002499947</v>
      </c>
      <c r="P12" s="239">
        <f t="shared" si="0"/>
        <v>752208.44251579966</v>
      </c>
    </row>
    <row r="13" spans="3:16">
      <c r="C13" s="234" t="s">
        <v>21</v>
      </c>
      <c r="D13" s="235">
        <f>+'2021'!D13</f>
        <v>5977.5722042839452</v>
      </c>
      <c r="E13" s="235">
        <f>+'2021'!E13</f>
        <v>5336.1502899169918</v>
      </c>
      <c r="F13" s="236">
        <f>+'2021'!F13</f>
        <v>4742.5634572115396</v>
      </c>
      <c r="G13" s="236">
        <f>+'2021'!G13</f>
        <v>5851.0019576653485</v>
      </c>
      <c r="H13" s="236">
        <f>+'2021'!H13</f>
        <v>5140.3484563064576</v>
      </c>
      <c r="I13" s="236">
        <f>+'2021'!I13</f>
        <v>4965.9737820773717</v>
      </c>
      <c r="J13" s="236">
        <f>+'2021'!J13</f>
        <v>5124.0304550933834</v>
      </c>
      <c r="K13" s="237">
        <f>+'2021'!K13</f>
        <v>5364.5399544529701</v>
      </c>
      <c r="L13" s="236">
        <f>+'2021'!L13</f>
        <v>4879.4505169955464</v>
      </c>
      <c r="M13" s="236">
        <f>+'2021'!M13</f>
        <v>4392.6209095322265</v>
      </c>
      <c r="N13" s="236">
        <f>+'2021'!N13</f>
        <v>5794.0167765660017</v>
      </c>
      <c r="O13" s="238">
        <f>+'2021'!O13</f>
        <v>6008.4979975000015</v>
      </c>
      <c r="P13" s="239">
        <f t="shared" si="0"/>
        <v>63576.766757601785</v>
      </c>
    </row>
    <row r="14" spans="3:16">
      <c r="C14" s="240" t="s">
        <v>22</v>
      </c>
      <c r="D14" s="241">
        <f t="shared" ref="D14:O14" si="1">SUM(D8:D13)</f>
        <v>103731.44926541302</v>
      </c>
      <c r="E14" s="241">
        <f t="shared" si="1"/>
        <v>77567.931735006976</v>
      </c>
      <c r="F14" s="241">
        <f t="shared" si="1"/>
        <v>77444.539568186199</v>
      </c>
      <c r="G14" s="241">
        <f t="shared" si="1"/>
        <v>107799.35941108497</v>
      </c>
      <c r="H14" s="241">
        <f t="shared" si="1"/>
        <v>71805.397815266508</v>
      </c>
      <c r="I14" s="241">
        <f t="shared" si="1"/>
        <v>70035.253482902932</v>
      </c>
      <c r="J14" s="241">
        <f t="shared" si="1"/>
        <v>72301.057227797413</v>
      </c>
      <c r="K14" s="241">
        <f t="shared" si="1"/>
        <v>82677.991405165361</v>
      </c>
      <c r="L14" s="241">
        <f t="shared" si="1"/>
        <v>79741.329909562803</v>
      </c>
      <c r="M14" s="241">
        <f t="shared" si="1"/>
        <v>81849.864320844397</v>
      </c>
      <c r="N14" s="241">
        <f t="shared" si="1"/>
        <v>80581.070766352917</v>
      </c>
      <c r="O14" s="242">
        <f t="shared" si="1"/>
        <v>82186.705808062688</v>
      </c>
      <c r="P14" s="243">
        <f t="shared" si="0"/>
        <v>987721.95071564626</v>
      </c>
    </row>
    <row r="15" spans="3:16">
      <c r="C15" s="228" t="s">
        <v>23</v>
      </c>
      <c r="D15" s="244"/>
      <c r="E15" s="244"/>
      <c r="F15" s="245"/>
      <c r="G15" s="245"/>
      <c r="H15" s="245"/>
      <c r="I15" s="245"/>
      <c r="J15" s="245"/>
      <c r="K15" s="246"/>
      <c r="L15" s="236"/>
      <c r="M15" s="236"/>
      <c r="N15" s="236"/>
      <c r="O15" s="238"/>
      <c r="P15" s="247"/>
    </row>
    <row r="16" spans="3:16">
      <c r="C16" s="248" t="s">
        <v>24</v>
      </c>
      <c r="D16" s="235">
        <f>+'2021'!D16</f>
        <v>0</v>
      </c>
      <c r="E16" s="235">
        <f>+'2021'!E16</f>
        <v>0</v>
      </c>
      <c r="F16" s="236">
        <f>+'2021'!F16</f>
        <v>0</v>
      </c>
      <c r="G16" s="236">
        <f>+'2021'!G16</f>
        <v>0</v>
      </c>
      <c r="H16" s="236">
        <f>+'2021'!H16</f>
        <v>0</v>
      </c>
      <c r="I16" s="236">
        <f>+'2021'!I16</f>
        <v>0</v>
      </c>
      <c r="J16" s="236">
        <f>+'2021'!J16</f>
        <v>0</v>
      </c>
      <c r="K16" s="237">
        <f>+'2021'!K16</f>
        <v>0</v>
      </c>
      <c r="L16" s="236">
        <f>+'2021'!L16</f>
        <v>0</v>
      </c>
      <c r="M16" s="236">
        <f>+'2021'!M16</f>
        <v>0</v>
      </c>
      <c r="N16" s="236">
        <f>+'2021'!N16</f>
        <v>0</v>
      </c>
      <c r="O16" s="238">
        <f>+'2021'!O16</f>
        <v>0</v>
      </c>
      <c r="P16" s="239">
        <f t="shared" ref="P16:P22" si="2">+SUM(D16:O16)</f>
        <v>0</v>
      </c>
    </row>
    <row r="17" spans="3:18">
      <c r="C17" s="234" t="s">
        <v>25</v>
      </c>
      <c r="D17" s="235">
        <f>+'2021'!D17</f>
        <v>0</v>
      </c>
      <c r="E17" s="235">
        <f>+'2021'!E17</f>
        <v>1.9170344848632812</v>
      </c>
      <c r="F17" s="236">
        <f>+'2021'!F17</f>
        <v>25.870295898437501</v>
      </c>
      <c r="G17" s="236">
        <f>+'2021'!G17</f>
        <v>16.659714155241272</v>
      </c>
      <c r="H17" s="236">
        <f>+'2021'!H17</f>
        <v>26.078884826660158</v>
      </c>
      <c r="I17" s="236">
        <f>+'2021'!I17</f>
        <v>1.5885762634277343</v>
      </c>
      <c r="J17" s="236">
        <f>+'2021'!J17</f>
        <v>0</v>
      </c>
      <c r="K17" s="237">
        <f>+'2021'!K17</f>
        <v>2.6681024169921876</v>
      </c>
      <c r="L17" s="236">
        <f>+'2021'!L17</f>
        <v>16.684983978271486</v>
      </c>
      <c r="M17" s="236">
        <f>+'2021'!M17</f>
        <v>4.2668598632812502</v>
      </c>
      <c r="N17" s="236">
        <f>+'2021'!N17</f>
        <v>0</v>
      </c>
      <c r="O17" s="238">
        <f>+'2021'!O17</f>
        <v>31.2816875</v>
      </c>
      <c r="P17" s="239">
        <f t="shared" si="2"/>
        <v>127.01613938717489</v>
      </c>
    </row>
    <row r="18" spans="3:18">
      <c r="C18" s="248" t="s">
        <v>26</v>
      </c>
      <c r="D18" s="235">
        <f>+'2021'!D18</f>
        <v>0</v>
      </c>
      <c r="E18" s="235">
        <f>+'2021'!E18</f>
        <v>4.1758846869662518</v>
      </c>
      <c r="F18" s="236">
        <f>+'2021'!F18</f>
        <v>0</v>
      </c>
      <c r="G18" s="236">
        <f>+'2021'!G18</f>
        <v>1.6534859466552734</v>
      </c>
      <c r="H18" s="236">
        <f>+'2021'!H18</f>
        <v>0</v>
      </c>
      <c r="I18" s="236">
        <f>+'2021'!I18</f>
        <v>2.2837405633084709</v>
      </c>
      <c r="J18" s="236">
        <f>+'2021'!J18</f>
        <v>12.729358222961427</v>
      </c>
      <c r="K18" s="237">
        <f>+'2021'!K18</f>
        <v>10.286797623012454</v>
      </c>
      <c r="L18" s="236">
        <f>+'2021'!L18</f>
        <v>11.160500827787946</v>
      </c>
      <c r="M18" s="236">
        <f>+'2021'!M18</f>
        <v>1.6514606255168656</v>
      </c>
      <c r="N18" s="236">
        <f>+'2021'!N18</f>
        <v>0</v>
      </c>
      <c r="O18" s="238">
        <f>+'2021'!O18</f>
        <v>2.4701899999999997</v>
      </c>
      <c r="P18" s="239">
        <f t="shared" si="2"/>
        <v>46.41141849620869</v>
      </c>
      <c r="Q18" s="249"/>
    </row>
    <row r="19" spans="3:18">
      <c r="C19" s="248" t="s">
        <v>27</v>
      </c>
      <c r="D19" s="235">
        <f>+'2021'!D19</f>
        <v>2.9758904418945313</v>
      </c>
      <c r="E19" s="235">
        <f>+'2021'!E19</f>
        <v>0</v>
      </c>
      <c r="F19" s="236">
        <f>+'2021'!F19</f>
        <v>3.6601343352799591</v>
      </c>
      <c r="G19" s="236">
        <f>+'2021'!G19</f>
        <v>0</v>
      </c>
      <c r="H19" s="236">
        <f>+'2021'!H19</f>
        <v>25.838618032796045</v>
      </c>
      <c r="I19" s="236">
        <f>+'2021'!I19</f>
        <v>0</v>
      </c>
      <c r="J19" s="236">
        <f>+'2021'!J19</f>
        <v>56.883053890809613</v>
      </c>
      <c r="K19" s="237">
        <f>+'2021'!K19</f>
        <v>0</v>
      </c>
      <c r="L19" s="236">
        <f>+'2021'!L19</f>
        <v>49.621064443727931</v>
      </c>
      <c r="M19" s="236">
        <f>+'2021'!M19</f>
        <v>19.142644165039062</v>
      </c>
      <c r="N19" s="236">
        <f>+'2021'!N19</f>
        <v>3.7305728566034428</v>
      </c>
      <c r="O19" s="238">
        <f>+'2021'!O19</f>
        <v>20.000377499999999</v>
      </c>
      <c r="P19" s="239">
        <f t="shared" si="2"/>
        <v>181.85235566615057</v>
      </c>
      <c r="Q19" s="249"/>
    </row>
    <row r="20" spans="3:18">
      <c r="C20" s="250" t="s">
        <v>46</v>
      </c>
      <c r="D20" s="235">
        <f>+'2021'!D20</f>
        <v>0</v>
      </c>
      <c r="E20" s="235">
        <f>+'2021'!E20</f>
        <v>0</v>
      </c>
      <c r="F20" s="235">
        <f>+'2021'!F20</f>
        <v>0</v>
      </c>
      <c r="G20" s="235">
        <f>+'2021'!G20</f>
        <v>0</v>
      </c>
      <c r="H20" s="235">
        <f>+'2021'!H20</f>
        <v>0</v>
      </c>
      <c r="I20" s="235">
        <f>+'2021'!I20</f>
        <v>0</v>
      </c>
      <c r="J20" s="235">
        <f>+'2021'!J20</f>
        <v>0</v>
      </c>
      <c r="K20" s="235">
        <f>+'2021'!K20</f>
        <v>0</v>
      </c>
      <c r="L20" s="235">
        <f>+'2021'!L20</f>
        <v>0</v>
      </c>
      <c r="M20" s="235">
        <f>+'2021'!M20</f>
        <v>0</v>
      </c>
      <c r="N20" s="235">
        <f>+'2021'!N20</f>
        <v>0</v>
      </c>
      <c r="O20" s="237">
        <f>+'2021'!O20</f>
        <v>0</v>
      </c>
      <c r="P20" s="239">
        <f t="shared" si="2"/>
        <v>0</v>
      </c>
      <c r="Q20" s="249"/>
    </row>
    <row r="21" spans="3:18">
      <c r="C21" s="240" t="s">
        <v>28</v>
      </c>
      <c r="D21" s="241">
        <f t="shared" ref="D21:O21" si="3">SUM(D16:D20)</f>
        <v>2.9758904418945313</v>
      </c>
      <c r="E21" s="241">
        <f t="shared" si="3"/>
        <v>6.092919171829533</v>
      </c>
      <c r="F21" s="241">
        <f t="shared" si="3"/>
        <v>29.53043023371746</v>
      </c>
      <c r="G21" s="241">
        <f t="shared" si="3"/>
        <v>18.313200101896545</v>
      </c>
      <c r="H21" s="241">
        <f t="shared" si="3"/>
        <v>51.917502859456206</v>
      </c>
      <c r="I21" s="241">
        <f t="shared" si="3"/>
        <v>3.8723168267362054</v>
      </c>
      <c r="J21" s="241">
        <f t="shared" si="3"/>
        <v>69.612412113771043</v>
      </c>
      <c r="K21" s="241">
        <f t="shared" si="3"/>
        <v>12.954900040004642</v>
      </c>
      <c r="L21" s="241">
        <f t="shared" si="3"/>
        <v>77.466549249787363</v>
      </c>
      <c r="M21" s="241">
        <f t="shared" si="3"/>
        <v>25.060964653837178</v>
      </c>
      <c r="N21" s="241">
        <f t="shared" si="3"/>
        <v>3.7305728566034428</v>
      </c>
      <c r="O21" s="242">
        <f t="shared" si="3"/>
        <v>53.752254999999998</v>
      </c>
      <c r="P21" s="243">
        <f t="shared" si="2"/>
        <v>355.27991354953411</v>
      </c>
    </row>
    <row r="22" spans="3:18" ht="12" thickBot="1">
      <c r="C22" s="251" t="s">
        <v>29</v>
      </c>
      <c r="D22" s="252">
        <f t="shared" ref="D22:O22" si="4">+D14+D21</f>
        <v>103734.42515585491</v>
      </c>
      <c r="E22" s="252">
        <f t="shared" si="4"/>
        <v>77574.024654178807</v>
      </c>
      <c r="F22" s="252">
        <f t="shared" si="4"/>
        <v>77474.069998419916</v>
      </c>
      <c r="G22" s="252">
        <f t="shared" si="4"/>
        <v>107817.67261118686</v>
      </c>
      <c r="H22" s="252">
        <f t="shared" si="4"/>
        <v>71857.315318125969</v>
      </c>
      <c r="I22" s="252">
        <f t="shared" si="4"/>
        <v>70039.125799729663</v>
      </c>
      <c r="J22" s="252">
        <f t="shared" si="4"/>
        <v>72370.669639911182</v>
      </c>
      <c r="K22" s="252">
        <f t="shared" si="4"/>
        <v>82690.946305205362</v>
      </c>
      <c r="L22" s="252">
        <f t="shared" si="4"/>
        <v>79818.796458812591</v>
      </c>
      <c r="M22" s="252">
        <f t="shared" si="4"/>
        <v>81874.925285498233</v>
      </c>
      <c r="N22" s="252">
        <f t="shared" si="4"/>
        <v>80584.801339209516</v>
      </c>
      <c r="O22" s="253">
        <f t="shared" si="4"/>
        <v>82240.458063062688</v>
      </c>
      <c r="P22" s="254">
        <f t="shared" si="2"/>
        <v>988077.23062919569</v>
      </c>
    </row>
    <row r="23" spans="3:18" ht="12" thickTop="1"/>
    <row r="24" spans="3:18">
      <c r="C24" s="222" t="s">
        <v>110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18" ht="12" thickBot="1"/>
    <row r="26" spans="3:18" ht="12" thickTop="1">
      <c r="C26" s="310" t="s">
        <v>30</v>
      </c>
      <c r="D26" s="311" t="s">
        <v>2</v>
      </c>
      <c r="E26" s="311" t="s">
        <v>3</v>
      </c>
      <c r="F26" s="311" t="s">
        <v>4</v>
      </c>
      <c r="G26" s="311" t="s">
        <v>5</v>
      </c>
      <c r="H26" s="311" t="s">
        <v>6</v>
      </c>
      <c r="I26" s="311" t="s">
        <v>7</v>
      </c>
      <c r="J26" s="311" t="s">
        <v>8</v>
      </c>
      <c r="K26" s="311" t="s">
        <v>9</v>
      </c>
      <c r="L26" s="311" t="s">
        <v>10</v>
      </c>
      <c r="M26" s="311" t="s">
        <v>11</v>
      </c>
      <c r="N26" s="311" t="s">
        <v>12</v>
      </c>
      <c r="O26" s="311" t="s">
        <v>13</v>
      </c>
      <c r="P26" s="312" t="s">
        <v>14</v>
      </c>
    </row>
    <row r="27" spans="3:18">
      <c r="C27" s="313" t="s">
        <v>31</v>
      </c>
      <c r="D27" s="263">
        <f t="shared" ref="D27:O27" si="5">+D28+D29</f>
        <v>103734.42515585491</v>
      </c>
      <c r="E27" s="262">
        <f t="shared" si="5"/>
        <v>77574.024654178807</v>
      </c>
      <c r="F27" s="263">
        <f t="shared" si="5"/>
        <v>77474.069998419916</v>
      </c>
      <c r="G27" s="263">
        <f t="shared" si="5"/>
        <v>107817.67261118686</v>
      </c>
      <c r="H27" s="263">
        <f t="shared" si="5"/>
        <v>71857.315318125969</v>
      </c>
      <c r="I27" s="263">
        <f t="shared" si="5"/>
        <v>70039.125799729663</v>
      </c>
      <c r="J27" s="263">
        <f t="shared" si="5"/>
        <v>72370.669639911182</v>
      </c>
      <c r="K27" s="263">
        <f t="shared" si="5"/>
        <v>82690.946305205362</v>
      </c>
      <c r="L27" s="263">
        <f t="shared" si="5"/>
        <v>79818.796458812591</v>
      </c>
      <c r="M27" s="263">
        <f t="shared" si="5"/>
        <v>81874.925285498233</v>
      </c>
      <c r="N27" s="263">
        <f t="shared" si="5"/>
        <v>80584.801339209516</v>
      </c>
      <c r="O27" s="263">
        <f t="shared" si="5"/>
        <v>82240.458063062688</v>
      </c>
      <c r="P27" s="314">
        <f>SUM(D27:O27)</f>
        <v>988077.23062919569</v>
      </c>
      <c r="R27" s="246"/>
    </row>
    <row r="28" spans="3:18">
      <c r="C28" s="315" t="s">
        <v>32</v>
      </c>
      <c r="D28" s="268">
        <f>+D14</f>
        <v>103731.44926541302</v>
      </c>
      <c r="E28" s="268">
        <f t="shared" ref="E28:O28" si="6">+E14</f>
        <v>77567.931735006976</v>
      </c>
      <c r="F28" s="268">
        <f t="shared" si="6"/>
        <v>77444.539568186199</v>
      </c>
      <c r="G28" s="268">
        <f t="shared" si="6"/>
        <v>107799.35941108497</v>
      </c>
      <c r="H28" s="268">
        <f t="shared" si="6"/>
        <v>71805.397815266508</v>
      </c>
      <c r="I28" s="268">
        <f t="shared" si="6"/>
        <v>70035.253482902932</v>
      </c>
      <c r="J28" s="268">
        <f t="shared" si="6"/>
        <v>72301.057227797413</v>
      </c>
      <c r="K28" s="268">
        <f t="shared" si="6"/>
        <v>82677.991405165361</v>
      </c>
      <c r="L28" s="268">
        <f t="shared" si="6"/>
        <v>79741.329909562803</v>
      </c>
      <c r="M28" s="268">
        <f t="shared" si="6"/>
        <v>81849.864320844397</v>
      </c>
      <c r="N28" s="268">
        <f t="shared" si="6"/>
        <v>80581.070766352917</v>
      </c>
      <c r="O28" s="268">
        <f t="shared" si="6"/>
        <v>82186.705808062688</v>
      </c>
      <c r="P28" s="306">
        <f t="shared" ref="P28:P65" si="7">SUM(D28:O28)</f>
        <v>987721.95071564626</v>
      </c>
      <c r="R28" s="246"/>
    </row>
    <row r="29" spans="3:18">
      <c r="C29" s="316" t="s">
        <v>33</v>
      </c>
      <c r="D29" s="272">
        <f>+D21</f>
        <v>2.9758904418945313</v>
      </c>
      <c r="E29" s="272">
        <f t="shared" ref="E29:O29" si="8">+E21</f>
        <v>6.092919171829533</v>
      </c>
      <c r="F29" s="272">
        <f t="shared" si="8"/>
        <v>29.53043023371746</v>
      </c>
      <c r="G29" s="272">
        <f t="shared" si="8"/>
        <v>18.313200101896545</v>
      </c>
      <c r="H29" s="272">
        <f t="shared" si="8"/>
        <v>51.917502859456206</v>
      </c>
      <c r="I29" s="272">
        <f t="shared" si="8"/>
        <v>3.8723168267362054</v>
      </c>
      <c r="J29" s="272">
        <f t="shared" si="8"/>
        <v>69.612412113771043</v>
      </c>
      <c r="K29" s="272">
        <f t="shared" si="8"/>
        <v>12.954900040004642</v>
      </c>
      <c r="L29" s="272">
        <f t="shared" si="8"/>
        <v>77.466549249787363</v>
      </c>
      <c r="M29" s="272">
        <f t="shared" si="8"/>
        <v>25.060964653837178</v>
      </c>
      <c r="N29" s="272">
        <f t="shared" si="8"/>
        <v>3.7305728566034428</v>
      </c>
      <c r="O29" s="272">
        <f t="shared" si="8"/>
        <v>53.752254999999998</v>
      </c>
      <c r="P29" s="317">
        <f t="shared" si="7"/>
        <v>355.27991354953411</v>
      </c>
      <c r="R29" s="246"/>
    </row>
    <row r="30" spans="3:18">
      <c r="C30" s="313" t="s">
        <v>34</v>
      </c>
      <c r="D30" s="263">
        <f>+SUM(D31:D32)</f>
        <v>0</v>
      </c>
      <c r="E30" s="263">
        <f t="shared" ref="E30:O30" si="9">+SUM(E31:E32)</f>
        <v>0</v>
      </c>
      <c r="F30" s="263">
        <f t="shared" si="9"/>
        <v>0</v>
      </c>
      <c r="G30" s="263">
        <f t="shared" si="9"/>
        <v>0</v>
      </c>
      <c r="H30" s="263">
        <f t="shared" si="9"/>
        <v>0</v>
      </c>
      <c r="I30" s="263">
        <f t="shared" si="9"/>
        <v>0</v>
      </c>
      <c r="J30" s="263">
        <f t="shared" si="9"/>
        <v>158.3495632652</v>
      </c>
      <c r="K30" s="263">
        <f t="shared" si="9"/>
        <v>156.82953627200001</v>
      </c>
      <c r="L30" s="263">
        <f t="shared" si="9"/>
        <v>149.98760319423675</v>
      </c>
      <c r="M30" s="263">
        <f t="shared" si="9"/>
        <v>153.82518224525452</v>
      </c>
      <c r="N30" s="263">
        <f t="shared" si="9"/>
        <v>145.401581477165</v>
      </c>
      <c r="O30" s="263">
        <f t="shared" si="9"/>
        <v>149.20185000000001</v>
      </c>
      <c r="P30" s="314">
        <f>+P31+P32</f>
        <v>913.5953164538563</v>
      </c>
      <c r="R30" s="246"/>
    </row>
    <row r="31" spans="3:18">
      <c r="C31" s="307" t="s">
        <v>41</v>
      </c>
      <c r="D31" s="268">
        <f>+'2021-R1'!D31</f>
        <v>0</v>
      </c>
      <c r="E31" s="268">
        <f>+'2021-R1'!E31</f>
        <v>0</v>
      </c>
      <c r="F31" s="268">
        <f>+'2021-R1'!F31</f>
        <v>0</v>
      </c>
      <c r="G31" s="268">
        <f>+'2021-R1'!G31</f>
        <v>0</v>
      </c>
      <c r="H31" s="268">
        <f>+'2021-R1'!H31</f>
        <v>0</v>
      </c>
      <c r="I31" s="268">
        <f>+'2021-R1'!I31</f>
        <v>0</v>
      </c>
      <c r="J31" s="268">
        <f>+'2021-R1'!J31</f>
        <v>0</v>
      </c>
      <c r="K31" s="268">
        <f>+'2021-R1'!K31</f>
        <v>0</v>
      </c>
      <c r="L31" s="268">
        <f>+'2021-R1'!L31</f>
        <v>0</v>
      </c>
      <c r="M31" s="268">
        <f>+'2021-R1'!M31</f>
        <v>0</v>
      </c>
      <c r="N31" s="268">
        <f>+'2021-R1'!N31</f>
        <v>0</v>
      </c>
      <c r="O31" s="268">
        <f>+'2021-R1'!O31</f>
        <v>0</v>
      </c>
      <c r="P31" s="306">
        <f>+SUM(D31:O31)</f>
        <v>0</v>
      </c>
      <c r="R31" s="246"/>
    </row>
    <row r="32" spans="3:18">
      <c r="C32" s="322" t="s">
        <v>109</v>
      </c>
      <c r="D32" s="272">
        <f>+'2021-R1'!D32</f>
        <v>0</v>
      </c>
      <c r="E32" s="272">
        <f>+'2021-R1'!E32</f>
        <v>0</v>
      </c>
      <c r="F32" s="272">
        <f>+'2021-R1'!F32</f>
        <v>0</v>
      </c>
      <c r="G32" s="272">
        <f>+'2021-R1'!G32</f>
        <v>0</v>
      </c>
      <c r="H32" s="272">
        <f>+'2021-R1'!H32</f>
        <v>0</v>
      </c>
      <c r="I32" s="272">
        <f>+'2021-R1'!I32</f>
        <v>0</v>
      </c>
      <c r="J32" s="272">
        <f>+'2021-R1'!J32</f>
        <v>158.3495632652</v>
      </c>
      <c r="K32" s="272">
        <f>+'2021-R1'!K32</f>
        <v>156.82953627200001</v>
      </c>
      <c r="L32" s="272">
        <f>+'2021-R1'!L32</f>
        <v>149.98760319423675</v>
      </c>
      <c r="M32" s="272">
        <f>+'2021-R1'!M32</f>
        <v>153.82518224525452</v>
      </c>
      <c r="N32" s="272">
        <f>+'2021-R1'!N32</f>
        <v>145.401581477165</v>
      </c>
      <c r="O32" s="272">
        <f>+'2021-R1'!O32</f>
        <v>149.20185000000001</v>
      </c>
      <c r="P32" s="317">
        <f>+SUM(D32:O32)</f>
        <v>913.5953164538563</v>
      </c>
      <c r="R32" s="246"/>
    </row>
    <row r="33" spans="2:20">
      <c r="C33" s="313" t="s">
        <v>35</v>
      </c>
      <c r="D33" s="263">
        <f>+D34+D35</f>
        <v>350.53758879079425</v>
      </c>
      <c r="E33" s="263">
        <f t="shared" ref="E33:O33" si="10">+E34+E35</f>
        <v>299.76848623561534</v>
      </c>
      <c r="F33" s="263">
        <f t="shared" si="10"/>
        <v>317.35592181072718</v>
      </c>
      <c r="G33" s="263">
        <f t="shared" si="10"/>
        <v>322.94378548102264</v>
      </c>
      <c r="H33" s="263">
        <f t="shared" si="10"/>
        <v>406.92321836879097</v>
      </c>
      <c r="I33" s="263">
        <f t="shared" si="10"/>
        <v>382.63909800366946</v>
      </c>
      <c r="J33" s="263">
        <f t="shared" si="10"/>
        <v>508.2701127209483</v>
      </c>
      <c r="K33" s="263">
        <f t="shared" si="10"/>
        <v>346.40587719296104</v>
      </c>
      <c r="L33" s="263">
        <f t="shared" si="10"/>
        <v>481.30257529233029</v>
      </c>
      <c r="M33" s="263">
        <f t="shared" si="10"/>
        <v>320.43192268965635</v>
      </c>
      <c r="N33" s="263">
        <f t="shared" si="10"/>
        <v>335.38561434304154</v>
      </c>
      <c r="O33" s="263">
        <f t="shared" si="10"/>
        <v>419.45480031262002</v>
      </c>
      <c r="P33" s="314">
        <f t="shared" si="7"/>
        <v>4491.4190012421777</v>
      </c>
      <c r="R33" s="246"/>
    </row>
    <row r="34" spans="2:20">
      <c r="B34" s="277"/>
      <c r="C34" s="315" t="s">
        <v>32</v>
      </c>
      <c r="D34" s="268">
        <f>+'2021-R1'!D34</f>
        <v>350.30532875814043</v>
      </c>
      <c r="E34" s="268">
        <f>+'2021-R1'!E34</f>
        <v>299.16194384936961</v>
      </c>
      <c r="F34" s="268">
        <f>+'2021-R1'!F34</f>
        <v>316.79680669470315</v>
      </c>
      <c r="G34" s="268">
        <f>+'2021-R1'!G34</f>
        <v>320.98974943957217</v>
      </c>
      <c r="H34" s="268">
        <f>+'2021-R1'!H34</f>
        <v>347.42069221284231</v>
      </c>
      <c r="I34" s="268">
        <f>+'2021-R1'!I34</f>
        <v>347.07474373416494</v>
      </c>
      <c r="J34" s="268">
        <f>+'2021-R1'!J34</f>
        <v>347.16849149687272</v>
      </c>
      <c r="K34" s="268">
        <f>+'2021-R1'!K34</f>
        <v>344.28652643345481</v>
      </c>
      <c r="L34" s="268">
        <f>+'2021-R1'!L34</f>
        <v>327.49984524689245</v>
      </c>
      <c r="M34" s="268">
        <f>+'2021'!M34</f>
        <v>319.0008216125766</v>
      </c>
      <c r="N34" s="268">
        <f>+'2021'!N34</f>
        <v>334.69543766533769</v>
      </c>
      <c r="O34" s="268">
        <f>+'2021'!O34</f>
        <v>338.36299172888357</v>
      </c>
      <c r="P34" s="306">
        <f t="shared" si="7"/>
        <v>3992.7633788728103</v>
      </c>
      <c r="R34" s="246"/>
    </row>
    <row r="35" spans="2:20">
      <c r="B35" s="278"/>
      <c r="C35" s="316" t="s">
        <v>33</v>
      </c>
      <c r="D35" s="268">
        <f>+'2021-R1'!D35</f>
        <v>0.2322600326538086</v>
      </c>
      <c r="E35" s="268">
        <f>+'2021-R1'!E35</f>
        <v>0.60654238624572754</v>
      </c>
      <c r="F35" s="268">
        <f>+'2021-R1'!F35</f>
        <v>0.55911511602401731</v>
      </c>
      <c r="G35" s="272">
        <f>+'2021-R1'!G35</f>
        <v>1.9540360414505005</v>
      </c>
      <c r="H35" s="272">
        <f>+'2021-R1'!H35</f>
        <v>59.502526155948637</v>
      </c>
      <c r="I35" s="272">
        <f>+'2021-R1'!I35</f>
        <v>35.564354269504548</v>
      </c>
      <c r="J35" s="272">
        <f>+'2021-R1'!J35</f>
        <v>161.10162122407556</v>
      </c>
      <c r="K35" s="272">
        <f>+'2021-R1'!K35</f>
        <v>2.1193507595062258</v>
      </c>
      <c r="L35" s="272">
        <f>+'2021-R1'!L35</f>
        <v>153.80273004543781</v>
      </c>
      <c r="M35" s="268">
        <f>+'2021'!M35</f>
        <v>1.431101077079773</v>
      </c>
      <c r="N35" s="272">
        <f>+'2021'!N35</f>
        <v>0.69017667770385738</v>
      </c>
      <c r="O35" s="272">
        <f>+'2021'!O35</f>
        <v>81.091808583736423</v>
      </c>
      <c r="P35" s="317">
        <f t="shared" si="7"/>
        <v>498.65562236936682</v>
      </c>
      <c r="R35" s="246"/>
    </row>
    <row r="36" spans="2:20">
      <c r="C36" s="318" t="s">
        <v>36</v>
      </c>
      <c r="D36" s="263">
        <f t="shared" ref="D36:O36" si="11">+D37+D38</f>
        <v>1465.5568777321023</v>
      </c>
      <c r="E36" s="263">
        <f t="shared" si="11"/>
        <v>1231.6382077964954</v>
      </c>
      <c r="F36" s="263">
        <f t="shared" si="11"/>
        <v>1249.6661534410523</v>
      </c>
      <c r="G36" s="282">
        <f t="shared" si="11"/>
        <v>1592.3647809847025</v>
      </c>
      <c r="H36" s="282">
        <f t="shared" si="11"/>
        <v>1142.5274651591026</v>
      </c>
      <c r="I36" s="282">
        <f t="shared" si="11"/>
        <v>1109.191134590772</v>
      </c>
      <c r="J36" s="282">
        <f t="shared" si="11"/>
        <v>1095.1916656353133</v>
      </c>
      <c r="K36" s="282">
        <f t="shared" si="11"/>
        <v>1291.3891603475931</v>
      </c>
      <c r="L36" s="282">
        <f t="shared" si="11"/>
        <v>1119.6020061959134</v>
      </c>
      <c r="M36" s="263">
        <f t="shared" si="11"/>
        <v>1277.4788018981199</v>
      </c>
      <c r="N36" s="282">
        <f t="shared" si="11"/>
        <v>1224.226600379945</v>
      </c>
      <c r="O36" s="282">
        <f t="shared" si="11"/>
        <v>1176.1682174947346</v>
      </c>
      <c r="P36" s="319">
        <f t="shared" si="7"/>
        <v>14975.001071655846</v>
      </c>
      <c r="R36" s="246"/>
    </row>
    <row r="37" spans="2:20">
      <c r="B37" s="278"/>
      <c r="C37" s="315" t="s">
        <v>37</v>
      </c>
      <c r="D37" s="268">
        <v>586.22275109284089</v>
      </c>
      <c r="E37" s="268">
        <v>492.65528311859816</v>
      </c>
      <c r="F37" s="268">
        <v>499.86646137642094</v>
      </c>
      <c r="G37" s="268">
        <v>636.94591239388103</v>
      </c>
      <c r="H37" s="268">
        <v>457.01098606364104</v>
      </c>
      <c r="I37" s="268">
        <v>443.67645383630884</v>
      </c>
      <c r="J37" s="268">
        <v>438.07666625412531</v>
      </c>
      <c r="K37" s="268">
        <v>516.55566413903728</v>
      </c>
      <c r="L37" s="268">
        <v>447.84080247836539</v>
      </c>
      <c r="M37" s="268">
        <v>510.99152075924798</v>
      </c>
      <c r="N37" s="268">
        <v>489.69064015197802</v>
      </c>
      <c r="O37" s="268">
        <v>470.46728699789384</v>
      </c>
      <c r="P37" s="306">
        <f t="shared" si="7"/>
        <v>5990.0004286623389</v>
      </c>
      <c r="R37" s="246"/>
      <c r="T37" s="246"/>
    </row>
    <row r="38" spans="2:20">
      <c r="B38" s="285"/>
      <c r="C38" s="315" t="s">
        <v>38</v>
      </c>
      <c r="D38" s="272">
        <v>879.3341266392614</v>
      </c>
      <c r="E38" s="272">
        <v>738.98292467789724</v>
      </c>
      <c r="F38" s="272">
        <v>749.79969206463136</v>
      </c>
      <c r="G38" s="268">
        <v>955.41886859082149</v>
      </c>
      <c r="H38" s="268">
        <v>685.51647909546148</v>
      </c>
      <c r="I38" s="268">
        <v>665.51468075446314</v>
      </c>
      <c r="J38" s="268">
        <v>657.11499938118789</v>
      </c>
      <c r="K38" s="272">
        <v>774.83349620855586</v>
      </c>
      <c r="L38" s="272">
        <v>671.76120371754803</v>
      </c>
      <c r="M38" s="272">
        <v>766.48728113887194</v>
      </c>
      <c r="N38" s="272">
        <v>734.53596022796694</v>
      </c>
      <c r="O38" s="272">
        <v>705.70093049684067</v>
      </c>
      <c r="P38" s="306">
        <f t="shared" si="7"/>
        <v>8985.0006429935074</v>
      </c>
      <c r="S38" s="246"/>
      <c r="T38" s="246"/>
    </row>
    <row r="39" spans="2:20">
      <c r="B39" s="285"/>
      <c r="C39" s="320" t="s">
        <v>39</v>
      </c>
      <c r="D39" s="302">
        <f t="shared" ref="D39:P39" si="12">+D27+D30-D33-D36</f>
        <v>101918.33068933201</v>
      </c>
      <c r="E39" s="302">
        <f t="shared" si="12"/>
        <v>76042.617960146701</v>
      </c>
      <c r="F39" s="302">
        <f t="shared" si="12"/>
        <v>75907.047923168138</v>
      </c>
      <c r="G39" s="302">
        <f t="shared" si="12"/>
        <v>105902.36404472114</v>
      </c>
      <c r="H39" s="302">
        <f t="shared" si="12"/>
        <v>70307.864634598081</v>
      </c>
      <c r="I39" s="302">
        <f t="shared" si="12"/>
        <v>68547.295567135225</v>
      </c>
      <c r="J39" s="302">
        <f t="shared" si="12"/>
        <v>70925.55742482013</v>
      </c>
      <c r="K39" s="302">
        <f t="shared" si="12"/>
        <v>81209.980803936807</v>
      </c>
      <c r="L39" s="302">
        <f t="shared" si="12"/>
        <v>78367.87948051859</v>
      </c>
      <c r="M39" s="302">
        <f t="shared" si="12"/>
        <v>80430.83974315571</v>
      </c>
      <c r="N39" s="302">
        <f t="shared" si="12"/>
        <v>79170.590705963696</v>
      </c>
      <c r="O39" s="302">
        <f t="shared" si="12"/>
        <v>80794.036895255325</v>
      </c>
      <c r="P39" s="302">
        <f t="shared" si="12"/>
        <v>969524.40587275149</v>
      </c>
      <c r="R39" s="246"/>
    </row>
    <row r="40" spans="2:20">
      <c r="B40" s="285"/>
      <c r="C40" s="320" t="s">
        <v>40</v>
      </c>
      <c r="D40" s="302">
        <f t="shared" ref="D40:O40" si="13">+D41+D44+D54</f>
        <v>101918.33068933201</v>
      </c>
      <c r="E40" s="302">
        <f t="shared" si="13"/>
        <v>76042.617960146701</v>
      </c>
      <c r="F40" s="302">
        <f t="shared" si="13"/>
        <v>75907.047923168138</v>
      </c>
      <c r="G40" s="302">
        <f t="shared" si="13"/>
        <v>105902.36404472114</v>
      </c>
      <c r="H40" s="302">
        <f t="shared" si="13"/>
        <v>70307.864634598081</v>
      </c>
      <c r="I40" s="302">
        <f t="shared" si="13"/>
        <v>68547.295567135225</v>
      </c>
      <c r="J40" s="302">
        <f t="shared" si="13"/>
        <v>70925.557424820116</v>
      </c>
      <c r="K40" s="302">
        <f t="shared" si="13"/>
        <v>81209.980803936807</v>
      </c>
      <c r="L40" s="302">
        <f t="shared" si="13"/>
        <v>78367.87948051859</v>
      </c>
      <c r="M40" s="302">
        <f t="shared" si="13"/>
        <v>80430.83974315571</v>
      </c>
      <c r="N40" s="302">
        <f t="shared" si="13"/>
        <v>79170.590705963696</v>
      </c>
      <c r="O40" s="302">
        <f t="shared" si="13"/>
        <v>80794.036895255311</v>
      </c>
      <c r="P40" s="321">
        <f t="shared" si="7"/>
        <v>969524.40587275161</v>
      </c>
      <c r="R40" s="246"/>
    </row>
    <row r="41" spans="2:20">
      <c r="B41" s="221">
        <v>1000</v>
      </c>
      <c r="C41" s="318" t="s">
        <v>44</v>
      </c>
      <c r="D41" s="263">
        <f t="shared" ref="D41:N41" si="14">+D42+D43</f>
        <v>38437.478669332006</v>
      </c>
      <c r="E41" s="263">
        <f t="shared" si="14"/>
        <v>19870.846990146711</v>
      </c>
      <c r="F41" s="263">
        <f t="shared" si="14"/>
        <v>13309.06251316813</v>
      </c>
      <c r="G41" s="263">
        <f t="shared" si="14"/>
        <v>47657.441124721117</v>
      </c>
      <c r="H41" s="263">
        <f t="shared" si="14"/>
        <v>12063.320774598084</v>
      </c>
      <c r="I41" s="263">
        <f t="shared" si="14"/>
        <v>12784.83777713521</v>
      </c>
      <c r="J41" s="263">
        <f t="shared" si="14"/>
        <v>13530.924734820117</v>
      </c>
      <c r="K41" s="263">
        <f t="shared" si="14"/>
        <v>22754.997383936796</v>
      </c>
      <c r="L41" s="263">
        <f t="shared" si="14"/>
        <v>19172.309240518582</v>
      </c>
      <c r="M41" s="263">
        <f>+M42+M43</f>
        <v>18683.701443155704</v>
      </c>
      <c r="N41" s="263">
        <f t="shared" si="14"/>
        <v>17527.045525963695</v>
      </c>
      <c r="O41" s="263">
        <f>+O42+O43</f>
        <v>16857.149105255303</v>
      </c>
      <c r="P41" s="314">
        <f t="shared" si="7"/>
        <v>252649.11528275145</v>
      </c>
      <c r="R41" s="246"/>
      <c r="S41" s="246"/>
    </row>
    <row r="42" spans="2:20">
      <c r="B42" s="278">
        <v>13030.85947876166</v>
      </c>
      <c r="C42" s="315" t="s">
        <v>41</v>
      </c>
      <c r="D42" s="268">
        <f>+[1]R!D89</f>
        <v>38437.478669332006</v>
      </c>
      <c r="E42" s="268">
        <f>+[1]R!E89</f>
        <v>19870.846990146711</v>
      </c>
      <c r="F42" s="268">
        <f>+[1]R!F89</f>
        <v>13309.06251316813</v>
      </c>
      <c r="G42" s="268">
        <f>+[1]R!G89</f>
        <v>47657.441124721117</v>
      </c>
      <c r="H42" s="268">
        <f>+[1]R!H89</f>
        <v>12063.320774598084</v>
      </c>
      <c r="I42" s="268">
        <f>+[1]R!I89</f>
        <v>12784.83777713521</v>
      </c>
      <c r="J42" s="268">
        <f>+[1]R!J89</f>
        <v>13530.924734820117</v>
      </c>
      <c r="K42" s="268">
        <f>+[1]R!K89</f>
        <v>22754.997383936796</v>
      </c>
      <c r="L42" s="268">
        <f>+[1]R!L89</f>
        <v>19172.309240518582</v>
      </c>
      <c r="M42" s="268">
        <f>+[1]R!M89</f>
        <v>18683.701443155704</v>
      </c>
      <c r="N42" s="268">
        <f>+[1]R!N89</f>
        <v>17527.045525963695</v>
      </c>
      <c r="O42" s="268">
        <f>+[1]R!O89</f>
        <v>16857.149105255303</v>
      </c>
      <c r="P42" s="306">
        <f t="shared" si="7"/>
        <v>252649.11528275145</v>
      </c>
      <c r="Q42" s="246"/>
      <c r="R42" s="246"/>
    </row>
    <row r="43" spans="2:20" hidden="1">
      <c r="C43" s="315" t="s">
        <v>45</v>
      </c>
      <c r="D43" s="268">
        <v>0</v>
      </c>
      <c r="E43" s="268">
        <v>0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>
        <v>0</v>
      </c>
      <c r="P43" s="306">
        <f t="shared" si="7"/>
        <v>0</v>
      </c>
      <c r="Q43" s="246"/>
      <c r="R43" s="246"/>
    </row>
    <row r="44" spans="2:20">
      <c r="C44" s="318" t="s">
        <v>42</v>
      </c>
      <c r="D44" s="282">
        <f>SUM(D45:D53)</f>
        <v>58564.59074</v>
      </c>
      <c r="E44" s="282">
        <f t="shared" ref="E44:P44" si="15">SUM(E45:E53)</f>
        <v>51480.286209999991</v>
      </c>
      <c r="F44" s="282">
        <f t="shared" si="15"/>
        <v>57181.095580000001</v>
      </c>
      <c r="G44" s="282">
        <f t="shared" si="15"/>
        <v>53157.191730000006</v>
      </c>
      <c r="H44" s="282">
        <f t="shared" si="15"/>
        <v>52902.225720000002</v>
      </c>
      <c r="I44" s="282">
        <f t="shared" si="15"/>
        <v>50573.205030000012</v>
      </c>
      <c r="J44" s="282">
        <f t="shared" si="15"/>
        <v>52218.215130000004</v>
      </c>
      <c r="K44" s="282">
        <f t="shared" si="15"/>
        <v>53292.812890000001</v>
      </c>
      <c r="L44" s="282">
        <f>SUM(L45:L53)</f>
        <v>54127.697629999995</v>
      </c>
      <c r="M44" s="282">
        <f>SUM(M45:M53)</f>
        <v>56769.51225</v>
      </c>
      <c r="N44" s="282">
        <f t="shared" si="15"/>
        <v>56747.454039999997</v>
      </c>
      <c r="O44" s="282">
        <f>SUM(O45:O53)</f>
        <v>59071.978780000005</v>
      </c>
      <c r="P44" s="319">
        <f t="shared" si="15"/>
        <v>656086.26572999998</v>
      </c>
      <c r="R44" s="246">
        <f>+P44+P54</f>
        <v>716875.29058999999</v>
      </c>
    </row>
    <row r="45" spans="2:20">
      <c r="C45" s="315" t="s">
        <v>47</v>
      </c>
      <c r="D45" s="268">
        <f>+[2]R!D74</f>
        <v>11798.489700000002</v>
      </c>
      <c r="E45" s="288">
        <f>+[2]R!E74</f>
        <v>10713.77094</v>
      </c>
      <c r="F45" s="268">
        <f>+[2]R!F74</f>
        <v>12331.583580000002</v>
      </c>
      <c r="G45" s="268">
        <f>+[2]R!G74</f>
        <v>11334.68197</v>
      </c>
      <c r="H45" s="268">
        <f>+[2]R!H74</f>
        <v>11445.130949999999</v>
      </c>
      <c r="I45" s="268">
        <f>+[2]R!I74</f>
        <v>11117.628150000002</v>
      </c>
      <c r="J45" s="268">
        <f>+[2]R!J74</f>
        <v>11248.599410000001</v>
      </c>
      <c r="K45" s="303">
        <f>+[2]R!K74</f>
        <v>11221.016820000001</v>
      </c>
      <c r="L45" s="268">
        <f>+[2]R!L74</f>
        <v>10983.79141</v>
      </c>
      <c r="M45" s="268">
        <f>+[2]R!M74</f>
        <v>11310.517680000001</v>
      </c>
      <c r="N45" s="268">
        <f>+[2]R!N74</f>
        <v>11190.639429999999</v>
      </c>
      <c r="O45" s="268">
        <f>+[2]R!O74</f>
        <v>11644.30803</v>
      </c>
      <c r="P45" s="306">
        <f t="shared" si="7"/>
        <v>136340.15807</v>
      </c>
      <c r="Q45" s="277"/>
      <c r="R45" s="246"/>
    </row>
    <row r="46" spans="2:20">
      <c r="C46" s="315" t="s">
        <v>48</v>
      </c>
      <c r="D46" s="268">
        <f>+[2]R!D75+[2]R!D76</f>
        <v>31016.131410000009</v>
      </c>
      <c r="E46" s="288">
        <f>+[2]R!E75+[2]R!E76</f>
        <v>28069.628779999995</v>
      </c>
      <c r="F46" s="268">
        <f>+[2]R!F75+[2]R!F76</f>
        <v>32393.365649999996</v>
      </c>
      <c r="G46" s="268">
        <f>+[2]R!G75+[2]R!G76</f>
        <v>29603.630850000005</v>
      </c>
      <c r="H46" s="268">
        <f>+[2]R!H75+[2]R!H76</f>
        <v>29860.241249999999</v>
      </c>
      <c r="I46" s="268">
        <f>+[2]R!I75+[2]R!I76</f>
        <v>29259.327060000007</v>
      </c>
      <c r="J46" s="268">
        <f>+[2]R!J75+[2]R!J76</f>
        <v>29854.745869999999</v>
      </c>
      <c r="K46" s="268">
        <f>+[2]R!K75+[2]R!K76</f>
        <v>29754.319379999997</v>
      </c>
      <c r="L46" s="268">
        <f>+[2]R!L75+[2]R!L76</f>
        <v>29201.738249999995</v>
      </c>
      <c r="M46" s="268">
        <f>+[2]R!M75+[2]R!M76</f>
        <v>29863.032899999998</v>
      </c>
      <c r="N46" s="268">
        <f>+[2]R!N75+[2]R!N76</f>
        <v>29256.472330000001</v>
      </c>
      <c r="O46" s="268">
        <f>+[2]R!O75+[2]R!O76</f>
        <v>30441.006150000001</v>
      </c>
      <c r="P46" s="306">
        <f t="shared" si="7"/>
        <v>358573.63988000003</v>
      </c>
      <c r="Q46" s="277"/>
      <c r="R46" s="246"/>
    </row>
    <row r="47" spans="2:20">
      <c r="C47" s="315" t="s">
        <v>50</v>
      </c>
      <c r="D47" s="268">
        <f>+[2]R!D77</f>
        <v>1236.44805</v>
      </c>
      <c r="E47" s="288">
        <f>+[2]R!E77</f>
        <v>1117.42821</v>
      </c>
      <c r="F47" s="268">
        <f>+[2]R!F77</f>
        <v>1248.6028499999998</v>
      </c>
      <c r="G47" s="268">
        <f>+[2]R!G77</f>
        <v>1162.40148</v>
      </c>
      <c r="H47" s="268">
        <f>+[2]R!H77</f>
        <v>1173.07134</v>
      </c>
      <c r="I47" s="268">
        <f>+[2]R!I77</f>
        <v>1121.37049</v>
      </c>
      <c r="J47" s="268">
        <f>+[2]R!J77</f>
        <v>1155.6085199999998</v>
      </c>
      <c r="K47" s="268">
        <f>+[2]R!K77</f>
        <v>1150.0756500000002</v>
      </c>
      <c r="L47" s="268">
        <f>+[2]R!L77</f>
        <v>1139.3790800000002</v>
      </c>
      <c r="M47" s="268">
        <f>+[2]R!M77</f>
        <v>1185.73677</v>
      </c>
      <c r="N47" s="268">
        <f>+[2]R!N77</f>
        <v>1172.4338</v>
      </c>
      <c r="O47" s="268">
        <f>+[2]R!O77</f>
        <v>1256.10211</v>
      </c>
      <c r="P47" s="306">
        <f t="shared" si="7"/>
        <v>14118.65835</v>
      </c>
      <c r="Q47" s="277"/>
      <c r="R47" s="246"/>
    </row>
    <row r="48" spans="2:20">
      <c r="C48" s="315" t="s">
        <v>51</v>
      </c>
      <c r="D48" s="268">
        <f>+[2]R!D78</f>
        <v>892.78964999999994</v>
      </c>
      <c r="E48" s="288">
        <f>+[2]R!E78</f>
        <v>786.77377000000001</v>
      </c>
      <c r="F48" s="268">
        <f>+[2]R!F78</f>
        <v>891.10140999999987</v>
      </c>
      <c r="G48" s="268">
        <f>+[2]R!G78</f>
        <v>864.13310000000013</v>
      </c>
      <c r="H48" s="303">
        <f>+[2]R!H78</f>
        <v>918.35962999999992</v>
      </c>
      <c r="I48" s="268">
        <f>+[2]R!I78</f>
        <v>929.15510000000006</v>
      </c>
      <c r="J48" s="268">
        <f>+[2]R!J78</f>
        <v>975.91939000000013</v>
      </c>
      <c r="K48" s="268">
        <f>+[2]R!K78</f>
        <v>1013.1736000000001</v>
      </c>
      <c r="L48" s="268">
        <f>+[2]R!L78</f>
        <v>1021.3749800000001</v>
      </c>
      <c r="M48" s="303">
        <f>+[2]R!M78</f>
        <v>1039.35455</v>
      </c>
      <c r="N48" s="303">
        <f>+[2]R!N78</f>
        <v>986.56173000000001</v>
      </c>
      <c r="O48" s="303">
        <f>+[2]R!O78</f>
        <v>978.16109000000006</v>
      </c>
      <c r="P48" s="306">
        <f t="shared" si="7"/>
        <v>11296.857999999998</v>
      </c>
      <c r="Q48" s="277"/>
      <c r="R48" s="246"/>
    </row>
    <row r="49" spans="3:21">
      <c r="C49" s="315" t="s">
        <v>52</v>
      </c>
      <c r="D49" s="268">
        <f>+[2]R!D79</f>
        <v>759.92550000000006</v>
      </c>
      <c r="E49" s="288">
        <f>+[2]R!E79</f>
        <v>697.56756000000007</v>
      </c>
      <c r="F49" s="268">
        <f>+[2]R!F79</f>
        <v>823.36295999999993</v>
      </c>
      <c r="G49" s="268">
        <f>+[2]R!G79</f>
        <v>791.75203999999997</v>
      </c>
      <c r="H49" s="268">
        <f>+[2]R!H79</f>
        <v>840.35552000000007</v>
      </c>
      <c r="I49" s="303">
        <f>+[2]R!I79</f>
        <v>858.32623000000001</v>
      </c>
      <c r="J49" s="303">
        <f>+[2]R!J79</f>
        <v>896.19375999999988</v>
      </c>
      <c r="K49" s="268">
        <f>+[2]R!K79</f>
        <v>870.34384999999997</v>
      </c>
      <c r="L49" s="268">
        <f>+[2]R!L79</f>
        <v>879.92854</v>
      </c>
      <c r="M49" s="268">
        <f>+[2]R!M79</f>
        <v>898.54853999999989</v>
      </c>
      <c r="N49" s="268">
        <f>+[2]R!N79</f>
        <v>845.77976000000012</v>
      </c>
      <c r="O49" s="268">
        <f>+[2]R!O79</f>
        <v>882.84753000000001</v>
      </c>
      <c r="P49" s="306">
        <f t="shared" si="7"/>
        <v>10044.931789999999</v>
      </c>
      <c r="Q49" s="277"/>
      <c r="R49" s="246"/>
    </row>
    <row r="50" spans="3:21">
      <c r="C50" s="315" t="s">
        <v>90</v>
      </c>
      <c r="D50" s="268">
        <f>+[2]R!D80</f>
        <v>1419.0863700000002</v>
      </c>
      <c r="E50" s="288">
        <f>+[2]R!E80</f>
        <v>1271.6073299999998</v>
      </c>
      <c r="F50" s="268">
        <f>+[2]R!F80</f>
        <v>1423.2257500000001</v>
      </c>
      <c r="G50" s="268">
        <f>+[2]R!G80</f>
        <v>1360.92073</v>
      </c>
      <c r="H50" s="268">
        <f>+[2]R!H80</f>
        <v>1411.26659</v>
      </c>
      <c r="I50" s="268">
        <f>+[2]R!I80</f>
        <v>1370.4137499999999</v>
      </c>
      <c r="J50" s="268">
        <f>+[2]R!J80</f>
        <v>1404.9998900000001</v>
      </c>
      <c r="K50" s="268">
        <f>+[2]R!K80</f>
        <v>1393.1473800000001</v>
      </c>
      <c r="L50" s="303">
        <f>+[2]R!L80</f>
        <v>1372.2401200000002</v>
      </c>
      <c r="M50" s="268">
        <f>+[2]R!M80</f>
        <v>1396.4090199999998</v>
      </c>
      <c r="N50" s="268">
        <f>+[2]R!N80</f>
        <v>1377.3433300000002</v>
      </c>
      <c r="O50" s="268">
        <f>+[2]R!O80</f>
        <v>1453.45298</v>
      </c>
      <c r="P50" s="306">
        <f t="shared" si="7"/>
        <v>16654.113239999999</v>
      </c>
      <c r="Q50" s="277"/>
      <c r="R50" s="246"/>
    </row>
    <row r="51" spans="3:21">
      <c r="C51" s="315" t="s">
        <v>53</v>
      </c>
      <c r="D51" s="268">
        <f>+[2]R!D81</f>
        <v>2209.4275899999998</v>
      </c>
      <c r="E51" s="288">
        <f>+[2]R!E81</f>
        <v>2185.7337799999996</v>
      </c>
      <c r="F51" s="304">
        <f>+[2]R!F81</f>
        <v>1889.3387600000003</v>
      </c>
      <c r="G51" s="268">
        <f>+[2]R!G81</f>
        <v>1927.5793500000002</v>
      </c>
      <c r="H51" s="268">
        <f>+[2]R!H81</f>
        <v>1838.9595800000002</v>
      </c>
      <c r="I51" s="268">
        <f>+[2]R!I81</f>
        <v>1415.84719</v>
      </c>
      <c r="J51" s="268">
        <f>+[2]R!J81</f>
        <v>1643.2194399999998</v>
      </c>
      <c r="K51" s="268">
        <f>+[2]R!K81</f>
        <v>1896.9163400000002</v>
      </c>
      <c r="L51" s="268">
        <f>+[2]R!L81</f>
        <v>1886.49622</v>
      </c>
      <c r="M51" s="268">
        <f>+[2]R!M81</f>
        <v>1593.4900000000002</v>
      </c>
      <c r="N51" s="268">
        <f>+[2]R!N81</f>
        <v>1788.0503299999998</v>
      </c>
      <c r="O51" s="268">
        <f>+[2]R!O81</f>
        <v>1941.3447900000001</v>
      </c>
      <c r="P51" s="306">
        <f t="shared" si="7"/>
        <v>22216.40337</v>
      </c>
      <c r="Q51" s="277"/>
      <c r="R51" s="246"/>
    </row>
    <row r="52" spans="3:21">
      <c r="C52" s="315" t="s">
        <v>54</v>
      </c>
      <c r="D52" s="268">
        <f>+[2]R!D82</f>
        <v>56.026089999999996</v>
      </c>
      <c r="E52" s="288">
        <f>+[2]R!E82</f>
        <v>51.247970000000009</v>
      </c>
      <c r="F52" s="268">
        <f>+[2]R!F82</f>
        <v>60.358239999999995</v>
      </c>
      <c r="G52" s="268">
        <f>+[2]R!G82</f>
        <v>57.757780000000004</v>
      </c>
      <c r="H52" s="268">
        <f>+[2]R!H82</f>
        <v>57.748670000000004</v>
      </c>
      <c r="I52" s="268">
        <f>+[2]R!I82</f>
        <v>58.451560000000001</v>
      </c>
      <c r="J52" s="268">
        <f>+[2]R!J82</f>
        <v>60.247009999999996</v>
      </c>
      <c r="K52" s="268">
        <f>+[2]R!K82</f>
        <v>59.553470000000004</v>
      </c>
      <c r="L52" s="268">
        <f>+[2]R!L82</f>
        <v>56.180820000000004</v>
      </c>
      <c r="M52" s="268">
        <f>+[2]R!M82</f>
        <v>57.764650000000003</v>
      </c>
      <c r="N52" s="268">
        <f>+[2]R!N82</f>
        <v>55.126930000000002</v>
      </c>
      <c r="O52" s="268">
        <f>+[2]R!O82</f>
        <v>56.463549999999998</v>
      </c>
      <c r="P52" s="306">
        <f t="shared" si="7"/>
        <v>686.92673999999988</v>
      </c>
      <c r="Q52" s="277"/>
      <c r="R52" s="246"/>
    </row>
    <row r="53" spans="3:21">
      <c r="C53" s="307" t="s">
        <v>93</v>
      </c>
      <c r="D53" s="268">
        <f>+[2]R!D83</f>
        <v>9176.2663799999991</v>
      </c>
      <c r="E53" s="268">
        <f>+[2]R!E83</f>
        <v>6586.5278699999999</v>
      </c>
      <c r="F53" s="268">
        <f>+[2]R!F83</f>
        <v>6120.1563799999985</v>
      </c>
      <c r="G53" s="268">
        <f>+[2]R!G83</f>
        <v>6054.3344299999999</v>
      </c>
      <c r="H53" s="268">
        <f>+[2]R!H83</f>
        <v>5357.0921900000003</v>
      </c>
      <c r="I53" s="268">
        <f>+[2]R!I83</f>
        <v>4442.6854999999996</v>
      </c>
      <c r="J53" s="268">
        <f>+[2]R!J83</f>
        <v>4978.6818400000002</v>
      </c>
      <c r="K53" s="268">
        <f>+[2]R!K83</f>
        <v>5934.2664000000004</v>
      </c>
      <c r="L53" s="268">
        <f>+[2]R!L83</f>
        <v>7586.5682099999995</v>
      </c>
      <c r="M53" s="268">
        <f>+[2]R!M83</f>
        <v>9424.6581400000014</v>
      </c>
      <c r="N53" s="268">
        <f>+[2]R!N83</f>
        <v>10075.046400000001</v>
      </c>
      <c r="O53" s="268">
        <f>+[2]R!O83</f>
        <v>10418.29255</v>
      </c>
      <c r="P53" s="306">
        <f t="shared" si="7"/>
        <v>86154.576289999997</v>
      </c>
      <c r="Q53" s="277"/>
      <c r="R53" s="246"/>
    </row>
    <row r="54" spans="3:21">
      <c r="C54" s="318" t="s">
        <v>43</v>
      </c>
      <c r="D54" s="282">
        <f t="shared" ref="D54:P54" si="16">+SUM(D55:D65)</f>
        <v>4916.2612799999997</v>
      </c>
      <c r="E54" s="282">
        <f t="shared" si="16"/>
        <v>4691.4847600000012</v>
      </c>
      <c r="F54" s="282">
        <f t="shared" si="16"/>
        <v>5416.8898300000001</v>
      </c>
      <c r="G54" s="282">
        <f t="shared" si="16"/>
        <v>5087.7311899999995</v>
      </c>
      <c r="H54" s="282">
        <f t="shared" si="16"/>
        <v>5342.3181400000012</v>
      </c>
      <c r="I54" s="282">
        <f t="shared" si="16"/>
        <v>5189.2527599999994</v>
      </c>
      <c r="J54" s="282">
        <f t="shared" si="16"/>
        <v>5176.417559999999</v>
      </c>
      <c r="K54" s="282">
        <f t="shared" si="16"/>
        <v>5162.1705300000003</v>
      </c>
      <c r="L54" s="282">
        <f t="shared" si="16"/>
        <v>5067.8726099999994</v>
      </c>
      <c r="M54" s="282">
        <f t="shared" si="16"/>
        <v>4977.6260499999999</v>
      </c>
      <c r="N54" s="282">
        <f t="shared" si="16"/>
        <v>4896.0911399999995</v>
      </c>
      <c r="O54" s="282">
        <f>+SUM(O55:O65)</f>
        <v>4864.9090100000003</v>
      </c>
      <c r="P54" s="282">
        <f t="shared" si="16"/>
        <v>60789.024859999998</v>
      </c>
      <c r="Q54" s="277"/>
      <c r="R54" s="246"/>
    </row>
    <row r="55" spans="3:21">
      <c r="C55" s="307" t="s">
        <v>56</v>
      </c>
      <c r="D55" s="268">
        <f>+[2]R!D85</f>
        <v>1100.73731</v>
      </c>
      <c r="E55" s="268">
        <f>+[2]R!E85</f>
        <v>1106.06708</v>
      </c>
      <c r="F55" s="268">
        <f>+[2]R!F85</f>
        <v>1222.9028800000001</v>
      </c>
      <c r="G55" s="268">
        <f>+[2]R!G85</f>
        <v>1158.19487</v>
      </c>
      <c r="H55" s="268">
        <f>+[2]R!H85</f>
        <v>1147.9442099999999</v>
      </c>
      <c r="I55" s="268">
        <f>+[2]R!I85</f>
        <v>893.24268999999993</v>
      </c>
      <c r="J55" s="268">
        <f>+[2]R!J85</f>
        <v>876.60816</v>
      </c>
      <c r="K55" s="268">
        <f>+[2]R!K85</f>
        <v>994.69029999999998</v>
      </c>
      <c r="L55" s="268">
        <f>+[2]R!L85</f>
        <v>924.3421699999999</v>
      </c>
      <c r="M55" s="268">
        <f>+[2]R!M85</f>
        <v>870.91852000000006</v>
      </c>
      <c r="N55" s="268">
        <f>+[2]R!N85</f>
        <v>880.0265599999999</v>
      </c>
      <c r="O55" s="268">
        <f>+[2]R!O85</f>
        <v>805.24576000000002</v>
      </c>
      <c r="P55" s="306">
        <f t="shared" si="7"/>
        <v>11980.920509999998</v>
      </c>
      <c r="Q55" s="277"/>
      <c r="R55" s="246"/>
      <c r="S55" s="246"/>
      <c r="U55" s="305"/>
    </row>
    <row r="56" spans="3:21">
      <c r="C56" s="307" t="s">
        <v>59</v>
      </c>
      <c r="D56" s="268">
        <f>+[2]R!D86</f>
        <v>1115.2247500000001</v>
      </c>
      <c r="E56" s="268">
        <f>+[2]R!E86</f>
        <v>1127.85159</v>
      </c>
      <c r="F56" s="268">
        <f>+[2]R!F86</f>
        <v>1390.4486099999999</v>
      </c>
      <c r="G56" s="268">
        <f>+[2]R!G86</f>
        <v>1292.7852399999999</v>
      </c>
      <c r="H56" s="268">
        <f>+[2]R!H86</f>
        <v>1408.82798</v>
      </c>
      <c r="I56" s="268">
        <f>+[2]R!I86</f>
        <v>1469.6871100000001</v>
      </c>
      <c r="J56" s="268">
        <f>+[2]R!J86</f>
        <v>1423.1244299999998</v>
      </c>
      <c r="K56" s="268">
        <f>+[2]R!K86</f>
        <v>1331.6703200000002</v>
      </c>
      <c r="L56" s="268">
        <f>+[2]R!L86</f>
        <v>1397.9092700000001</v>
      </c>
      <c r="M56" s="268">
        <f>+[2]R!M86</f>
        <v>1319.0775599999999</v>
      </c>
      <c r="N56" s="268">
        <f>+[2]R!N86</f>
        <v>1197.6429800000001</v>
      </c>
      <c r="O56" s="268">
        <f>+[2]R!O86</f>
        <v>1157.9522400000003</v>
      </c>
      <c r="P56" s="306">
        <f t="shared" si="7"/>
        <v>15632.202080000003</v>
      </c>
      <c r="Q56" s="277"/>
      <c r="R56" s="246"/>
    </row>
    <row r="57" spans="3:21">
      <c r="C57" s="307" t="s">
        <v>94</v>
      </c>
      <c r="D57" s="268">
        <f>+[2]R!D87</f>
        <v>207.99198999999999</v>
      </c>
      <c r="E57" s="268">
        <f>+[2]R!E87</f>
        <v>220.43746000000002</v>
      </c>
      <c r="F57" s="268">
        <f>+[2]R!F87</f>
        <v>313.38253000000003</v>
      </c>
      <c r="G57" s="268">
        <f>+[2]R!G87</f>
        <v>307.42023</v>
      </c>
      <c r="H57" s="268">
        <f>+[2]R!H87</f>
        <v>341.43939999999998</v>
      </c>
      <c r="I57" s="268">
        <f>+[2]R!I87</f>
        <v>348.90965999999997</v>
      </c>
      <c r="J57" s="268">
        <f>+[2]R!J87</f>
        <v>362.39371</v>
      </c>
      <c r="K57" s="268">
        <f>+[2]R!K87</f>
        <v>346.32562000000001</v>
      </c>
      <c r="L57" s="268">
        <f>+[2]R!L87</f>
        <v>327.87546999999995</v>
      </c>
      <c r="M57" s="268">
        <f>+[2]R!M87</f>
        <v>305.57182</v>
      </c>
      <c r="N57" s="268">
        <f>+[2]R!N87</f>
        <v>306.45332000000002</v>
      </c>
      <c r="O57" s="268">
        <f>+[2]R!O87</f>
        <v>308.43416000000002</v>
      </c>
      <c r="P57" s="306">
        <f t="shared" si="7"/>
        <v>3696.63537</v>
      </c>
      <c r="Q57" s="277"/>
      <c r="R57" s="246"/>
    </row>
    <row r="58" spans="3:21">
      <c r="C58" s="307" t="s">
        <v>95</v>
      </c>
      <c r="D58" s="268">
        <f>+[2]R!D88</f>
        <v>880.73916999999994</v>
      </c>
      <c r="E58" s="268">
        <f>+[2]R!E88</f>
        <v>880.66829999999993</v>
      </c>
      <c r="F58" s="268">
        <f>+[2]R!F88</f>
        <v>957.61934999999983</v>
      </c>
      <c r="G58" s="268">
        <f>+[2]R!G88</f>
        <v>918.99825999999996</v>
      </c>
      <c r="H58" s="268">
        <f>+[2]R!H88</f>
        <v>964.46020999999996</v>
      </c>
      <c r="I58" s="268">
        <f>+[2]R!I88</f>
        <v>969.33173999999997</v>
      </c>
      <c r="J58" s="268">
        <f>+[2]R!J88</f>
        <v>951.12009</v>
      </c>
      <c r="K58" s="268">
        <f>+[2]R!K88</f>
        <v>931.3152</v>
      </c>
      <c r="L58" s="268">
        <f>+[2]R!L88</f>
        <v>956.40114999999992</v>
      </c>
      <c r="M58" s="268">
        <f>+[2]R!M88</f>
        <v>1003.18624</v>
      </c>
      <c r="N58" s="268">
        <f>+[2]R!N88</f>
        <v>989.30381000000011</v>
      </c>
      <c r="O58" s="268">
        <f>+[2]R!O88</f>
        <v>974.67380000000003</v>
      </c>
      <c r="P58" s="306">
        <f t="shared" si="7"/>
        <v>11377.81732</v>
      </c>
      <c r="Q58" s="277"/>
      <c r="R58" s="246"/>
    </row>
    <row r="59" spans="3:21">
      <c r="C59" s="307" t="s">
        <v>96</v>
      </c>
      <c r="D59" s="268">
        <f>+[2]R!D89</f>
        <v>138.93511999999998</v>
      </c>
      <c r="E59" s="268">
        <f>+[2]R!E89</f>
        <v>131.48661999999999</v>
      </c>
      <c r="F59" s="268">
        <f>+[2]R!F89</f>
        <v>142.05346</v>
      </c>
      <c r="G59" s="268">
        <f>+[2]R!G89</f>
        <v>130.80500000000001</v>
      </c>
      <c r="H59" s="268">
        <f>+[2]R!H89</f>
        <v>166.88114999999999</v>
      </c>
      <c r="I59" s="268">
        <f>+[2]R!I89</f>
        <v>160.67279000000002</v>
      </c>
      <c r="J59" s="268">
        <f>+[2]R!J89</f>
        <v>160.44413</v>
      </c>
      <c r="K59" s="268">
        <f>+[2]R!K89</f>
        <v>161.87913999999998</v>
      </c>
      <c r="L59" s="268">
        <f>+[2]R!L89</f>
        <v>166.50742</v>
      </c>
      <c r="M59" s="268">
        <f>+[2]R!M89</f>
        <v>159.15458999999998</v>
      </c>
      <c r="N59" s="268">
        <f>+[2]R!N89</f>
        <v>176.48505</v>
      </c>
      <c r="O59" s="268">
        <f>+[2]R!O89</f>
        <v>143.52892</v>
      </c>
      <c r="P59" s="306">
        <f t="shared" si="7"/>
        <v>1838.8333899999998</v>
      </c>
      <c r="Q59" s="277"/>
      <c r="R59" s="246"/>
    </row>
    <row r="60" spans="3:21">
      <c r="C60" s="307" t="s">
        <v>97</v>
      </c>
      <c r="D60" s="268">
        <f>+[2]R!D90</f>
        <v>421.62270999999998</v>
      </c>
      <c r="E60" s="268">
        <f>+[2]R!E90</f>
        <v>262.32990000000001</v>
      </c>
      <c r="F60" s="268">
        <f>+[2]R!F90</f>
        <v>326.39299</v>
      </c>
      <c r="G60" s="268">
        <f>+[2]R!G90</f>
        <v>235.18348999999998</v>
      </c>
      <c r="H60" s="268">
        <f>+[2]R!H90</f>
        <v>208.68147000000002</v>
      </c>
      <c r="I60" s="268">
        <f>+[2]R!I90</f>
        <v>223.10753</v>
      </c>
      <c r="J60" s="268">
        <f>+[2]R!J90</f>
        <v>261.58352000000002</v>
      </c>
      <c r="K60" s="268">
        <f>+[2]R!K90</f>
        <v>277.7724</v>
      </c>
      <c r="L60" s="268">
        <f>+[2]R!L90</f>
        <v>210.65786000000003</v>
      </c>
      <c r="M60" s="268">
        <f>+[2]R!M90</f>
        <v>164.27636999999999</v>
      </c>
      <c r="N60" s="268">
        <f>+[2]R!N90</f>
        <v>255.00623999999999</v>
      </c>
      <c r="O60" s="268">
        <f>+[2]R!O90</f>
        <v>357.94067999999999</v>
      </c>
      <c r="P60" s="306">
        <f t="shared" si="7"/>
        <v>3204.5551600000003</v>
      </c>
      <c r="Q60" s="277"/>
      <c r="R60" s="246"/>
    </row>
    <row r="61" spans="3:21">
      <c r="C61" s="307" t="s">
        <v>100</v>
      </c>
      <c r="D61" s="268">
        <f>+[2]R!D91</f>
        <v>945.84474</v>
      </c>
      <c r="E61" s="268">
        <f>+[2]R!E91</f>
        <v>862.38749000000007</v>
      </c>
      <c r="F61" s="268">
        <f>+[2]R!F91</f>
        <v>958.80193000000008</v>
      </c>
      <c r="G61" s="268">
        <f>+[2]R!G91</f>
        <v>945.99560999999983</v>
      </c>
      <c r="H61" s="268">
        <f>+[2]R!H91</f>
        <v>982.24257000000011</v>
      </c>
      <c r="I61" s="268">
        <f>+[2]R!I91</f>
        <v>954.33492999999999</v>
      </c>
      <c r="J61" s="268">
        <f>+[2]R!J91</f>
        <v>976.72669999999994</v>
      </c>
      <c r="K61" s="268">
        <f>+[2]R!K91</f>
        <v>965.74416999999994</v>
      </c>
      <c r="L61" s="268">
        <f>+[2]R!L91</f>
        <v>915.63212999999985</v>
      </c>
      <c r="M61" s="268">
        <f>+[2]R!M91</f>
        <v>953.06113999999991</v>
      </c>
      <c r="N61" s="268">
        <f>+[2]R!N91</f>
        <v>899.45828000000006</v>
      </c>
      <c r="O61" s="268">
        <f>+[2]R!O91</f>
        <v>942.75303999999994</v>
      </c>
      <c r="P61" s="306">
        <f t="shared" si="7"/>
        <v>11302.98273</v>
      </c>
      <c r="Q61" s="277"/>
      <c r="R61" s="246"/>
    </row>
    <row r="62" spans="3:21">
      <c r="C62" s="307" t="s">
        <v>101</v>
      </c>
      <c r="D62" s="268">
        <f>+[2]R!D92</f>
        <v>105.16549000000001</v>
      </c>
      <c r="E62" s="268">
        <f>+[2]R!E92</f>
        <v>100.25632</v>
      </c>
      <c r="F62" s="268">
        <f>+[2]R!F92</f>
        <v>105.28808000000001</v>
      </c>
      <c r="G62" s="268">
        <f>+[2]R!G92</f>
        <v>98.348489999999998</v>
      </c>
      <c r="H62" s="268">
        <f>+[2]R!H92</f>
        <v>121.84115</v>
      </c>
      <c r="I62" s="268">
        <f>+[2]R!I92</f>
        <v>114.31867</v>
      </c>
      <c r="J62" s="268">
        <f>+[2]R!J92</f>
        <v>106.73179</v>
      </c>
      <c r="K62" s="268">
        <f>+[2]R!K92</f>
        <v>63.777869999999993</v>
      </c>
      <c r="L62" s="268">
        <f>+[2]R!L92</f>
        <v>80.54070999999999</v>
      </c>
      <c r="M62" s="268">
        <f>+[2]R!M92</f>
        <v>98.694450000000003</v>
      </c>
      <c r="N62" s="268">
        <f>+[2]R!N92</f>
        <v>39.275030000000008</v>
      </c>
      <c r="O62" s="268">
        <f>+[2]R!O92</f>
        <v>11.764280000000001</v>
      </c>
      <c r="P62" s="306">
        <f t="shared" si="7"/>
        <v>1046.00233</v>
      </c>
      <c r="Q62" s="277"/>
      <c r="R62" s="246"/>
    </row>
    <row r="63" spans="3:21">
      <c r="C63" s="307" t="s">
        <v>107</v>
      </c>
      <c r="D63" s="268">
        <f>+[2]R!D93</f>
        <v>0</v>
      </c>
      <c r="E63" s="268">
        <f>+[2]R!E93</f>
        <v>0</v>
      </c>
      <c r="F63" s="268">
        <f>+[2]R!F93</f>
        <v>0</v>
      </c>
      <c r="G63" s="268">
        <f>+[2]R!G93</f>
        <v>0</v>
      </c>
      <c r="H63" s="268">
        <f>+[2]R!H93</f>
        <v>0</v>
      </c>
      <c r="I63" s="268">
        <f>+[2]R!I93</f>
        <v>55.647640000000003</v>
      </c>
      <c r="J63" s="268">
        <f>+[2]R!J93</f>
        <v>50.576730000000005</v>
      </c>
      <c r="K63" s="268">
        <f>+[2]R!K93</f>
        <v>62.933899999999994</v>
      </c>
      <c r="L63" s="268">
        <f>+[2]R!L93</f>
        <v>65.127859999999998</v>
      </c>
      <c r="M63" s="268">
        <f>+[2]R!M93</f>
        <v>79.008440000000007</v>
      </c>
      <c r="N63" s="268">
        <f>+[2]R!N93</f>
        <v>98.14312000000001</v>
      </c>
      <c r="O63" s="268">
        <f>+[2]R!O93</f>
        <v>106.32275</v>
      </c>
      <c r="P63" s="306">
        <f t="shared" si="7"/>
        <v>517.76044000000002</v>
      </c>
      <c r="Q63" s="277"/>
      <c r="R63" s="246"/>
    </row>
    <row r="64" spans="3:21">
      <c r="C64" s="307" t="s">
        <v>108</v>
      </c>
      <c r="D64" s="268">
        <f>+[2]R!D94</f>
        <v>0</v>
      </c>
      <c r="E64" s="268">
        <f>+[2]R!E94</f>
        <v>0</v>
      </c>
      <c r="F64" s="268">
        <f>+[2]R!F94</f>
        <v>0</v>
      </c>
      <c r="G64" s="268">
        <f>+[2]R!G94</f>
        <v>0</v>
      </c>
      <c r="H64" s="268">
        <f>+[2]R!H94</f>
        <v>0</v>
      </c>
      <c r="I64" s="268">
        <f>+[2]R!I94</f>
        <v>0</v>
      </c>
      <c r="J64" s="268">
        <f>+[2]R!J94</f>
        <v>7.1082999999999998</v>
      </c>
      <c r="K64" s="268">
        <f>+[2]R!K94</f>
        <v>26.061610000000002</v>
      </c>
      <c r="L64" s="268">
        <f>+[2]R!L94</f>
        <v>22.87857</v>
      </c>
      <c r="M64" s="268">
        <f>+[2]R!M94</f>
        <v>24.676919999999999</v>
      </c>
      <c r="N64" s="268">
        <f>+[2]R!N94</f>
        <v>24.6051</v>
      </c>
      <c r="O64" s="268">
        <f>+[2]R!O94</f>
        <v>25.425419999999999</v>
      </c>
      <c r="P64" s="306">
        <f t="shared" si="7"/>
        <v>130.75592</v>
      </c>
      <c r="Q64" s="277"/>
      <c r="R64" s="246"/>
    </row>
    <row r="65" spans="1:256" ht="12" thickBot="1">
      <c r="C65" s="308" t="s">
        <v>111</v>
      </c>
      <c r="D65" s="292">
        <f>+[2]R!D95</f>
        <v>0</v>
      </c>
      <c r="E65" s="292">
        <f>+[2]R!E95</f>
        <v>0</v>
      </c>
      <c r="F65" s="292">
        <f>+[2]R!F95</f>
        <v>0</v>
      </c>
      <c r="G65" s="292">
        <f>+[2]R!G95</f>
        <v>0</v>
      </c>
      <c r="H65" s="292">
        <f>+[2]R!H95</f>
        <v>0</v>
      </c>
      <c r="I65" s="292">
        <f>+[2]R!I95</f>
        <v>0</v>
      </c>
      <c r="J65" s="292">
        <f>+[2]R!J95</f>
        <v>0</v>
      </c>
      <c r="K65" s="292">
        <f>+[2]R!K95</f>
        <v>0</v>
      </c>
      <c r="L65" s="292">
        <f>+[2]R!L95</f>
        <v>0</v>
      </c>
      <c r="M65" s="292">
        <f>+[2]R!M95</f>
        <v>0</v>
      </c>
      <c r="N65" s="292">
        <f>+[2]R!N95</f>
        <v>29.691650000000003</v>
      </c>
      <c r="O65" s="292">
        <f>+[2]R!O95</f>
        <v>30.86796</v>
      </c>
      <c r="P65" s="309">
        <f t="shared" si="7"/>
        <v>60.559610000000006</v>
      </c>
      <c r="Q65" s="277"/>
      <c r="R65" s="246"/>
    </row>
    <row r="66" spans="1:256" ht="12" thickTop="1">
      <c r="D66" s="293">
        <f t="shared" ref="D66:O66" si="17">+D34/D28</f>
        <v>3.3770407262105236E-3</v>
      </c>
      <c r="E66" s="293">
        <f t="shared" si="17"/>
        <v>3.8567735036611223E-3</v>
      </c>
      <c r="F66" s="293">
        <f t="shared" si="17"/>
        <v>4.0906280605591148E-3</v>
      </c>
      <c r="G66" s="293">
        <f t="shared" si="17"/>
        <v>2.9776591548703111E-3</v>
      </c>
      <c r="H66" s="293">
        <f t="shared" si="17"/>
        <v>4.838364562879385E-3</v>
      </c>
      <c r="I66" s="293">
        <f t="shared" si="17"/>
        <v>4.9557148218060372E-3</v>
      </c>
      <c r="J66" s="293">
        <f t="shared" si="17"/>
        <v>4.8017069847686496E-3</v>
      </c>
      <c r="K66" s="293">
        <f t="shared" si="17"/>
        <v>4.1641859046414294E-3</v>
      </c>
      <c r="L66" s="293">
        <f t="shared" si="17"/>
        <v>4.107027630694403E-3</v>
      </c>
      <c r="M66" s="293">
        <f t="shared" si="17"/>
        <v>3.8973897422984226E-3</v>
      </c>
      <c r="N66" s="293">
        <f t="shared" si="17"/>
        <v>4.1535243262750448E-3</v>
      </c>
      <c r="O66" s="293">
        <f t="shared" si="17"/>
        <v>4.1170039412346112E-3</v>
      </c>
      <c r="R66" s="246"/>
    </row>
    <row r="67" spans="1:256">
      <c r="D67" s="294"/>
      <c r="E67" s="295"/>
      <c r="F67" s="294"/>
      <c r="G67" s="294"/>
      <c r="H67" s="294"/>
      <c r="L67" s="246"/>
      <c r="M67" s="246"/>
      <c r="R67" s="277"/>
    </row>
    <row r="68" spans="1:256">
      <c r="C68" s="221" t="s">
        <v>92</v>
      </c>
      <c r="D68" s="294"/>
      <c r="E68" s="295"/>
      <c r="F68" s="294"/>
      <c r="G68" s="294"/>
      <c r="H68" s="294"/>
      <c r="L68" s="246"/>
      <c r="M68" s="246"/>
      <c r="R68" s="277"/>
    </row>
    <row r="69" spans="1:256" s="231" customFormat="1">
      <c r="A69" s="221"/>
      <c r="B69" s="221"/>
      <c r="C69" s="221"/>
      <c r="D69" s="106">
        <f t="shared" ref="D69:O69" si="18">D40-D41</f>
        <v>63480.852020000006</v>
      </c>
      <c r="E69" s="106">
        <f t="shared" si="18"/>
        <v>56171.77096999999</v>
      </c>
      <c r="F69" s="106">
        <f t="shared" si="18"/>
        <v>62597.985410000008</v>
      </c>
      <c r="G69" s="106">
        <f t="shared" si="18"/>
        <v>58244.922920000019</v>
      </c>
      <c r="H69" s="106">
        <f t="shared" si="18"/>
        <v>58244.543859999998</v>
      </c>
      <c r="I69" s="106">
        <f t="shared" si="18"/>
        <v>55762.457790000015</v>
      </c>
      <c r="J69" s="106">
        <f t="shared" si="18"/>
        <v>57394.632689999999</v>
      </c>
      <c r="K69" s="106">
        <f t="shared" si="18"/>
        <v>58454.983420000011</v>
      </c>
      <c r="L69" s="106">
        <f t="shared" si="18"/>
        <v>59195.570240000008</v>
      </c>
      <c r="M69" s="106">
        <f t="shared" si="18"/>
        <v>61747.138300000006</v>
      </c>
      <c r="N69" s="106">
        <f t="shared" si="18"/>
        <v>61643.545180000001</v>
      </c>
      <c r="O69" s="106">
        <f t="shared" si="18"/>
        <v>63936.887790000008</v>
      </c>
    </row>
    <row r="70" spans="1:256"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  <c r="BW70" s="231"/>
      <c r="BX70" s="231"/>
      <c r="BY70" s="231"/>
      <c r="BZ70" s="231"/>
      <c r="CA70" s="231"/>
      <c r="CB70" s="231"/>
      <c r="CC70" s="231"/>
      <c r="CD70" s="231"/>
      <c r="CE70" s="231"/>
      <c r="CF70" s="231"/>
      <c r="CG70" s="231"/>
      <c r="CH70" s="231"/>
      <c r="CI70" s="231"/>
      <c r="CJ70" s="231"/>
      <c r="CK70" s="231"/>
      <c r="CL70" s="231"/>
      <c r="CM70" s="231"/>
      <c r="CN70" s="231"/>
      <c r="CO70" s="231"/>
      <c r="CP70" s="231"/>
      <c r="CQ70" s="231"/>
      <c r="CR70" s="231"/>
      <c r="CS70" s="231"/>
      <c r="CT70" s="231"/>
      <c r="CU70" s="231"/>
      <c r="CV70" s="231"/>
      <c r="CW70" s="231"/>
      <c r="CX70" s="231"/>
      <c r="CY70" s="231"/>
      <c r="CZ70" s="231"/>
      <c r="DA70" s="231"/>
      <c r="DB70" s="231"/>
      <c r="DC70" s="231"/>
      <c r="DD70" s="231"/>
      <c r="DE70" s="231"/>
      <c r="DF70" s="231"/>
      <c r="DG70" s="231"/>
      <c r="DH70" s="231"/>
      <c r="DI70" s="231"/>
      <c r="DJ70" s="231"/>
      <c r="DK70" s="231"/>
      <c r="DL70" s="231"/>
      <c r="DM70" s="231"/>
      <c r="DN70" s="231"/>
      <c r="DO70" s="231"/>
      <c r="DP70" s="231"/>
      <c r="DQ70" s="231"/>
      <c r="DR70" s="231"/>
      <c r="DS70" s="231"/>
      <c r="DT70" s="231"/>
      <c r="DU70" s="231"/>
      <c r="DV70" s="231"/>
      <c r="DW70" s="231"/>
      <c r="DX70" s="231"/>
      <c r="DY70" s="231"/>
      <c r="DZ70" s="231"/>
      <c r="EA70" s="231"/>
      <c r="EB70" s="231"/>
      <c r="EC70" s="231"/>
      <c r="ED70" s="231"/>
      <c r="EE70" s="231"/>
      <c r="EF70" s="231"/>
      <c r="EG70" s="231"/>
      <c r="EH70" s="231"/>
      <c r="EI70" s="231"/>
      <c r="EJ70" s="231"/>
      <c r="EK70" s="231"/>
      <c r="EL70" s="231"/>
      <c r="EM70" s="231"/>
      <c r="EN70" s="231"/>
      <c r="EO70" s="231"/>
      <c r="EP70" s="231"/>
      <c r="EQ70" s="231"/>
      <c r="ER70" s="231"/>
      <c r="ES70" s="231"/>
      <c r="ET70" s="231"/>
      <c r="EU70" s="231"/>
      <c r="EV70" s="231"/>
      <c r="EW70" s="231"/>
      <c r="EX70" s="231"/>
      <c r="EY70" s="231"/>
      <c r="EZ70" s="231"/>
      <c r="FA70" s="231"/>
      <c r="FB70" s="231"/>
      <c r="FC70" s="231"/>
      <c r="FD70" s="231"/>
      <c r="FE70" s="231"/>
      <c r="FF70" s="231"/>
      <c r="FG70" s="231"/>
      <c r="FH70" s="231"/>
      <c r="FI70" s="231"/>
      <c r="FJ70" s="231"/>
      <c r="FK70" s="231"/>
      <c r="FL70" s="231"/>
      <c r="FM70" s="231"/>
      <c r="FN70" s="231"/>
      <c r="FO70" s="231"/>
      <c r="FP70" s="231"/>
      <c r="FQ70" s="231"/>
      <c r="FR70" s="231"/>
      <c r="FS70" s="231"/>
      <c r="FT70" s="231"/>
      <c r="FU70" s="231"/>
      <c r="FV70" s="231"/>
      <c r="FW70" s="231"/>
      <c r="FX70" s="231"/>
      <c r="FY70" s="231"/>
      <c r="FZ70" s="231"/>
      <c r="GA70" s="231"/>
      <c r="GB70" s="231"/>
      <c r="GC70" s="231"/>
      <c r="GD70" s="231"/>
      <c r="GE70" s="231"/>
      <c r="GF70" s="231"/>
      <c r="GG70" s="231"/>
      <c r="GH70" s="231"/>
      <c r="GI70" s="231"/>
      <c r="GJ70" s="231"/>
      <c r="GK70" s="231"/>
      <c r="GL70" s="231"/>
      <c r="GM70" s="231"/>
      <c r="GN70" s="231"/>
      <c r="GO70" s="231"/>
      <c r="GP70" s="231"/>
      <c r="GQ70" s="231"/>
      <c r="GR70" s="231"/>
      <c r="GS70" s="231"/>
      <c r="GT70" s="231"/>
      <c r="GU70" s="231"/>
      <c r="GV70" s="231"/>
      <c r="GW70" s="231"/>
      <c r="GX70" s="231"/>
      <c r="GY70" s="231"/>
      <c r="GZ70" s="231"/>
      <c r="HA70" s="231"/>
      <c r="HB70" s="231"/>
      <c r="HC70" s="231"/>
      <c r="HD70" s="231"/>
      <c r="HE70" s="231"/>
      <c r="HF70" s="231"/>
      <c r="HG70" s="231"/>
      <c r="HH70" s="231"/>
      <c r="HI70" s="231"/>
      <c r="HJ70" s="231"/>
      <c r="HK70" s="231"/>
      <c r="HL70" s="231"/>
      <c r="HM70" s="231"/>
      <c r="HN70" s="231"/>
      <c r="HO70" s="231"/>
      <c r="HP70" s="231"/>
      <c r="HQ70" s="231"/>
      <c r="HR70" s="231"/>
      <c r="HS70" s="231"/>
      <c r="HT70" s="231"/>
      <c r="HU70" s="231"/>
      <c r="HV70" s="231"/>
      <c r="HW70" s="231"/>
      <c r="HX70" s="231"/>
      <c r="HY70" s="231"/>
      <c r="HZ70" s="231"/>
      <c r="IA70" s="231"/>
      <c r="IB70" s="231"/>
      <c r="IC70" s="231"/>
      <c r="ID70" s="231"/>
      <c r="IE70" s="231"/>
      <c r="IF70" s="231"/>
      <c r="IG70" s="231"/>
      <c r="IH70" s="231"/>
      <c r="II70" s="231"/>
      <c r="IJ70" s="231"/>
      <c r="IK70" s="231"/>
      <c r="IL70" s="231"/>
      <c r="IM70" s="231"/>
      <c r="IN70" s="231"/>
      <c r="IO70" s="231"/>
      <c r="IP70" s="231"/>
      <c r="IQ70" s="231"/>
      <c r="IR70" s="231"/>
      <c r="IS70" s="231"/>
      <c r="IT70" s="231"/>
      <c r="IU70" s="231"/>
      <c r="IV70" s="231"/>
    </row>
    <row r="71" spans="1:256">
      <c r="D71" s="297">
        <f t="shared" ref="D71:O71" si="19">+D39-D40</f>
        <v>0</v>
      </c>
      <c r="E71" s="297">
        <f t="shared" si="19"/>
        <v>0</v>
      </c>
      <c r="F71" s="297">
        <f t="shared" si="19"/>
        <v>0</v>
      </c>
      <c r="G71" s="297">
        <f t="shared" si="19"/>
        <v>0</v>
      </c>
      <c r="H71" s="297">
        <f t="shared" si="19"/>
        <v>0</v>
      </c>
      <c r="I71" s="297">
        <f t="shared" si="19"/>
        <v>0</v>
      </c>
      <c r="J71" s="297">
        <f t="shared" si="19"/>
        <v>0</v>
      </c>
      <c r="K71" s="297">
        <f t="shared" si="19"/>
        <v>0</v>
      </c>
      <c r="L71" s="297">
        <f t="shared" si="19"/>
        <v>0</v>
      </c>
      <c r="M71" s="297">
        <f t="shared" si="19"/>
        <v>0</v>
      </c>
      <c r="N71" s="297">
        <f t="shared" si="19"/>
        <v>0</v>
      </c>
      <c r="O71" s="297">
        <f t="shared" si="19"/>
        <v>0</v>
      </c>
      <c r="P71" s="297"/>
      <c r="R71" s="298"/>
    </row>
    <row r="72" spans="1:256">
      <c r="B72" s="278"/>
      <c r="C72" s="249"/>
      <c r="D72" s="297">
        <f t="shared" ref="D72:O72" si="20">+D71*0.4</f>
        <v>0</v>
      </c>
      <c r="E72" s="297">
        <f t="shared" si="20"/>
        <v>0</v>
      </c>
      <c r="F72" s="297">
        <f t="shared" si="20"/>
        <v>0</v>
      </c>
      <c r="G72" s="297">
        <f t="shared" si="20"/>
        <v>0</v>
      </c>
      <c r="H72" s="297">
        <f t="shared" si="20"/>
        <v>0</v>
      </c>
      <c r="I72" s="297">
        <f>+I71*0.4</f>
        <v>0</v>
      </c>
      <c r="J72" s="297">
        <f t="shared" si="20"/>
        <v>0</v>
      </c>
      <c r="K72" s="297">
        <f t="shared" si="20"/>
        <v>0</v>
      </c>
      <c r="L72" s="297">
        <f t="shared" si="20"/>
        <v>0</v>
      </c>
      <c r="M72" s="297">
        <f t="shared" si="20"/>
        <v>0</v>
      </c>
      <c r="N72" s="297">
        <f t="shared" si="20"/>
        <v>0</v>
      </c>
      <c r="O72" s="297">
        <f t="shared" si="20"/>
        <v>0</v>
      </c>
      <c r="P72" s="297"/>
    </row>
    <row r="73" spans="1:256">
      <c r="B73" s="278"/>
      <c r="C73" s="249"/>
      <c r="D73" s="297">
        <f t="shared" ref="D73:O73" si="21">+D71*0.6</f>
        <v>0</v>
      </c>
      <c r="E73" s="297">
        <f t="shared" si="21"/>
        <v>0</v>
      </c>
      <c r="F73" s="297">
        <f t="shared" si="21"/>
        <v>0</v>
      </c>
      <c r="G73" s="297">
        <f t="shared" si="21"/>
        <v>0</v>
      </c>
      <c r="H73" s="297">
        <f t="shared" si="21"/>
        <v>0</v>
      </c>
      <c r="I73" s="297">
        <f>+I71*0.6</f>
        <v>0</v>
      </c>
      <c r="J73" s="297">
        <f t="shared" si="21"/>
        <v>0</v>
      </c>
      <c r="K73" s="297">
        <f t="shared" si="21"/>
        <v>0</v>
      </c>
      <c r="L73" s="297">
        <f t="shared" si="21"/>
        <v>0</v>
      </c>
      <c r="M73" s="297">
        <f t="shared" si="21"/>
        <v>0</v>
      </c>
      <c r="N73" s="297">
        <f t="shared" si="21"/>
        <v>0</v>
      </c>
      <c r="O73" s="297">
        <f t="shared" si="21"/>
        <v>0</v>
      </c>
      <c r="P73" s="297"/>
    </row>
    <row r="74" spans="1:256"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7"/>
      <c r="P74" s="297"/>
    </row>
    <row r="75" spans="1:256">
      <c r="D75" s="300">
        <f t="shared" ref="D75:O75" si="22">D36/D27</f>
        <v>1.4127970300410771E-2</v>
      </c>
      <c r="E75" s="300">
        <f t="shared" si="22"/>
        <v>1.5876940938504586E-2</v>
      </c>
      <c r="F75" s="300">
        <f t="shared" si="22"/>
        <v>1.6130121387278856E-2</v>
      </c>
      <c r="G75" s="300">
        <f t="shared" si="22"/>
        <v>1.4769051700152198E-2</v>
      </c>
      <c r="H75" s="300">
        <f t="shared" si="22"/>
        <v>1.5899946443878633E-2</v>
      </c>
      <c r="I75" s="300">
        <f t="shared" si="22"/>
        <v>1.5836735851935107E-2</v>
      </c>
      <c r="J75" s="300">
        <f t="shared" si="22"/>
        <v>1.5133087355479351E-2</v>
      </c>
      <c r="K75" s="300">
        <f t="shared" si="22"/>
        <v>1.5617056256451387E-2</v>
      </c>
      <c r="L75" s="300">
        <f t="shared" si="22"/>
        <v>1.402679639217112E-2</v>
      </c>
      <c r="M75" s="300">
        <f t="shared" si="22"/>
        <v>1.5602808765242173E-2</v>
      </c>
      <c r="N75" s="300">
        <f t="shared" si="22"/>
        <v>1.5191780336179629E-2</v>
      </c>
      <c r="O75" s="300">
        <f t="shared" si="22"/>
        <v>1.430157668373927E-2</v>
      </c>
    </row>
    <row r="76" spans="1:256">
      <c r="C76" s="221">
        <v>1000</v>
      </c>
      <c r="D76" s="246"/>
      <c r="E76" s="246"/>
      <c r="F76" s="246"/>
      <c r="G76" s="246"/>
      <c r="H76" s="246"/>
      <c r="I76" s="246"/>
      <c r="J76" s="246"/>
      <c r="K76" s="301"/>
      <c r="L76" s="246"/>
      <c r="M76" s="246"/>
      <c r="N76" s="246"/>
      <c r="O76" s="246"/>
    </row>
    <row r="77" spans="1:256">
      <c r="D77" s="237"/>
      <c r="E77" s="237"/>
      <c r="F77" s="246"/>
      <c r="G77" s="237"/>
      <c r="H77" s="237"/>
      <c r="I77" s="237"/>
      <c r="J77" s="237"/>
      <c r="K77" s="237"/>
      <c r="L77" s="237"/>
      <c r="M77" s="237"/>
      <c r="N77" s="237"/>
      <c r="O77" s="237"/>
    </row>
    <row r="78" spans="1:256">
      <c r="D78" s="249"/>
      <c r="E78" s="249"/>
      <c r="F78" s="249"/>
      <c r="G78" s="249"/>
      <c r="H78" s="249"/>
      <c r="I78" s="249"/>
      <c r="J78" s="249"/>
    </row>
  </sheetData>
  <printOptions horizontalCentered="1"/>
  <pageMargins left="0.39370078740157483" right="0.39370078740157483" top="1.3779527559055118" bottom="1" header="0" footer="0"/>
  <pageSetup paperSize="9" scale="77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60B9-A70F-4FF1-97DE-53B7A460E559}">
  <sheetPr codeName="Sheet15">
    <pageSetUpPr fitToPage="1"/>
  </sheetPr>
  <dimension ref="A1:IN82"/>
  <sheetViews>
    <sheetView view="pageBreakPreview" topLeftCell="A22" zoomScale="70" zoomScaleNormal="80" zoomScaleSheetLayoutView="70" workbookViewId="0">
      <selection activeCell="P64" sqref="P64"/>
    </sheetView>
  </sheetViews>
  <sheetFormatPr baseColWidth="10" defaultColWidth="9" defaultRowHeight="11.25"/>
  <cols>
    <col min="1" max="1" width="3" style="221" customWidth="1"/>
    <col min="2" max="2" width="5.42578125" style="221" customWidth="1"/>
    <col min="3" max="3" width="26.85546875" style="221" bestFit="1" customWidth="1"/>
    <col min="4" max="4" width="10.7109375" style="221" customWidth="1"/>
    <col min="5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5.7109375" style="221" customWidth="1"/>
    <col min="17" max="17" width="10.42578125" style="221" bestFit="1" customWidth="1"/>
    <col min="18" max="19" width="9.85546875" style="221" bestFit="1" customWidth="1"/>
    <col min="20" max="16384" width="9" style="221"/>
  </cols>
  <sheetData>
    <row r="1" spans="3:16" hidden="1"/>
    <row r="2" spans="3:16" hidden="1"/>
    <row r="3" spans="3:16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61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235">
        <v>1219.8471556892396</v>
      </c>
      <c r="E8" s="235">
        <v>1089.8719156877994</v>
      </c>
      <c r="F8" s="236">
        <v>1242.9287898085713</v>
      </c>
      <c r="G8" s="236">
        <v>1186.1506827487945</v>
      </c>
      <c r="H8" s="236">
        <v>1229.5714850177765</v>
      </c>
      <c r="I8" s="236">
        <v>1183.4784699847698</v>
      </c>
      <c r="J8" s="236">
        <v>1226.2685354881287</v>
      </c>
      <c r="K8" s="237">
        <v>1232.105538105011</v>
      </c>
      <c r="L8" s="236">
        <v>1181.6035216691109</v>
      </c>
      <c r="M8" s="236">
        <v>1186.1793702008724</v>
      </c>
      <c r="N8" s="236">
        <v>1159.4886349411011</v>
      </c>
      <c r="O8" s="238">
        <v>1236.5355965881347</v>
      </c>
      <c r="P8" s="239">
        <f t="shared" ref="P8:P14" si="0">+SUM(D8:O8)</f>
        <v>14374.029695929308</v>
      </c>
    </row>
    <row r="9" spans="3:16">
      <c r="C9" s="234" t="s">
        <v>17</v>
      </c>
      <c r="D9" s="235">
        <v>422.62167955338629</v>
      </c>
      <c r="E9" s="235">
        <v>382.586939861921</v>
      </c>
      <c r="F9" s="236">
        <v>420.47582622805555</v>
      </c>
      <c r="G9" s="236">
        <v>401.03900969815254</v>
      </c>
      <c r="H9" s="236">
        <v>418.79864213514327</v>
      </c>
      <c r="I9" s="236">
        <v>400.79502671062949</v>
      </c>
      <c r="J9" s="236">
        <v>418.33885250842036</v>
      </c>
      <c r="K9" s="237">
        <v>419.978995138166</v>
      </c>
      <c r="L9" s="236">
        <v>291.79409789979087</v>
      </c>
      <c r="M9" s="236">
        <v>404.45772123910962</v>
      </c>
      <c r="N9" s="236">
        <v>387.17685390707072</v>
      </c>
      <c r="O9" s="238">
        <v>417.16215555572512</v>
      </c>
      <c r="P9" s="239">
        <f t="shared" si="0"/>
        <v>4785.2258004355699</v>
      </c>
    </row>
    <row r="10" spans="3:16">
      <c r="C10" s="234" t="s">
        <v>18</v>
      </c>
      <c r="D10" s="235">
        <v>3431.7383574447631</v>
      </c>
      <c r="E10" s="235">
        <v>2768.8959550542831</v>
      </c>
      <c r="F10" s="236">
        <v>3462.1425503711102</v>
      </c>
      <c r="G10" s="236">
        <v>3363.0727563171386</v>
      </c>
      <c r="H10" s="236">
        <v>3444.1800070142745</v>
      </c>
      <c r="I10" s="236">
        <v>3302.5792356204988</v>
      </c>
      <c r="J10" s="236">
        <v>3441.5638792190553</v>
      </c>
      <c r="K10" s="237">
        <v>3474.1516671531199</v>
      </c>
      <c r="L10" s="236">
        <v>3323.06683675766</v>
      </c>
      <c r="M10" s="236">
        <v>3444.6588041458131</v>
      </c>
      <c r="N10" s="236">
        <v>3257.1128826279937</v>
      </c>
      <c r="O10" s="238">
        <v>3475.5237980957031</v>
      </c>
      <c r="P10" s="239">
        <f t="shared" si="0"/>
        <v>40188.68672982142</v>
      </c>
    </row>
    <row r="11" spans="3:16">
      <c r="C11" s="234" t="s">
        <v>19</v>
      </c>
      <c r="D11" s="235">
        <v>9093.8718812590978</v>
      </c>
      <c r="E11" s="235">
        <v>7929.5935192601364</v>
      </c>
      <c r="F11" s="236">
        <v>10856.677650158415</v>
      </c>
      <c r="G11" s="236">
        <v>8886.1646169535816</v>
      </c>
      <c r="H11" s="236">
        <v>8722.8500369883714</v>
      </c>
      <c r="I11" s="236">
        <v>8412.8964147864881</v>
      </c>
      <c r="J11" s="236">
        <v>8695.6318722754513</v>
      </c>
      <c r="K11" s="237">
        <v>9993.2153514222027</v>
      </c>
      <c r="L11" s="236">
        <v>9705.6573542480473</v>
      </c>
      <c r="M11" s="236">
        <v>10025.184908800356</v>
      </c>
      <c r="N11" s="236">
        <v>8028.2810720427769</v>
      </c>
      <c r="O11" s="238">
        <v>8284.2034955362396</v>
      </c>
      <c r="P11" s="239">
        <f t="shared" si="0"/>
        <v>108634.22817373116</v>
      </c>
    </row>
    <row r="12" spans="3:16">
      <c r="C12" s="234" t="s">
        <v>20</v>
      </c>
      <c r="D12" s="235">
        <v>58946.728492378235</v>
      </c>
      <c r="E12" s="235">
        <v>48966.007065432546</v>
      </c>
      <c r="F12" s="236">
        <v>68879.682495632471</v>
      </c>
      <c r="G12" s="236">
        <v>55060.960240503788</v>
      </c>
      <c r="H12" s="236">
        <v>53417.425948029158</v>
      </c>
      <c r="I12" s="236">
        <v>51694.265634819145</v>
      </c>
      <c r="J12" s="236">
        <v>53423.634291647264</v>
      </c>
      <c r="K12" s="237">
        <v>62315.440097447296</v>
      </c>
      <c r="L12" s="236">
        <v>60310.263266008827</v>
      </c>
      <c r="M12" s="236">
        <v>62320.714779315516</v>
      </c>
      <c r="N12" s="236">
        <v>58454.157824913265</v>
      </c>
      <c r="O12" s="238">
        <v>57929.587627500769</v>
      </c>
      <c r="P12" s="239">
        <f t="shared" si="0"/>
        <v>691718.86776362825</v>
      </c>
    </row>
    <row r="13" spans="3:16">
      <c r="C13" s="234" t="s">
        <v>21</v>
      </c>
      <c r="D13" s="235">
        <v>5455.1491612164282</v>
      </c>
      <c r="E13" s="235">
        <v>4612.9961531405224</v>
      </c>
      <c r="F13" s="236">
        <v>6358.606590664519</v>
      </c>
      <c r="G13" s="236">
        <v>4748.6859495491408</v>
      </c>
      <c r="H13" s="236">
        <v>5077.0155783386226</v>
      </c>
      <c r="I13" s="236">
        <v>4931.225624572754</v>
      </c>
      <c r="J13" s="236">
        <v>5058.387876586914</v>
      </c>
      <c r="K13" s="237">
        <v>5969.9543620693385</v>
      </c>
      <c r="L13" s="236">
        <v>4720.8160377041677</v>
      </c>
      <c r="M13" s="236">
        <v>6058.0401207865907</v>
      </c>
      <c r="N13" s="236">
        <v>5787.3664782104488</v>
      </c>
      <c r="O13" s="238">
        <v>5808.8318871154788</v>
      </c>
      <c r="P13" s="239">
        <f t="shared" si="0"/>
        <v>64587.075819954916</v>
      </c>
    </row>
    <row r="14" spans="3:16">
      <c r="C14" s="240" t="s">
        <v>22</v>
      </c>
      <c r="D14" s="241">
        <f t="shared" ref="D14:M14" si="1">SUM(D8:D13)</f>
        <v>78569.956727541139</v>
      </c>
      <c r="E14" s="241">
        <f t="shared" si="1"/>
        <v>65749.95154843721</v>
      </c>
      <c r="F14" s="241">
        <f t="shared" si="1"/>
        <v>91220.513902863153</v>
      </c>
      <c r="G14" s="241">
        <f t="shared" si="1"/>
        <v>73646.073255770592</v>
      </c>
      <c r="H14" s="241">
        <f t="shared" si="1"/>
        <v>72309.841697523356</v>
      </c>
      <c r="I14" s="241">
        <f t="shared" si="1"/>
        <v>69925.240406494282</v>
      </c>
      <c r="J14" s="241">
        <f t="shared" si="1"/>
        <v>72263.82530772523</v>
      </c>
      <c r="K14" s="241">
        <f t="shared" si="1"/>
        <v>83404.846011335147</v>
      </c>
      <c r="L14" s="241">
        <f t="shared" si="1"/>
        <v>79533.2011142876</v>
      </c>
      <c r="M14" s="241">
        <f t="shared" si="1"/>
        <v>83439.235704488266</v>
      </c>
      <c r="N14" s="241">
        <f>SUM(N8:N13)</f>
        <v>77073.583746642646</v>
      </c>
      <c r="O14" s="242">
        <f>SUM(O8:O13)</f>
        <v>77151.844560392041</v>
      </c>
      <c r="P14" s="243">
        <f t="shared" si="0"/>
        <v>924288.11398350075</v>
      </c>
    </row>
    <row r="15" spans="3:16">
      <c r="C15" s="228" t="s">
        <v>23</v>
      </c>
      <c r="D15" s="244"/>
      <c r="E15" s="244"/>
      <c r="F15" s="245"/>
      <c r="G15" s="245"/>
      <c r="H15" s="245"/>
      <c r="I15" s="245"/>
      <c r="J15" s="245"/>
      <c r="K15" s="246"/>
      <c r="L15" s="236"/>
      <c r="M15" s="236"/>
      <c r="N15" s="236"/>
      <c r="O15" s="238"/>
      <c r="P15" s="247"/>
    </row>
    <row r="16" spans="3:16">
      <c r="C16" s="248" t="s">
        <v>24</v>
      </c>
      <c r="D16" s="235">
        <v>0</v>
      </c>
      <c r="E16" s="235">
        <v>0</v>
      </c>
      <c r="F16" s="236">
        <v>0</v>
      </c>
      <c r="G16" s="236">
        <v>0</v>
      </c>
      <c r="H16" s="236">
        <v>0</v>
      </c>
      <c r="I16" s="236">
        <v>0</v>
      </c>
      <c r="J16" s="236">
        <v>0</v>
      </c>
      <c r="K16" s="237">
        <v>0</v>
      </c>
      <c r="L16" s="236">
        <v>0</v>
      </c>
      <c r="M16" s="236">
        <v>0</v>
      </c>
      <c r="N16" s="236">
        <v>0</v>
      </c>
      <c r="O16" s="238">
        <v>0</v>
      </c>
      <c r="P16" s="239">
        <f t="shared" ref="P16:P22" si="2">+SUM(D16:O16)</f>
        <v>0</v>
      </c>
    </row>
    <row r="17" spans="3:17">
      <c r="C17" s="234" t="s">
        <v>25</v>
      </c>
      <c r="D17" s="235">
        <v>0</v>
      </c>
      <c r="E17" s="235">
        <v>2.1792190093994139</v>
      </c>
      <c r="F17" s="236">
        <v>0</v>
      </c>
      <c r="G17" s="236">
        <v>2.1235730934143064</v>
      </c>
      <c r="H17" s="236">
        <v>24.72891778564453</v>
      </c>
      <c r="I17" s="236">
        <v>4.4261790041923526</v>
      </c>
      <c r="J17" s="236">
        <v>3.3356796569824221</v>
      </c>
      <c r="K17" s="237">
        <v>0</v>
      </c>
      <c r="L17" s="236">
        <v>111.64405252075196</v>
      </c>
      <c r="M17" s="236">
        <v>0</v>
      </c>
      <c r="N17" s="236">
        <v>0</v>
      </c>
      <c r="O17" s="238">
        <v>1.3973649063110352</v>
      </c>
      <c r="P17" s="239">
        <f t="shared" si="2"/>
        <v>149.834985976696</v>
      </c>
    </row>
    <row r="18" spans="3:17">
      <c r="C18" s="248" t="s">
        <v>26</v>
      </c>
      <c r="D18" s="235">
        <v>12.681230949401856</v>
      </c>
      <c r="E18" s="235">
        <v>3.5791256399435443</v>
      </c>
      <c r="F18" s="236">
        <v>0</v>
      </c>
      <c r="G18" s="236">
        <v>1.6294031581424644</v>
      </c>
      <c r="H18" s="236">
        <v>8.7695610024207742</v>
      </c>
      <c r="I18" s="236">
        <v>20.590207740551296</v>
      </c>
      <c r="J18" s="236">
        <v>8.4844810147713865</v>
      </c>
      <c r="K18" s="237">
        <v>13.134336791992187</v>
      </c>
      <c r="L18" s="236">
        <v>91.42895262445812</v>
      </c>
      <c r="M18" s="236">
        <v>111.96729423339457</v>
      </c>
      <c r="N18" s="236">
        <v>1048.2632499115753</v>
      </c>
      <c r="O18" s="238">
        <v>2.0771350479125976</v>
      </c>
      <c r="P18" s="239">
        <f t="shared" si="2"/>
        <v>1322.6049781145641</v>
      </c>
      <c r="Q18" s="249"/>
    </row>
    <row r="19" spans="3:17">
      <c r="C19" s="248" t="s">
        <v>27</v>
      </c>
      <c r="D19" s="235">
        <v>26.440005121559718</v>
      </c>
      <c r="E19" s="235">
        <v>20.246059967041017</v>
      </c>
      <c r="F19" s="236">
        <v>31.040768379717456</v>
      </c>
      <c r="G19" s="236">
        <v>20.142381072998045</v>
      </c>
      <c r="H19" s="236">
        <v>4.1210601829928963</v>
      </c>
      <c r="I19" s="236">
        <v>18.127805923461914</v>
      </c>
      <c r="J19" s="236">
        <v>71.872641759115695</v>
      </c>
      <c r="K19" s="237">
        <v>27.77143436431885</v>
      </c>
      <c r="L19" s="236">
        <v>277.60668186982366</v>
      </c>
      <c r="M19" s="236">
        <v>32.977901298522951</v>
      </c>
      <c r="N19" s="236">
        <v>1995.8380058114876</v>
      </c>
      <c r="O19" s="238">
        <v>217.18909655761718</v>
      </c>
      <c r="P19" s="239">
        <f t="shared" si="2"/>
        <v>2743.373842308657</v>
      </c>
      <c r="Q19" s="249"/>
    </row>
    <row r="20" spans="3:17">
      <c r="C20" s="250" t="s">
        <v>46</v>
      </c>
      <c r="D20" s="235">
        <v>0</v>
      </c>
      <c r="E20" s="235">
        <v>0</v>
      </c>
      <c r="F20" s="235">
        <v>0</v>
      </c>
      <c r="G20" s="235">
        <v>0</v>
      </c>
      <c r="H20" s="235"/>
      <c r="I20" s="235"/>
      <c r="J20" s="235"/>
      <c r="K20" s="235"/>
      <c r="L20" s="235">
        <v>0</v>
      </c>
      <c r="M20" s="235">
        <v>0</v>
      </c>
      <c r="N20" s="235">
        <v>0</v>
      </c>
      <c r="O20" s="237">
        <v>0</v>
      </c>
      <c r="P20" s="239">
        <f t="shared" si="2"/>
        <v>0</v>
      </c>
      <c r="Q20" s="249"/>
    </row>
    <row r="21" spans="3:17">
      <c r="C21" s="240" t="s">
        <v>28</v>
      </c>
      <c r="D21" s="241">
        <f t="shared" ref="D21:O21" si="3">SUM(D16:D20)</f>
        <v>39.121236070961572</v>
      </c>
      <c r="E21" s="241">
        <f t="shared" si="3"/>
        <v>26.004404616383976</v>
      </c>
      <c r="F21" s="241">
        <f t="shared" si="3"/>
        <v>31.040768379717456</v>
      </c>
      <c r="G21" s="241">
        <f t="shared" si="3"/>
        <v>23.895357324554816</v>
      </c>
      <c r="H21" s="241">
        <f t="shared" si="3"/>
        <v>37.619538971058205</v>
      </c>
      <c r="I21" s="241">
        <f t="shared" si="3"/>
        <v>43.144192668205562</v>
      </c>
      <c r="J21" s="241">
        <f t="shared" si="3"/>
        <v>83.692802430869506</v>
      </c>
      <c r="K21" s="241">
        <f t="shared" si="3"/>
        <v>40.905771156311033</v>
      </c>
      <c r="L21" s="241">
        <f t="shared" si="3"/>
        <v>480.67968701503372</v>
      </c>
      <c r="M21" s="241">
        <f t="shared" si="3"/>
        <v>144.94519553191753</v>
      </c>
      <c r="N21" s="241">
        <f t="shared" si="3"/>
        <v>3044.1012557230629</v>
      </c>
      <c r="O21" s="242">
        <f t="shared" si="3"/>
        <v>220.66359651184081</v>
      </c>
      <c r="P21" s="243">
        <f t="shared" si="2"/>
        <v>4215.8138063999177</v>
      </c>
    </row>
    <row r="22" spans="3:17" ht="12" thickBot="1">
      <c r="C22" s="251" t="s">
        <v>29</v>
      </c>
      <c r="D22" s="252">
        <f t="shared" ref="D22:O22" si="4">+D14+D21</f>
        <v>78609.077963612101</v>
      </c>
      <c r="E22" s="252">
        <f t="shared" si="4"/>
        <v>65775.955953053592</v>
      </c>
      <c r="F22" s="252">
        <f t="shared" si="4"/>
        <v>91251.554671242877</v>
      </c>
      <c r="G22" s="252">
        <f t="shared" si="4"/>
        <v>73669.968613095145</v>
      </c>
      <c r="H22" s="252">
        <f t="shared" si="4"/>
        <v>72347.461236494419</v>
      </c>
      <c r="I22" s="252">
        <f t="shared" si="4"/>
        <v>69968.384599162484</v>
      </c>
      <c r="J22" s="252">
        <f t="shared" si="4"/>
        <v>72347.518110156103</v>
      </c>
      <c r="K22" s="252">
        <f t="shared" si="4"/>
        <v>83445.751782491454</v>
      </c>
      <c r="L22" s="252">
        <f t="shared" si="4"/>
        <v>80013.880801302628</v>
      </c>
      <c r="M22" s="252">
        <f t="shared" si="4"/>
        <v>83584.18090002019</v>
      </c>
      <c r="N22" s="252">
        <f t="shared" si="4"/>
        <v>80117.685002365703</v>
      </c>
      <c r="O22" s="253">
        <f t="shared" si="4"/>
        <v>77372.508156903888</v>
      </c>
      <c r="P22" s="254">
        <f t="shared" si="2"/>
        <v>928503.92778990068</v>
      </c>
    </row>
    <row r="23" spans="3:17" ht="12" thickTop="1"/>
    <row r="24" spans="3:17">
      <c r="C24" s="222" t="s">
        <v>112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17" ht="12" thickBot="1"/>
    <row r="26" spans="3:17" ht="12" thickTop="1">
      <c r="C26" s="310" t="s">
        <v>30</v>
      </c>
      <c r="D26" s="311" t="s">
        <v>2</v>
      </c>
      <c r="E26" s="311" t="s">
        <v>3</v>
      </c>
      <c r="F26" s="311" t="s">
        <v>4</v>
      </c>
      <c r="G26" s="311" t="s">
        <v>5</v>
      </c>
      <c r="H26" s="311" t="s">
        <v>6</v>
      </c>
      <c r="I26" s="311" t="s">
        <v>7</v>
      </c>
      <c r="J26" s="311" t="s">
        <v>8</v>
      </c>
      <c r="K26" s="311" t="s">
        <v>9</v>
      </c>
      <c r="L26" s="311" t="s">
        <v>10</v>
      </c>
      <c r="M26" s="311" t="s">
        <v>11</v>
      </c>
      <c r="N26" s="311" t="s">
        <v>12</v>
      </c>
      <c r="O26" s="311" t="s">
        <v>13</v>
      </c>
      <c r="P26" s="312" t="s">
        <v>14</v>
      </c>
    </row>
    <row r="27" spans="3:17">
      <c r="C27" s="313" t="s">
        <v>31</v>
      </c>
      <c r="D27" s="263">
        <f t="shared" ref="D27:O27" si="5">+D28+D29</f>
        <v>78609.077963612101</v>
      </c>
      <c r="E27" s="262">
        <f t="shared" si="5"/>
        <v>65775.955953053592</v>
      </c>
      <c r="F27" s="263">
        <f t="shared" si="5"/>
        <v>91251.554671242877</v>
      </c>
      <c r="G27" s="263">
        <f t="shared" si="5"/>
        <v>73669.968613095145</v>
      </c>
      <c r="H27" s="263">
        <f t="shared" si="5"/>
        <v>72347.461236494419</v>
      </c>
      <c r="I27" s="263">
        <f t="shared" si="5"/>
        <v>69968.384599162484</v>
      </c>
      <c r="J27" s="263">
        <f t="shared" si="5"/>
        <v>72347.518110156103</v>
      </c>
      <c r="K27" s="263">
        <f t="shared" si="5"/>
        <v>83445.751782491454</v>
      </c>
      <c r="L27" s="263">
        <f t="shared" si="5"/>
        <v>80013.880801302628</v>
      </c>
      <c r="M27" s="263">
        <f t="shared" si="5"/>
        <v>83584.18090002019</v>
      </c>
      <c r="N27" s="263">
        <f t="shared" si="5"/>
        <v>80117.685002365703</v>
      </c>
      <c r="O27" s="263">
        <f t="shared" si="5"/>
        <v>77372.508156903888</v>
      </c>
      <c r="P27" s="314">
        <f>SUM(D27:O27)</f>
        <v>928503.92778990068</v>
      </c>
    </row>
    <row r="28" spans="3:17">
      <c r="C28" s="315" t="s">
        <v>32</v>
      </c>
      <c r="D28" s="268">
        <f>+D14</f>
        <v>78569.956727541139</v>
      </c>
      <c r="E28" s="268">
        <f t="shared" ref="E28:O28" si="6">+E14</f>
        <v>65749.95154843721</v>
      </c>
      <c r="F28" s="268">
        <f t="shared" si="6"/>
        <v>91220.513902863153</v>
      </c>
      <c r="G28" s="268">
        <f t="shared" si="6"/>
        <v>73646.073255770592</v>
      </c>
      <c r="H28" s="268">
        <f t="shared" si="6"/>
        <v>72309.841697523356</v>
      </c>
      <c r="I28" s="268">
        <f t="shared" si="6"/>
        <v>69925.240406494282</v>
      </c>
      <c r="J28" s="268">
        <f t="shared" si="6"/>
        <v>72263.82530772523</v>
      </c>
      <c r="K28" s="268">
        <f t="shared" si="6"/>
        <v>83404.846011335147</v>
      </c>
      <c r="L28" s="268">
        <f t="shared" si="6"/>
        <v>79533.2011142876</v>
      </c>
      <c r="M28" s="268">
        <f t="shared" si="6"/>
        <v>83439.235704488266</v>
      </c>
      <c r="N28" s="268">
        <f t="shared" si="6"/>
        <v>77073.583746642646</v>
      </c>
      <c r="O28" s="268">
        <f t="shared" si="6"/>
        <v>77151.844560392041</v>
      </c>
      <c r="P28" s="306">
        <f t="shared" ref="P28:P64" si="7">SUM(D28:O28)</f>
        <v>924288.11398350075</v>
      </c>
    </row>
    <row r="29" spans="3:17">
      <c r="C29" s="316" t="s">
        <v>33</v>
      </c>
      <c r="D29" s="272">
        <f>+D21</f>
        <v>39.121236070961572</v>
      </c>
      <c r="E29" s="272">
        <f t="shared" ref="E29:O29" si="8">+E21</f>
        <v>26.004404616383976</v>
      </c>
      <c r="F29" s="272">
        <f t="shared" si="8"/>
        <v>31.040768379717456</v>
      </c>
      <c r="G29" s="272">
        <f t="shared" si="8"/>
        <v>23.895357324554816</v>
      </c>
      <c r="H29" s="272">
        <f t="shared" si="8"/>
        <v>37.619538971058205</v>
      </c>
      <c r="I29" s="272">
        <f t="shared" si="8"/>
        <v>43.144192668205562</v>
      </c>
      <c r="J29" s="272">
        <f t="shared" si="8"/>
        <v>83.692802430869506</v>
      </c>
      <c r="K29" s="272">
        <f t="shared" si="8"/>
        <v>40.905771156311033</v>
      </c>
      <c r="L29" s="272">
        <f t="shared" si="8"/>
        <v>480.67968701503372</v>
      </c>
      <c r="M29" s="272">
        <f t="shared" si="8"/>
        <v>144.94519553191753</v>
      </c>
      <c r="N29" s="272">
        <f t="shared" si="8"/>
        <v>3044.1012557230629</v>
      </c>
      <c r="O29" s="272">
        <f t="shared" si="8"/>
        <v>220.66359651184081</v>
      </c>
      <c r="P29" s="317">
        <f t="shared" si="7"/>
        <v>4215.8138063999177</v>
      </c>
    </row>
    <row r="30" spans="3:17">
      <c r="C30" s="313" t="s">
        <v>34</v>
      </c>
      <c r="D30" s="263">
        <f>+SUM(D31:D32)</f>
        <v>150.28167999999999</v>
      </c>
      <c r="E30" s="263">
        <f t="shared" ref="E30:P30" si="9">+SUM(E31:E32)</f>
        <v>3843.6292743596068</v>
      </c>
      <c r="F30" s="263">
        <f t="shared" si="9"/>
        <v>155.94549803161601</v>
      </c>
      <c r="G30" s="263">
        <f t="shared" si="9"/>
        <v>139.57567862419359</v>
      </c>
      <c r="H30" s="263">
        <f t="shared" si="9"/>
        <v>145.87514999999999</v>
      </c>
      <c r="I30" s="263">
        <f t="shared" si="9"/>
        <v>142.45681959814453</v>
      </c>
      <c r="J30" s="263">
        <f t="shared" si="9"/>
        <v>133.7588440070873</v>
      </c>
      <c r="K30" s="263">
        <f t="shared" si="9"/>
        <v>146.73445475482941</v>
      </c>
      <c r="L30" s="263">
        <f t="shared" si="9"/>
        <v>139.55522999999999</v>
      </c>
      <c r="M30" s="263">
        <f t="shared" si="9"/>
        <v>128.50700000000001</v>
      </c>
      <c r="N30" s="263">
        <f t="shared" si="9"/>
        <v>111.62695088481902</v>
      </c>
      <c r="O30" s="263">
        <f t="shared" si="9"/>
        <v>117.56939999999999</v>
      </c>
      <c r="P30" s="314">
        <f t="shared" si="9"/>
        <v>5355.5159802602966</v>
      </c>
    </row>
    <row r="31" spans="3:17">
      <c r="C31" s="307" t="s">
        <v>41</v>
      </c>
      <c r="D31" s="268">
        <v>0</v>
      </c>
      <c r="E31" s="268">
        <v>3707.1190891752699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68">
        <v>0</v>
      </c>
      <c r="P31" s="306">
        <f t="shared" si="7"/>
        <v>3707.1190891752699</v>
      </c>
    </row>
    <row r="32" spans="3:17">
      <c r="C32" s="322" t="s">
        <v>109</v>
      </c>
      <c r="D32" s="272">
        <v>150.28167999999999</v>
      </c>
      <c r="E32" s="272">
        <v>136.51018518433682</v>
      </c>
      <c r="F32" s="272">
        <f>155945.498031616/1000</f>
        <v>155.94549803161601</v>
      </c>
      <c r="G32" s="272">
        <v>139.57567862419359</v>
      </c>
      <c r="H32" s="272">
        <v>145.87514999999999</v>
      </c>
      <c r="I32" s="272">
        <v>142.45681959814453</v>
      </c>
      <c r="J32" s="272">
        <v>133.7588440070873</v>
      </c>
      <c r="K32" s="272">
        <v>146.73445475482941</v>
      </c>
      <c r="L32" s="272">
        <v>139.55522999999999</v>
      </c>
      <c r="M32" s="272">
        <v>128.50700000000001</v>
      </c>
      <c r="N32" s="272">
        <v>111.62695088481902</v>
      </c>
      <c r="O32" s="272">
        <f>117569.4/1000</f>
        <v>117.56939999999999</v>
      </c>
      <c r="P32" s="317">
        <f t="shared" si="7"/>
        <v>1648.3968910850267</v>
      </c>
    </row>
    <row r="33" spans="2:19">
      <c r="C33" s="313" t="s">
        <v>35</v>
      </c>
      <c r="D33" s="263">
        <f>+D34+D35</f>
        <v>329.82644132344382</v>
      </c>
      <c r="E33" s="263">
        <f t="shared" ref="E33:O33" si="10">+E34+E35</f>
        <v>288.70137743581319</v>
      </c>
      <c r="F33" s="263">
        <f t="shared" si="10"/>
        <v>328.55847443062379</v>
      </c>
      <c r="G33" s="263">
        <f t="shared" si="10"/>
        <v>302.61154766655875</v>
      </c>
      <c r="H33" s="263">
        <f t="shared" si="10"/>
        <v>315.90593455337432</v>
      </c>
      <c r="I33" s="263">
        <f t="shared" si="10"/>
        <v>323.60349961638008</v>
      </c>
      <c r="J33" s="263">
        <f t="shared" si="10"/>
        <v>348.37712947542195</v>
      </c>
      <c r="K33" s="263">
        <f t="shared" si="10"/>
        <v>354.67466557899758</v>
      </c>
      <c r="L33" s="263">
        <f t="shared" si="10"/>
        <v>437.47918524193614</v>
      </c>
      <c r="M33" s="263">
        <f t="shared" si="10"/>
        <v>319.77495901589128</v>
      </c>
      <c r="N33" s="263">
        <f t="shared" si="10"/>
        <v>576.29507481583835</v>
      </c>
      <c r="O33" s="263">
        <f t="shared" si="10"/>
        <v>461.66206929479131</v>
      </c>
      <c r="P33" s="314">
        <f t="shared" si="7"/>
        <v>4387.4703584490708</v>
      </c>
    </row>
    <row r="34" spans="2:19">
      <c r="B34" s="277"/>
      <c r="C34" s="315" t="s">
        <v>32</v>
      </c>
      <c r="D34" s="268">
        <v>327.2565789710726</v>
      </c>
      <c r="E34" s="268">
        <v>286.88373714827719</v>
      </c>
      <c r="F34" s="268">
        <v>326.55079843193607</v>
      </c>
      <c r="G34" s="268">
        <v>301.21921181542348</v>
      </c>
      <c r="H34" s="268">
        <v>313.93307816528227</v>
      </c>
      <c r="I34" s="268">
        <v>319.6660170142606</v>
      </c>
      <c r="J34" s="268">
        <v>342.08694962484367</v>
      </c>
      <c r="K34" s="268">
        <v>352.39057863823217</v>
      </c>
      <c r="L34" s="268">
        <v>305.31501348519174</v>
      </c>
      <c r="M34" s="268">
        <v>306.682816403434</v>
      </c>
      <c r="N34" s="268">
        <v>291.7966008637834</v>
      </c>
      <c r="O34" s="268">
        <v>303.47989696572313</v>
      </c>
      <c r="P34" s="306">
        <f t="shared" si="7"/>
        <v>3777.2612775274602</v>
      </c>
    </row>
    <row r="35" spans="2:19">
      <c r="B35" s="278"/>
      <c r="C35" s="316" t="s">
        <v>33</v>
      </c>
      <c r="D35" s="268">
        <v>2.5698623523712159</v>
      </c>
      <c r="E35" s="268">
        <v>1.8176402875359916</v>
      </c>
      <c r="F35" s="268">
        <v>2.0076759986877439</v>
      </c>
      <c r="G35" s="272">
        <v>1.3923358511352539</v>
      </c>
      <c r="H35" s="272">
        <v>1.9728563880920411</v>
      </c>
      <c r="I35" s="272">
        <v>3.9374826021194456</v>
      </c>
      <c r="J35" s="272">
        <v>6.2901798505783084</v>
      </c>
      <c r="K35" s="272">
        <v>2.2840869407653805</v>
      </c>
      <c r="L35" s="272">
        <v>132.16417175674439</v>
      </c>
      <c r="M35" s="268">
        <v>13.092142612457277</v>
      </c>
      <c r="N35" s="272">
        <v>284.49847395205495</v>
      </c>
      <c r="O35" s="272">
        <v>158.18217232906818</v>
      </c>
      <c r="P35" s="317">
        <f t="shared" si="7"/>
        <v>610.20908092161017</v>
      </c>
    </row>
    <row r="36" spans="2:19">
      <c r="C36" s="318" t="s">
        <v>36</v>
      </c>
      <c r="D36" s="263">
        <f t="shared" ref="D36:O36" si="11">+D37+D38</f>
        <v>1230.6020717652136</v>
      </c>
      <c r="E36" s="263">
        <f t="shared" si="11"/>
        <v>1097.1485899773834</v>
      </c>
      <c r="F36" s="263">
        <f t="shared" si="11"/>
        <v>1429.5440349097044</v>
      </c>
      <c r="G36" s="282">
        <f t="shared" si="11"/>
        <v>1171.9778101697011</v>
      </c>
      <c r="H36" s="282">
        <f t="shared" si="11"/>
        <v>1149.5643620503542</v>
      </c>
      <c r="I36" s="282">
        <f t="shared" si="11"/>
        <v>1141.962915529235</v>
      </c>
      <c r="J36" s="282">
        <f t="shared" si="11"/>
        <v>1169.5185972407926</v>
      </c>
      <c r="K36" s="282">
        <f t="shared" si="11"/>
        <v>1283.3294450903049</v>
      </c>
      <c r="L36" s="282">
        <f t="shared" si="11"/>
        <v>1317.3582268085593</v>
      </c>
      <c r="M36" s="263">
        <f t="shared" si="11"/>
        <v>1320.5017722363409</v>
      </c>
      <c r="N36" s="282">
        <f t="shared" si="11"/>
        <v>1157.2253062748496</v>
      </c>
      <c r="O36" s="282">
        <f t="shared" si="11"/>
        <v>1134.867035132047</v>
      </c>
      <c r="P36" s="326">
        <f t="shared" si="7"/>
        <v>14603.600167184486</v>
      </c>
    </row>
    <row r="37" spans="2:19">
      <c r="B37" s="278"/>
      <c r="C37" s="315" t="s">
        <v>37</v>
      </c>
      <c r="D37" s="268">
        <v>492.24082870608549</v>
      </c>
      <c r="E37" s="268">
        <v>438.85943599095339</v>
      </c>
      <c r="F37" s="268">
        <v>571.81761396388174</v>
      </c>
      <c r="G37" s="268">
        <v>468.79112406788045</v>
      </c>
      <c r="H37" s="268">
        <v>459.82574482014172</v>
      </c>
      <c r="I37" s="268">
        <v>456.78516621169405</v>
      </c>
      <c r="J37" s="268">
        <v>467.80743889631708</v>
      </c>
      <c r="K37" s="268">
        <v>513.33177803612205</v>
      </c>
      <c r="L37" s="268">
        <v>526.94329072342373</v>
      </c>
      <c r="M37" s="268">
        <v>528.20070889453643</v>
      </c>
      <c r="N37" s="268">
        <v>462.89012250993983</v>
      </c>
      <c r="O37" s="268">
        <v>453.94681405281881</v>
      </c>
      <c r="P37" s="306">
        <f t="shared" si="7"/>
        <v>5841.4400668737953</v>
      </c>
    </row>
    <row r="38" spans="2:19">
      <c r="B38" s="285"/>
      <c r="C38" s="315" t="s">
        <v>38</v>
      </c>
      <c r="D38" s="272">
        <v>738.36124305912813</v>
      </c>
      <c r="E38" s="272">
        <v>658.28915398643005</v>
      </c>
      <c r="F38" s="272">
        <v>857.72642094582261</v>
      </c>
      <c r="G38" s="268">
        <v>703.18668610182067</v>
      </c>
      <c r="H38" s="268">
        <v>689.73861723021253</v>
      </c>
      <c r="I38" s="268">
        <v>685.17774931754104</v>
      </c>
      <c r="J38" s="268">
        <v>701.71115834447551</v>
      </c>
      <c r="K38" s="272">
        <v>769.9976670541829</v>
      </c>
      <c r="L38" s="272">
        <v>790.41493608513554</v>
      </c>
      <c r="M38" s="272">
        <v>792.30106334180448</v>
      </c>
      <c r="N38" s="272">
        <v>694.33518376490974</v>
      </c>
      <c r="O38" s="272">
        <v>680.92022107922821</v>
      </c>
      <c r="P38" s="306">
        <f t="shared" si="7"/>
        <v>8762.1601003106916</v>
      </c>
    </row>
    <row r="39" spans="2:19">
      <c r="B39" s="285"/>
      <c r="C39" s="320" t="s">
        <v>39</v>
      </c>
      <c r="D39" s="302">
        <f t="shared" ref="D39:O39" si="12">+D27+D30-D33-D36</f>
        <v>77198.931130523444</v>
      </c>
      <c r="E39" s="302">
        <f t="shared" si="12"/>
        <v>68233.735260000001</v>
      </c>
      <c r="F39" s="302">
        <f t="shared" si="12"/>
        <v>89649.397659934169</v>
      </c>
      <c r="G39" s="302">
        <f t="shared" si="12"/>
        <v>72334.954933883084</v>
      </c>
      <c r="H39" s="302">
        <f t="shared" si="12"/>
        <v>71027.866089890696</v>
      </c>
      <c r="I39" s="302">
        <f t="shared" si="12"/>
        <v>68645.27500361501</v>
      </c>
      <c r="J39" s="302">
        <f t="shared" si="12"/>
        <v>70963.381227446967</v>
      </c>
      <c r="K39" s="302">
        <f t="shared" si="12"/>
        <v>81954.482126576971</v>
      </c>
      <c r="L39" s="302">
        <f t="shared" si="12"/>
        <v>78398.598619252138</v>
      </c>
      <c r="M39" s="302">
        <f t="shared" si="12"/>
        <v>82072.411168767954</v>
      </c>
      <c r="N39" s="302">
        <f t="shared" si="12"/>
        <v>78495.79157215984</v>
      </c>
      <c r="O39" s="302">
        <f t="shared" si="12"/>
        <v>75893.548452477044</v>
      </c>
      <c r="P39" s="321">
        <f t="shared" si="7"/>
        <v>914868.37324452738</v>
      </c>
    </row>
    <row r="40" spans="2:19">
      <c r="B40" s="285"/>
      <c r="C40" s="320" t="s">
        <v>40</v>
      </c>
      <c r="D40" s="302">
        <f t="shared" ref="D40:O40" si="13">+D41+D44+D54</f>
        <v>77198.931130523444</v>
      </c>
      <c r="E40" s="302">
        <f t="shared" si="13"/>
        <v>68233.735260000001</v>
      </c>
      <c r="F40" s="302">
        <f t="shared" si="13"/>
        <v>89649.397659934169</v>
      </c>
      <c r="G40" s="302">
        <f t="shared" si="13"/>
        <v>72334.954933883084</v>
      </c>
      <c r="H40" s="302">
        <f t="shared" si="13"/>
        <v>71027.866089890696</v>
      </c>
      <c r="I40" s="302">
        <f t="shared" si="13"/>
        <v>68645.27500361501</v>
      </c>
      <c r="J40" s="302">
        <f t="shared" si="13"/>
        <v>70963.381227446967</v>
      </c>
      <c r="K40" s="302">
        <f t="shared" si="13"/>
        <v>81954.482126576971</v>
      </c>
      <c r="L40" s="302">
        <f t="shared" si="13"/>
        <v>78398.598619252138</v>
      </c>
      <c r="M40" s="302">
        <f t="shared" si="13"/>
        <v>82072.411168767954</v>
      </c>
      <c r="N40" s="302">
        <f t="shared" si="13"/>
        <v>78495.79157215984</v>
      </c>
      <c r="O40" s="302">
        <f t="shared" si="13"/>
        <v>75893.548452477044</v>
      </c>
      <c r="P40" s="321">
        <f t="shared" si="7"/>
        <v>914868.37324452738</v>
      </c>
    </row>
    <row r="41" spans="2:19">
      <c r="C41" s="318" t="s">
        <v>44</v>
      </c>
      <c r="D41" s="263">
        <f t="shared" ref="D41:O41" si="14">+D42+D43</f>
        <v>4378.6734005234466</v>
      </c>
      <c r="E41" s="263">
        <f t="shared" si="14"/>
        <v>0</v>
      </c>
      <c r="F41" s="263">
        <f t="shared" si="14"/>
        <v>14565.245879934155</v>
      </c>
      <c r="G41" s="263">
        <f t="shared" si="14"/>
        <v>3192.0751738830877</v>
      </c>
      <c r="H41" s="263">
        <f t="shared" si="14"/>
        <v>2496.8630998906883</v>
      </c>
      <c r="I41" s="263">
        <f t="shared" si="14"/>
        <v>3503.0439836150035</v>
      </c>
      <c r="J41" s="263">
        <f t="shared" si="14"/>
        <v>5555.0039374469634</v>
      </c>
      <c r="K41" s="263">
        <f t="shared" si="14"/>
        <v>14740.830396576974</v>
      </c>
      <c r="L41" s="263">
        <f t="shared" si="14"/>
        <v>10939.620949252116</v>
      </c>
      <c r="M41" s="263">
        <f t="shared" si="14"/>
        <v>12463.978788767956</v>
      </c>
      <c r="N41" s="263">
        <f t="shared" si="14"/>
        <v>7843.3054421598354</v>
      </c>
      <c r="O41" s="263">
        <f t="shared" si="14"/>
        <v>1266.8766124770482</v>
      </c>
      <c r="P41" s="314">
        <f t="shared" si="7"/>
        <v>80945.517664527273</v>
      </c>
    </row>
    <row r="42" spans="2:19">
      <c r="B42" s="278"/>
      <c r="C42" s="315" t="s">
        <v>41</v>
      </c>
      <c r="D42" s="268">
        <v>4378.6734005234466</v>
      </c>
      <c r="E42" s="268">
        <v>0</v>
      </c>
      <c r="F42" s="268">
        <v>14565.245879934155</v>
      </c>
      <c r="G42" s="268">
        <v>3192.0751738830877</v>
      </c>
      <c r="H42" s="268">
        <v>2496.8630998906883</v>
      </c>
      <c r="I42" s="268">
        <v>3503.0439836150035</v>
      </c>
      <c r="J42" s="268">
        <v>5555.0039374469634</v>
      </c>
      <c r="K42" s="268">
        <v>14740.830396576974</v>
      </c>
      <c r="L42" s="268">
        <v>10939.620949252116</v>
      </c>
      <c r="M42" s="268">
        <v>12463.978788767956</v>
      </c>
      <c r="N42" s="268">
        <v>7843.3054421598354</v>
      </c>
      <c r="O42" s="268">
        <v>1266.8766124770482</v>
      </c>
      <c r="P42" s="306">
        <f t="shared" si="7"/>
        <v>80945.517664527273</v>
      </c>
      <c r="Q42" s="246"/>
    </row>
    <row r="43" spans="2:19" hidden="1">
      <c r="C43" s="315" t="s">
        <v>45</v>
      </c>
      <c r="D43" s="268">
        <v>0</v>
      </c>
      <c r="E43" s="268">
        <v>0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/>
      <c r="P43" s="306">
        <f t="shared" si="7"/>
        <v>0</v>
      </c>
      <c r="Q43" s="246"/>
    </row>
    <row r="44" spans="2:19">
      <c r="C44" s="318" t="s">
        <v>42</v>
      </c>
      <c r="D44" s="282">
        <f>SUM(D45:D53)</f>
        <v>68609.768649999998</v>
      </c>
      <c r="E44" s="282">
        <f t="shared" ref="E44:P44" si="15">SUM(E45:E53)</f>
        <v>64313.046679999999</v>
      </c>
      <c r="F44" s="282">
        <f t="shared" si="15"/>
        <v>70768.10070000001</v>
      </c>
      <c r="G44" s="282">
        <f t="shared" si="15"/>
        <v>64983.881959999992</v>
      </c>
      <c r="H44" s="282">
        <f t="shared" si="15"/>
        <v>64250.142450000014</v>
      </c>
      <c r="I44" s="282">
        <f t="shared" si="15"/>
        <v>61010.64991</v>
      </c>
      <c r="J44" s="282">
        <f t="shared" si="15"/>
        <v>61539.359660000002</v>
      </c>
      <c r="K44" s="282">
        <f t="shared" si="15"/>
        <v>63227.842999999993</v>
      </c>
      <c r="L44" s="282">
        <f t="shared" si="15"/>
        <v>63477.824020000007</v>
      </c>
      <c r="M44" s="282">
        <f t="shared" si="15"/>
        <v>65728.141269999993</v>
      </c>
      <c r="N44" s="282">
        <f t="shared" si="15"/>
        <v>67017.099780000004</v>
      </c>
      <c r="O44" s="282">
        <f t="shared" si="15"/>
        <v>70634.25533</v>
      </c>
      <c r="P44" s="319">
        <f t="shared" si="15"/>
        <v>785560.11340999987</v>
      </c>
      <c r="R44" s="278">
        <f>SUM(N45:N52)</f>
        <v>56688.471880000012</v>
      </c>
    </row>
    <row r="45" spans="2:19">
      <c r="C45" s="315" t="s">
        <v>47</v>
      </c>
      <c r="D45" s="268">
        <v>13241.770510000002</v>
      </c>
      <c r="E45" s="288">
        <v>12282.05046</v>
      </c>
      <c r="F45" s="268">
        <v>13803.494010000002</v>
      </c>
      <c r="G45" s="268">
        <v>12621.469230000002</v>
      </c>
      <c r="H45" s="268">
        <v>12840.463679999999</v>
      </c>
      <c r="I45" s="268">
        <v>12332.854200000002</v>
      </c>
      <c r="J45" s="268">
        <v>12484.40612</v>
      </c>
      <c r="K45" s="303">
        <v>12619.107969999999</v>
      </c>
      <c r="L45" s="268">
        <v>12312.401010000001</v>
      </c>
      <c r="M45" s="268">
        <v>12621.082580000002</v>
      </c>
      <c r="N45" s="289">
        <v>12582.62235</v>
      </c>
      <c r="O45" s="268">
        <v>13412.470529999997</v>
      </c>
      <c r="P45" s="306">
        <f t="shared" si="7"/>
        <v>153154.19264999998</v>
      </c>
      <c r="Q45" s="277"/>
      <c r="R45" s="277">
        <v>1000</v>
      </c>
      <c r="S45" s="278"/>
    </row>
    <row r="46" spans="2:19">
      <c r="C46" s="315" t="s">
        <v>48</v>
      </c>
      <c r="D46" s="268">
        <v>38497.813829999999</v>
      </c>
      <c r="E46" s="288">
        <v>35642.547610000001</v>
      </c>
      <c r="F46" s="268">
        <v>40153.250659999998</v>
      </c>
      <c r="G46" s="268">
        <v>36606.065390000003</v>
      </c>
      <c r="H46" s="268">
        <v>37166.347190000008</v>
      </c>
      <c r="I46" s="268">
        <v>35990.085799999993</v>
      </c>
      <c r="J46" s="268">
        <v>36592.777199999997</v>
      </c>
      <c r="K46" s="268">
        <v>37177.736779999999</v>
      </c>
      <c r="L46" s="268">
        <v>36200.792600000008</v>
      </c>
      <c r="M46" s="268">
        <v>36876.177759999999</v>
      </c>
      <c r="N46" s="289">
        <v>36425.180260000008</v>
      </c>
      <c r="O46" s="268">
        <v>38626.037679999994</v>
      </c>
      <c r="P46" s="306">
        <f t="shared" si="7"/>
        <v>445954.81275999994</v>
      </c>
      <c r="Q46" s="277"/>
      <c r="R46" s="277"/>
      <c r="S46" s="278"/>
    </row>
    <row r="47" spans="2:19">
      <c r="C47" s="315" t="s">
        <v>50</v>
      </c>
      <c r="D47" s="268">
        <v>1361.9329600000001</v>
      </c>
      <c r="E47" s="288">
        <v>1257.03844</v>
      </c>
      <c r="F47" s="268">
        <v>1386.3933100000002</v>
      </c>
      <c r="G47" s="268">
        <v>1294.1971099999998</v>
      </c>
      <c r="H47" s="268">
        <v>1298.0632599999997</v>
      </c>
      <c r="I47" s="268">
        <v>1242.0160000000001</v>
      </c>
      <c r="J47" s="268">
        <v>1258.6811399999999</v>
      </c>
      <c r="K47" s="268">
        <v>1255.7983300000001</v>
      </c>
      <c r="L47" s="268">
        <v>1232.64688</v>
      </c>
      <c r="M47" s="268">
        <v>1307.93813</v>
      </c>
      <c r="N47" s="289">
        <v>1319.8010699999998</v>
      </c>
      <c r="O47" s="268">
        <v>1407.9710600000001</v>
      </c>
      <c r="P47" s="306">
        <f t="shared" si="7"/>
        <v>15622.477690000002</v>
      </c>
      <c r="Q47" s="277"/>
      <c r="R47" s="277"/>
      <c r="S47" s="278"/>
    </row>
    <row r="48" spans="2:19">
      <c r="C48" s="315" t="s">
        <v>51</v>
      </c>
      <c r="D48" s="268">
        <v>935.87391000000014</v>
      </c>
      <c r="E48" s="288">
        <v>846.46357</v>
      </c>
      <c r="F48" s="268">
        <f>961599.52/1000</f>
        <v>961.59951999999998</v>
      </c>
      <c r="G48" s="268">
        <v>950.44726999999989</v>
      </c>
      <c r="H48" s="303">
        <v>999.87716000000012</v>
      </c>
      <c r="I48" s="268">
        <v>982.74446000000012</v>
      </c>
      <c r="J48" s="268">
        <v>1053.73359</v>
      </c>
      <c r="K48" s="268">
        <v>1496.3260600000001</v>
      </c>
      <c r="L48" s="268">
        <v>1467.8354500000003</v>
      </c>
      <c r="M48" s="303">
        <v>1564.3436800000002</v>
      </c>
      <c r="N48" s="289">
        <v>1503.8707100000001</v>
      </c>
      <c r="O48" s="268">
        <v>1438.1752200000001</v>
      </c>
      <c r="P48" s="306">
        <f t="shared" si="7"/>
        <v>14201.2906</v>
      </c>
      <c r="Q48" s="277"/>
      <c r="R48" s="277"/>
      <c r="S48" s="278"/>
    </row>
    <row r="49" spans="3:19">
      <c r="C49" s="315" t="s">
        <v>52</v>
      </c>
      <c r="D49" s="268">
        <v>888.00484999999981</v>
      </c>
      <c r="E49" s="288">
        <v>839.89986999999996</v>
      </c>
      <c r="F49" s="268">
        <v>903.61070999999993</v>
      </c>
      <c r="G49" s="268">
        <v>911.90021000000002</v>
      </c>
      <c r="H49" s="268">
        <v>930.55646000000002</v>
      </c>
      <c r="I49" s="303">
        <v>951.7933300000002</v>
      </c>
      <c r="J49" s="303">
        <v>989.08831000000009</v>
      </c>
      <c r="K49" s="268">
        <v>949.6336</v>
      </c>
      <c r="L49" s="268">
        <v>969.74331000000006</v>
      </c>
      <c r="M49" s="268">
        <v>968.24823000000026</v>
      </c>
      <c r="N49" s="289">
        <v>922.64372000000014</v>
      </c>
      <c r="O49" s="268">
        <v>961.39201000000003</v>
      </c>
      <c r="P49" s="306">
        <f t="shared" si="7"/>
        <v>11186.51461</v>
      </c>
      <c r="Q49" s="277"/>
      <c r="R49" s="277"/>
      <c r="S49" s="278"/>
    </row>
    <row r="50" spans="3:19">
      <c r="C50" s="315" t="s">
        <v>90</v>
      </c>
      <c r="D50" s="268">
        <v>1525.01081</v>
      </c>
      <c r="E50" s="288">
        <v>1393.1935000000003</v>
      </c>
      <c r="F50" s="268">
        <f>1557654.28/1000</f>
        <v>1557.65428</v>
      </c>
      <c r="G50" s="268">
        <v>1481.4776199999999</v>
      </c>
      <c r="H50" s="268">
        <v>1528.7397000000001</v>
      </c>
      <c r="I50" s="268">
        <v>1490.5834600000003</v>
      </c>
      <c r="J50" s="268">
        <v>1522.2751499999999</v>
      </c>
      <c r="K50" s="268">
        <v>1525.5105800000001</v>
      </c>
      <c r="L50" s="303">
        <v>1492.17399</v>
      </c>
      <c r="M50" s="268">
        <v>1542.66074</v>
      </c>
      <c r="N50" s="289">
        <v>1514.7393699999998</v>
      </c>
      <c r="O50" s="268">
        <v>1567.8657199999998</v>
      </c>
      <c r="P50" s="306">
        <f t="shared" si="7"/>
        <v>18141.884919999997</v>
      </c>
      <c r="Q50" s="277"/>
      <c r="R50" s="277"/>
      <c r="S50" s="278"/>
    </row>
    <row r="51" spans="3:19">
      <c r="C51" s="315" t="s">
        <v>53</v>
      </c>
      <c r="D51" s="268">
        <v>2129.03692</v>
      </c>
      <c r="E51" s="288">
        <v>2028.11112</v>
      </c>
      <c r="F51" s="304">
        <v>2108.0343800000001</v>
      </c>
      <c r="G51" s="268">
        <v>1962.0957600000002</v>
      </c>
      <c r="H51" s="268">
        <v>1678.0634900000002</v>
      </c>
      <c r="I51" s="268">
        <v>1819.3040499999997</v>
      </c>
      <c r="J51" s="268">
        <v>2053.2412400000003</v>
      </c>
      <c r="K51" s="268">
        <v>1894.3732200000002</v>
      </c>
      <c r="L51" s="268">
        <v>2028.1586299999999</v>
      </c>
      <c r="M51" s="268">
        <v>1742.6135599999998</v>
      </c>
      <c r="N51" s="289">
        <v>2359.4590200000002</v>
      </c>
      <c r="O51" s="268">
        <v>2263.1009200000003</v>
      </c>
      <c r="P51" s="306">
        <f t="shared" si="7"/>
        <v>24065.592310000004</v>
      </c>
      <c r="Q51" s="277"/>
      <c r="R51" s="277"/>
      <c r="S51" s="278"/>
    </row>
    <row r="52" spans="3:19">
      <c r="C52" s="315" t="s">
        <v>54</v>
      </c>
      <c r="D52" s="268">
        <v>56.703560000000003</v>
      </c>
      <c r="E52" s="288">
        <v>52.016560000000005</v>
      </c>
      <c r="F52" s="268">
        <v>62.193820000000002</v>
      </c>
      <c r="G52" s="268">
        <v>57.203160000000004</v>
      </c>
      <c r="H52" s="268">
        <v>58.594979999999993</v>
      </c>
      <c r="I52" s="268">
        <v>56.456479999999999</v>
      </c>
      <c r="J52" s="268">
        <v>56.617560000000005</v>
      </c>
      <c r="K52" s="268">
        <v>61.990219999999994</v>
      </c>
      <c r="L52" s="268">
        <v>57.121840000000013</v>
      </c>
      <c r="M52" s="268">
        <v>59.244839999999996</v>
      </c>
      <c r="N52" s="289">
        <v>60.155380000000008</v>
      </c>
      <c r="O52" s="268">
        <v>60.39461</v>
      </c>
      <c r="P52" s="306">
        <f t="shared" si="7"/>
        <v>698.69300999999996</v>
      </c>
      <c r="Q52" s="277"/>
      <c r="R52" s="277"/>
      <c r="S52" s="278"/>
    </row>
    <row r="53" spans="3:19">
      <c r="C53" s="307" t="s">
        <v>93</v>
      </c>
      <c r="D53" s="268">
        <v>9973.6213000000007</v>
      </c>
      <c r="E53" s="268">
        <v>9971.7255499999992</v>
      </c>
      <c r="F53" s="268">
        <v>9831.8700100000005</v>
      </c>
      <c r="G53" s="268">
        <v>9099.0262099999982</v>
      </c>
      <c r="H53" s="268">
        <v>7749.4365299999999</v>
      </c>
      <c r="I53" s="268">
        <v>6144.8121300000012</v>
      </c>
      <c r="J53" s="268">
        <v>5528.5393500000009</v>
      </c>
      <c r="K53" s="268">
        <v>6247.3662399999994</v>
      </c>
      <c r="L53" s="268">
        <v>7716.9503099999993</v>
      </c>
      <c r="M53" s="268">
        <v>9045.8317499999994</v>
      </c>
      <c r="N53" s="289">
        <v>10328.627899999998</v>
      </c>
      <c r="O53" s="268">
        <v>10896.84758</v>
      </c>
      <c r="P53" s="306">
        <f t="shared" si="7"/>
        <v>102534.65485999998</v>
      </c>
      <c r="Q53" s="277"/>
      <c r="R53" s="277"/>
      <c r="S53" s="278"/>
    </row>
    <row r="54" spans="3:19">
      <c r="C54" s="318" t="s">
        <v>43</v>
      </c>
      <c r="D54" s="282">
        <f t="shared" ref="D54:P54" si="16">+SUM(D55:D64)</f>
        <v>4210.4890800000003</v>
      </c>
      <c r="E54" s="282">
        <f t="shared" si="16"/>
        <v>3920.6885800000005</v>
      </c>
      <c r="F54" s="282">
        <f t="shared" si="16"/>
        <v>4316.0510800000002</v>
      </c>
      <c r="G54" s="282">
        <f t="shared" si="16"/>
        <v>4158.9978000000001</v>
      </c>
      <c r="H54" s="282">
        <f t="shared" si="16"/>
        <v>4280.8605400000006</v>
      </c>
      <c r="I54" s="282">
        <f t="shared" si="16"/>
        <v>4131.5811100000001</v>
      </c>
      <c r="J54" s="282">
        <f t="shared" si="16"/>
        <v>3869.0176300000003</v>
      </c>
      <c r="K54" s="282">
        <f t="shared" si="16"/>
        <v>3985.8087300000011</v>
      </c>
      <c r="L54" s="282">
        <f t="shared" si="16"/>
        <v>3981.1536500000007</v>
      </c>
      <c r="M54" s="282">
        <f t="shared" si="16"/>
        <v>3880.2911100000001</v>
      </c>
      <c r="N54" s="282">
        <f t="shared" si="16"/>
        <v>3635.3863500000002</v>
      </c>
      <c r="O54" s="282">
        <f t="shared" si="16"/>
        <v>3992.41651</v>
      </c>
      <c r="P54" s="319">
        <f t="shared" si="16"/>
        <v>48362.74216999999</v>
      </c>
      <c r="Q54" s="277"/>
    </row>
    <row r="55" spans="3:19">
      <c r="C55" s="307" t="s">
        <v>56</v>
      </c>
      <c r="D55" s="268">
        <v>899.86658000000011</v>
      </c>
      <c r="E55" s="268">
        <v>832.42496999999992</v>
      </c>
      <c r="F55" s="268">
        <v>762.23281000000009</v>
      </c>
      <c r="G55" s="268">
        <v>781.25132999999994</v>
      </c>
      <c r="H55" s="268">
        <v>727.45101999999997</v>
      </c>
      <c r="I55" s="268">
        <v>777.43704000000002</v>
      </c>
      <c r="J55" s="268">
        <v>813.25525000000005</v>
      </c>
      <c r="K55" s="268">
        <v>834.22503000000006</v>
      </c>
      <c r="L55" s="268">
        <v>745.3210600000001</v>
      </c>
      <c r="M55" s="268">
        <v>753.79178000000002</v>
      </c>
      <c r="N55" s="268">
        <v>727.35005000000001</v>
      </c>
      <c r="O55" s="268">
        <v>870.89962000000003</v>
      </c>
      <c r="P55" s="306">
        <f t="shared" si="7"/>
        <v>9525.5065399999985</v>
      </c>
      <c r="Q55" s="327"/>
    </row>
    <row r="56" spans="3:19">
      <c r="C56" s="307" t="s">
        <v>59</v>
      </c>
      <c r="D56" s="268">
        <v>1250.1948200000002</v>
      </c>
      <c r="E56" s="268">
        <v>1296.8951900000002</v>
      </c>
      <c r="F56" s="268">
        <v>1538.02656</v>
      </c>
      <c r="G56" s="268">
        <v>1415.5393600000002</v>
      </c>
      <c r="H56" s="268">
        <v>1485.8012699999999</v>
      </c>
      <c r="I56" s="268">
        <v>1414.58845</v>
      </c>
      <c r="J56" s="268">
        <v>1065.0295599999999</v>
      </c>
      <c r="K56" s="268">
        <v>1126.5349699999999</v>
      </c>
      <c r="L56" s="268">
        <v>1136.2583100000002</v>
      </c>
      <c r="M56" s="268">
        <v>1171.77207</v>
      </c>
      <c r="N56" s="268">
        <v>1257.7506599999999</v>
      </c>
      <c r="O56" s="268">
        <v>1136.33806</v>
      </c>
      <c r="P56" s="306">
        <f t="shared" si="7"/>
        <v>15294.72928</v>
      </c>
      <c r="Q56" s="327"/>
    </row>
    <row r="57" spans="3:19">
      <c r="C57" s="307" t="s">
        <v>94</v>
      </c>
      <c r="D57" s="268">
        <v>326.54276999999996</v>
      </c>
      <c r="E57" s="268">
        <v>305.84465</v>
      </c>
      <c r="F57" s="268">
        <v>333.80289999999997</v>
      </c>
      <c r="G57" s="268">
        <v>352.56890000000004</v>
      </c>
      <c r="H57" s="268">
        <v>405.13867999999997</v>
      </c>
      <c r="I57" s="268">
        <v>415.89987000000002</v>
      </c>
      <c r="J57" s="268">
        <v>387.98727000000002</v>
      </c>
      <c r="K57" s="268">
        <v>370.30984000000001</v>
      </c>
      <c r="L57" s="268">
        <v>362.33556999999996</v>
      </c>
      <c r="M57" s="268">
        <v>331.83856999999995</v>
      </c>
      <c r="N57" s="268">
        <v>328.59697</v>
      </c>
      <c r="O57" s="268">
        <v>338.16287</v>
      </c>
      <c r="P57" s="306">
        <f t="shared" si="7"/>
        <v>4259.0288599999994</v>
      </c>
      <c r="Q57" s="277"/>
    </row>
    <row r="58" spans="3:19">
      <c r="C58" s="307" t="s">
        <v>96</v>
      </c>
      <c r="D58" s="268">
        <v>155.83989</v>
      </c>
      <c r="E58" s="268">
        <v>146.51076999999998</v>
      </c>
      <c r="F58" s="268">
        <v>158.61616000000001</v>
      </c>
      <c r="G58" s="268">
        <v>161.33157</v>
      </c>
      <c r="H58" s="268">
        <v>172.98801</v>
      </c>
      <c r="I58" s="268">
        <v>179.14108999999999</v>
      </c>
      <c r="J58" s="268">
        <v>161.71794</v>
      </c>
      <c r="K58" s="268">
        <v>188.44078999999999</v>
      </c>
      <c r="L58" s="268">
        <v>186.31517000000002</v>
      </c>
      <c r="M58" s="268">
        <v>191.99095</v>
      </c>
      <c r="N58" s="268">
        <v>183.03450999999998</v>
      </c>
      <c r="O58" s="268">
        <v>157.97319999999999</v>
      </c>
      <c r="P58" s="306">
        <f t="shared" si="7"/>
        <v>2043.9000500000002</v>
      </c>
      <c r="Q58" s="277"/>
    </row>
    <row r="59" spans="3:19">
      <c r="C59" s="307" t="s">
        <v>97</v>
      </c>
      <c r="D59" s="268">
        <v>455.35035999999997</v>
      </c>
      <c r="E59" s="268">
        <v>310.35821000000004</v>
      </c>
      <c r="F59" s="268">
        <v>327.22132999999997</v>
      </c>
      <c r="G59" s="268">
        <v>276.15980999999999</v>
      </c>
      <c r="H59" s="268">
        <v>270.01695999999998</v>
      </c>
      <c r="I59" s="268">
        <v>174.65110000000001</v>
      </c>
      <c r="J59" s="268">
        <v>246.17968999999999</v>
      </c>
      <c r="K59" s="268">
        <v>319.06682999999998</v>
      </c>
      <c r="L59" s="268">
        <v>299.87313</v>
      </c>
      <c r="M59" s="268">
        <v>209.92122000000001</v>
      </c>
      <c r="N59" s="268">
        <v>178.09720000000002</v>
      </c>
      <c r="O59" s="268">
        <v>360.18045000000001</v>
      </c>
      <c r="P59" s="306">
        <f t="shared" si="7"/>
        <v>3427.07629</v>
      </c>
      <c r="Q59" s="305"/>
    </row>
    <row r="60" spans="3:19">
      <c r="C60" s="307" t="s">
        <v>100</v>
      </c>
      <c r="D60" s="268">
        <v>949.22348999999997</v>
      </c>
      <c r="E60" s="268">
        <v>875.22761000000003</v>
      </c>
      <c r="F60" s="268">
        <v>993.53640000000019</v>
      </c>
      <c r="G60" s="268">
        <v>968.32399999999996</v>
      </c>
      <c r="H60" s="268">
        <v>1011.874</v>
      </c>
      <c r="I60" s="268">
        <v>967.86540000000002</v>
      </c>
      <c r="J60" s="268">
        <v>991.23258999999996</v>
      </c>
      <c r="K60" s="268">
        <v>938.54039000000012</v>
      </c>
      <c r="L60" s="268">
        <v>939.2178100000001</v>
      </c>
      <c r="M60" s="268">
        <v>907.04446999999993</v>
      </c>
      <c r="N60" s="268">
        <v>590.35289</v>
      </c>
      <c r="O60" s="268">
        <v>716.46336999999994</v>
      </c>
      <c r="P60" s="306">
        <f t="shared" si="7"/>
        <v>10848.90242</v>
      </c>
      <c r="Q60" s="277"/>
    </row>
    <row r="61" spans="3:19">
      <c r="C61" s="307" t="s">
        <v>101</v>
      </c>
      <c r="D61" s="268">
        <v>8.0373900000000003</v>
      </c>
      <c r="E61" s="268">
        <v>5.658030000000001</v>
      </c>
      <c r="F61" s="268">
        <v>6.6264800000000008</v>
      </c>
      <c r="G61" s="268">
        <v>8.7020499999999998</v>
      </c>
      <c r="H61" s="268">
        <v>6.6763199999999996</v>
      </c>
      <c r="I61" s="268">
        <v>6.2440899999999999</v>
      </c>
      <c r="J61" s="268">
        <v>14.25972</v>
      </c>
      <c r="K61" s="268">
        <v>17.118980000000001</v>
      </c>
      <c r="L61" s="268">
        <v>104.87919000000001</v>
      </c>
      <c r="M61" s="268">
        <v>102.71455</v>
      </c>
      <c r="N61" s="268">
        <v>156.46097</v>
      </c>
      <c r="O61" s="268">
        <v>211.30477000000002</v>
      </c>
      <c r="P61" s="306">
        <f t="shared" si="7"/>
        <v>648.68254000000002</v>
      </c>
      <c r="Q61" s="277"/>
    </row>
    <row r="62" spans="3:19">
      <c r="C62" s="307" t="s">
        <v>107</v>
      </c>
      <c r="D62" s="268">
        <v>109.0149</v>
      </c>
      <c r="E62" s="268">
        <v>100.50804000000001</v>
      </c>
      <c r="F62" s="268">
        <v>111.0795</v>
      </c>
      <c r="G62" s="268">
        <v>100.94198999999999</v>
      </c>
      <c r="H62" s="268">
        <v>101.42869999999999</v>
      </c>
      <c r="I62" s="268">
        <v>96.777100000000004</v>
      </c>
      <c r="J62" s="268">
        <v>100.4683</v>
      </c>
      <c r="K62" s="268">
        <v>103.72418</v>
      </c>
      <c r="L62" s="268">
        <v>101.05806999999999</v>
      </c>
      <c r="M62" s="268">
        <v>108.79876000000002</v>
      </c>
      <c r="N62" s="268">
        <v>110.56180999999999</v>
      </c>
      <c r="O62" s="268">
        <v>121.24518</v>
      </c>
      <c r="P62" s="306">
        <f t="shared" si="7"/>
        <v>1265.60653</v>
      </c>
      <c r="Q62" s="277"/>
    </row>
    <row r="63" spans="3:19">
      <c r="C63" s="307" t="s">
        <v>108</v>
      </c>
      <c r="D63" s="268">
        <v>24.740179999999999</v>
      </c>
      <c r="E63" s="268">
        <v>15.159700000000001</v>
      </c>
      <c r="F63" s="268">
        <v>21.625070000000001</v>
      </c>
      <c r="G63" s="268">
        <v>25.693470000000001</v>
      </c>
      <c r="H63" s="268">
        <v>25.674739999999996</v>
      </c>
      <c r="I63" s="268">
        <v>27.86429</v>
      </c>
      <c r="J63" s="268">
        <v>28.283560000000001</v>
      </c>
      <c r="K63" s="268">
        <v>27.20186</v>
      </c>
      <c r="L63" s="268">
        <v>27.04336</v>
      </c>
      <c r="M63" s="268">
        <v>26.338570000000001</v>
      </c>
      <c r="N63" s="268">
        <v>25.418759999999999</v>
      </c>
      <c r="O63" s="268">
        <v>26.67586</v>
      </c>
      <c r="P63" s="306">
        <f t="shared" si="7"/>
        <v>301.71942000000001</v>
      </c>
      <c r="Q63" s="277"/>
    </row>
    <row r="64" spans="3:19" ht="12" thickBot="1">
      <c r="C64" s="308" t="s">
        <v>111</v>
      </c>
      <c r="D64" s="292">
        <v>31.678699999999999</v>
      </c>
      <c r="E64" s="292">
        <v>32.101410000000001</v>
      </c>
      <c r="F64" s="292">
        <v>63.28387</v>
      </c>
      <c r="G64" s="292">
        <v>68.485319999999987</v>
      </c>
      <c r="H64" s="292">
        <v>73.810839999999999</v>
      </c>
      <c r="I64" s="292">
        <v>71.112679999999997</v>
      </c>
      <c r="J64" s="292">
        <v>60.603749999999998</v>
      </c>
      <c r="K64" s="292">
        <v>60.645859999999999</v>
      </c>
      <c r="L64" s="292">
        <v>78.851979999999998</v>
      </c>
      <c r="M64" s="292">
        <v>76.080169999999995</v>
      </c>
      <c r="N64" s="292">
        <v>77.762529999999998</v>
      </c>
      <c r="O64" s="292">
        <v>53.17313</v>
      </c>
      <c r="P64" s="309">
        <f t="shared" si="7"/>
        <v>747.59023999999999</v>
      </c>
      <c r="Q64" s="277"/>
    </row>
    <row r="65" spans="1:248" ht="12" thickTop="1">
      <c r="D65" s="293">
        <f t="shared" ref="D65:O65" si="17">+D34/D28</f>
        <v>4.1651617564956514E-3</v>
      </c>
      <c r="E65" s="293">
        <f t="shared" si="17"/>
        <v>4.3632539704144624E-3</v>
      </c>
      <c r="F65" s="293">
        <f t="shared" si="17"/>
        <v>3.5797956453048063E-3</v>
      </c>
      <c r="G65" s="293">
        <f t="shared" si="17"/>
        <v>4.0900919560137071E-3</v>
      </c>
      <c r="H65" s="293">
        <f t="shared" si="17"/>
        <v>4.3414986230848659E-3</v>
      </c>
      <c r="I65" s="293">
        <f t="shared" si="17"/>
        <v>4.5715397638385769E-3</v>
      </c>
      <c r="J65" s="293">
        <f t="shared" si="17"/>
        <v>4.7338616267283808E-3</v>
      </c>
      <c r="K65" s="293">
        <f t="shared" si="17"/>
        <v>4.2250611983665849E-3</v>
      </c>
      <c r="L65" s="293">
        <f t="shared" si="17"/>
        <v>3.8388372303342884E-3</v>
      </c>
      <c r="M65" s="293">
        <f t="shared" si="17"/>
        <v>3.6755228378360766E-3</v>
      </c>
      <c r="N65" s="293">
        <f t="shared" si="17"/>
        <v>3.7859482676059443E-3</v>
      </c>
      <c r="O65" s="293">
        <f t="shared" si="17"/>
        <v>3.9335403929087994E-3</v>
      </c>
    </row>
    <row r="66" spans="1:248">
      <c r="D66" s="294"/>
      <c r="E66" s="295"/>
      <c r="F66" s="294"/>
      <c r="G66" s="294"/>
      <c r="H66" s="294"/>
      <c r="L66" s="246"/>
      <c r="M66" s="246"/>
    </row>
    <row r="67" spans="1:248">
      <c r="C67" s="221" t="s">
        <v>92</v>
      </c>
      <c r="D67" s="294"/>
      <c r="E67" s="295"/>
      <c r="F67" s="294"/>
      <c r="G67" s="294"/>
      <c r="H67" s="294"/>
      <c r="L67" s="246"/>
      <c r="M67" s="246"/>
    </row>
    <row r="68" spans="1:248" s="231" customFormat="1">
      <c r="A68" s="221"/>
      <c r="B68" s="221"/>
      <c r="C68" s="221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</row>
    <row r="69" spans="1:248"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  <c r="BW69" s="231"/>
      <c r="BX69" s="231"/>
      <c r="BY69" s="231"/>
      <c r="BZ69" s="231"/>
      <c r="CA69" s="231"/>
      <c r="CB69" s="231"/>
      <c r="CC69" s="231"/>
      <c r="CD69" s="231"/>
      <c r="CE69" s="231"/>
      <c r="CF69" s="231"/>
      <c r="CG69" s="231"/>
      <c r="CH69" s="231"/>
      <c r="CI69" s="231"/>
      <c r="CJ69" s="231"/>
      <c r="CK69" s="231"/>
      <c r="CL69" s="231"/>
      <c r="CM69" s="231"/>
      <c r="CN69" s="231"/>
      <c r="CO69" s="231"/>
      <c r="CP69" s="231"/>
      <c r="CQ69" s="231"/>
      <c r="CR69" s="231"/>
      <c r="CS69" s="231"/>
      <c r="CT69" s="231"/>
      <c r="CU69" s="231"/>
      <c r="CV69" s="231"/>
      <c r="CW69" s="231"/>
      <c r="CX69" s="231"/>
      <c r="CY69" s="231"/>
      <c r="CZ69" s="231"/>
      <c r="DA69" s="231"/>
      <c r="DB69" s="231"/>
      <c r="DC69" s="231"/>
      <c r="DD69" s="231"/>
      <c r="DE69" s="231"/>
      <c r="DF69" s="231"/>
      <c r="DG69" s="231"/>
      <c r="DH69" s="231"/>
      <c r="DI69" s="231"/>
      <c r="DJ69" s="231"/>
      <c r="DK69" s="231"/>
      <c r="DL69" s="231"/>
      <c r="DM69" s="231"/>
      <c r="DN69" s="231"/>
      <c r="DO69" s="231"/>
      <c r="DP69" s="231"/>
      <c r="DQ69" s="231"/>
      <c r="DR69" s="231"/>
      <c r="DS69" s="231"/>
      <c r="DT69" s="231"/>
      <c r="DU69" s="231"/>
      <c r="DV69" s="231"/>
      <c r="DW69" s="231"/>
      <c r="DX69" s="231"/>
      <c r="DY69" s="231"/>
      <c r="DZ69" s="231"/>
      <c r="EA69" s="231"/>
      <c r="EB69" s="231"/>
      <c r="EC69" s="231"/>
      <c r="ED69" s="231"/>
      <c r="EE69" s="231"/>
      <c r="EF69" s="231"/>
      <c r="EG69" s="231"/>
      <c r="EH69" s="231"/>
      <c r="EI69" s="231"/>
      <c r="EJ69" s="231"/>
      <c r="EK69" s="231"/>
      <c r="EL69" s="231"/>
      <c r="EM69" s="231"/>
      <c r="EN69" s="231"/>
      <c r="EO69" s="231"/>
      <c r="EP69" s="231"/>
      <c r="EQ69" s="231"/>
      <c r="ER69" s="231"/>
      <c r="ES69" s="231"/>
      <c r="ET69" s="231"/>
      <c r="EU69" s="231"/>
      <c r="EV69" s="231"/>
      <c r="EW69" s="231"/>
      <c r="EX69" s="231"/>
      <c r="EY69" s="231"/>
      <c r="EZ69" s="231"/>
      <c r="FA69" s="231"/>
      <c r="FB69" s="231"/>
      <c r="FC69" s="231"/>
      <c r="FD69" s="231"/>
      <c r="FE69" s="231"/>
      <c r="FF69" s="231"/>
      <c r="FG69" s="231"/>
      <c r="FH69" s="231"/>
      <c r="FI69" s="231"/>
      <c r="FJ69" s="231"/>
      <c r="FK69" s="231"/>
      <c r="FL69" s="231"/>
      <c r="FM69" s="231"/>
      <c r="FN69" s="231"/>
      <c r="FO69" s="231"/>
      <c r="FP69" s="231"/>
      <c r="FQ69" s="231"/>
      <c r="FR69" s="231"/>
      <c r="FS69" s="231"/>
      <c r="FT69" s="231"/>
      <c r="FU69" s="231"/>
      <c r="FV69" s="231"/>
      <c r="FW69" s="231"/>
      <c r="FX69" s="231"/>
      <c r="FY69" s="231"/>
      <c r="FZ69" s="231"/>
      <c r="GA69" s="231"/>
      <c r="GB69" s="231"/>
      <c r="GC69" s="231"/>
      <c r="GD69" s="231"/>
      <c r="GE69" s="231"/>
      <c r="GF69" s="231"/>
      <c r="GG69" s="231"/>
      <c r="GH69" s="231"/>
      <c r="GI69" s="231"/>
      <c r="GJ69" s="231"/>
      <c r="GK69" s="231"/>
      <c r="GL69" s="231"/>
      <c r="GM69" s="231"/>
      <c r="GN69" s="231"/>
      <c r="GO69" s="231"/>
      <c r="GP69" s="231"/>
      <c r="GQ69" s="231"/>
      <c r="GR69" s="231"/>
      <c r="GS69" s="231"/>
      <c r="GT69" s="231"/>
      <c r="GU69" s="231"/>
      <c r="GV69" s="231"/>
      <c r="GW69" s="231"/>
      <c r="GX69" s="231"/>
      <c r="GY69" s="231"/>
      <c r="GZ69" s="231"/>
      <c r="HA69" s="231"/>
      <c r="HB69" s="231"/>
      <c r="HC69" s="231"/>
      <c r="HD69" s="231"/>
      <c r="HE69" s="231"/>
      <c r="HF69" s="231"/>
      <c r="HG69" s="231"/>
      <c r="HH69" s="231"/>
      <c r="HI69" s="231"/>
      <c r="HJ69" s="231"/>
      <c r="HK69" s="231"/>
      <c r="HL69" s="231"/>
      <c r="HM69" s="231"/>
      <c r="HN69" s="231"/>
      <c r="HO69" s="231"/>
      <c r="HP69" s="231"/>
      <c r="HQ69" s="231"/>
      <c r="HR69" s="231"/>
      <c r="HS69" s="231"/>
      <c r="HT69" s="231"/>
      <c r="HU69" s="231"/>
      <c r="HV69" s="231"/>
      <c r="HW69" s="231"/>
      <c r="HX69" s="231"/>
      <c r="HY69" s="231"/>
      <c r="HZ69" s="231"/>
      <c r="IA69" s="231"/>
      <c r="IB69" s="231"/>
      <c r="IC69" s="231"/>
      <c r="ID69" s="231"/>
      <c r="IE69" s="231"/>
      <c r="IF69" s="231"/>
      <c r="IG69" s="231"/>
      <c r="IH69" s="231"/>
      <c r="II69" s="231"/>
      <c r="IJ69" s="231"/>
      <c r="IK69" s="231"/>
      <c r="IL69" s="231"/>
      <c r="IM69" s="231"/>
      <c r="IN69" s="231"/>
    </row>
    <row r="70" spans="1:248">
      <c r="D70" s="297">
        <f t="shared" ref="D70:O70" si="18">+D39-D40</f>
        <v>0</v>
      </c>
      <c r="E70" s="297">
        <f t="shared" si="18"/>
        <v>0</v>
      </c>
      <c r="F70" s="297">
        <f t="shared" si="18"/>
        <v>0</v>
      </c>
      <c r="G70" s="297">
        <f t="shared" si="18"/>
        <v>0</v>
      </c>
      <c r="H70" s="297">
        <f t="shared" si="18"/>
        <v>0</v>
      </c>
      <c r="I70" s="297">
        <f t="shared" si="18"/>
        <v>0</v>
      </c>
      <c r="J70" s="297">
        <f t="shared" si="18"/>
        <v>0</v>
      </c>
      <c r="K70" s="297">
        <f t="shared" si="18"/>
        <v>0</v>
      </c>
      <c r="L70" s="297">
        <f t="shared" si="18"/>
        <v>0</v>
      </c>
      <c r="M70" s="297">
        <f t="shared" si="18"/>
        <v>0</v>
      </c>
      <c r="N70" s="297">
        <f t="shared" si="18"/>
        <v>0</v>
      </c>
      <c r="O70" s="297">
        <f t="shared" si="18"/>
        <v>0</v>
      </c>
      <c r="P70" s="297"/>
    </row>
    <row r="71" spans="1:248">
      <c r="B71" s="278"/>
      <c r="C71" s="249"/>
      <c r="D71" s="297">
        <f t="shared" ref="D71:O71" si="19">+D70*0.4</f>
        <v>0</v>
      </c>
      <c r="E71" s="297">
        <f t="shared" si="19"/>
        <v>0</v>
      </c>
      <c r="F71" s="297">
        <f t="shared" si="19"/>
        <v>0</v>
      </c>
      <c r="G71" s="297">
        <f t="shared" si="19"/>
        <v>0</v>
      </c>
      <c r="H71" s="297">
        <f t="shared" si="19"/>
        <v>0</v>
      </c>
      <c r="I71" s="297">
        <f>+I70*0.4</f>
        <v>0</v>
      </c>
      <c r="J71" s="297">
        <f t="shared" si="19"/>
        <v>0</v>
      </c>
      <c r="K71" s="297">
        <f t="shared" si="19"/>
        <v>0</v>
      </c>
      <c r="L71" s="297">
        <f t="shared" si="19"/>
        <v>0</v>
      </c>
      <c r="M71" s="297">
        <f t="shared" si="19"/>
        <v>0</v>
      </c>
      <c r="N71" s="297">
        <f t="shared" si="19"/>
        <v>0</v>
      </c>
      <c r="O71" s="297">
        <f t="shared" si="19"/>
        <v>0</v>
      </c>
      <c r="P71" s="297"/>
    </row>
    <row r="72" spans="1:248">
      <c r="B72" s="278"/>
      <c r="C72" s="249"/>
      <c r="D72" s="297">
        <f t="shared" ref="D72:O72" si="20">+D70*0.6</f>
        <v>0</v>
      </c>
      <c r="E72" s="297">
        <f t="shared" si="20"/>
        <v>0</v>
      </c>
      <c r="F72" s="297">
        <f t="shared" si="20"/>
        <v>0</v>
      </c>
      <c r="G72" s="297">
        <f t="shared" si="20"/>
        <v>0</v>
      </c>
      <c r="H72" s="297">
        <f t="shared" si="20"/>
        <v>0</v>
      </c>
      <c r="I72" s="297">
        <f>+I70*0.6</f>
        <v>0</v>
      </c>
      <c r="J72" s="297">
        <f t="shared" si="20"/>
        <v>0</v>
      </c>
      <c r="K72" s="297">
        <f t="shared" si="20"/>
        <v>0</v>
      </c>
      <c r="L72" s="297">
        <f t="shared" si="20"/>
        <v>0</v>
      </c>
      <c r="M72" s="297">
        <f t="shared" si="20"/>
        <v>0</v>
      </c>
      <c r="N72" s="297">
        <f t="shared" si="20"/>
        <v>0</v>
      </c>
      <c r="O72" s="297">
        <f t="shared" si="20"/>
        <v>0</v>
      </c>
      <c r="P72" s="297"/>
    </row>
    <row r="73" spans="1:248"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7"/>
      <c r="P73" s="297"/>
    </row>
    <row r="74" spans="1:248">
      <c r="D74" s="300">
        <f t="shared" ref="D74:O74" si="21">D36/D27</f>
        <v>1.565470685631061E-2</v>
      </c>
      <c r="E74" s="300">
        <f t="shared" si="21"/>
        <v>1.6680085816775565E-2</v>
      </c>
      <c r="F74" s="300">
        <f t="shared" si="21"/>
        <v>1.5665969090170609E-2</v>
      </c>
      <c r="G74" s="300">
        <f t="shared" si="21"/>
        <v>1.5908487980017642E-2</v>
      </c>
      <c r="H74" s="300">
        <f t="shared" si="21"/>
        <v>1.588949138508922E-2</v>
      </c>
      <c r="I74" s="300">
        <f t="shared" si="21"/>
        <v>1.6321127350179016E-2</v>
      </c>
      <c r="J74" s="300">
        <f t="shared" si="21"/>
        <v>1.6165289809390384E-2</v>
      </c>
      <c r="K74" s="300">
        <f t="shared" si="21"/>
        <v>1.5379206462605955E-2</v>
      </c>
      <c r="L74" s="300">
        <f t="shared" si="21"/>
        <v>1.6464121145179009E-2</v>
      </c>
      <c r="M74" s="300">
        <f t="shared" si="21"/>
        <v>1.5798465188237812E-2</v>
      </c>
      <c r="N74" s="300">
        <f t="shared" si="21"/>
        <v>1.4444068200930658E-2</v>
      </c>
      <c r="O74" s="300">
        <f t="shared" si="21"/>
        <v>1.4667574596788921E-2</v>
      </c>
    </row>
    <row r="75" spans="1:248">
      <c r="D75" s="246"/>
      <c r="E75" s="246"/>
      <c r="F75" s="246"/>
      <c r="G75" s="246"/>
      <c r="H75" s="246"/>
      <c r="I75" s="246"/>
      <c r="J75" s="246"/>
      <c r="K75" s="301"/>
      <c r="L75" s="246"/>
      <c r="M75" s="246"/>
      <c r="N75" s="246"/>
      <c r="O75" s="246"/>
    </row>
    <row r="76" spans="1:248">
      <c r="D76" s="237"/>
      <c r="E76" s="237"/>
      <c r="F76" s="246"/>
      <c r="G76" s="237"/>
      <c r="H76" s="237"/>
      <c r="I76" s="237"/>
      <c r="J76" s="237"/>
      <c r="K76" s="237"/>
      <c r="L76" s="237"/>
      <c r="M76" s="237"/>
      <c r="N76" s="237"/>
      <c r="O76" s="237"/>
    </row>
    <row r="77" spans="1:248">
      <c r="D77" s="278">
        <v>4210.4890800000003</v>
      </c>
      <c r="E77" s="278">
        <v>3920.6885800000005</v>
      </c>
      <c r="F77" s="278">
        <v>4316.0510800000002</v>
      </c>
      <c r="G77" s="278">
        <v>4158.9978000000001</v>
      </c>
      <c r="H77" s="278">
        <v>4280.8605400000006</v>
      </c>
      <c r="I77" s="278">
        <v>4131.5811100000001</v>
      </c>
      <c r="J77" s="278">
        <v>3869.0176300000003</v>
      </c>
      <c r="K77" s="278">
        <v>3985.8087300000011</v>
      </c>
      <c r="L77" s="278">
        <v>3981.1536500000007</v>
      </c>
      <c r="M77" s="278">
        <v>3880.2911100000001</v>
      </c>
      <c r="N77" s="278">
        <v>3635.3863500000007</v>
      </c>
      <c r="O77" s="278">
        <v>3992.41651</v>
      </c>
      <c r="P77" s="278">
        <f>+P44</f>
        <v>785560.11340999987</v>
      </c>
    </row>
    <row r="78" spans="1:248">
      <c r="D78" s="277">
        <f>+D54</f>
        <v>4210.4890800000003</v>
      </c>
      <c r="E78" s="277">
        <f t="shared" ref="E78:O78" si="22">+E54</f>
        <v>3920.6885800000005</v>
      </c>
      <c r="F78" s="277">
        <f t="shared" si="22"/>
        <v>4316.0510800000002</v>
      </c>
      <c r="G78" s="277">
        <f t="shared" si="22"/>
        <v>4158.9978000000001</v>
      </c>
      <c r="H78" s="277">
        <f t="shared" si="22"/>
        <v>4280.8605400000006</v>
      </c>
      <c r="I78" s="277">
        <f t="shared" si="22"/>
        <v>4131.5811100000001</v>
      </c>
      <c r="J78" s="277">
        <f t="shared" si="22"/>
        <v>3869.0176300000003</v>
      </c>
      <c r="K78" s="277">
        <f t="shared" si="22"/>
        <v>3985.8087300000011</v>
      </c>
      <c r="L78" s="277">
        <f t="shared" si="22"/>
        <v>3981.1536500000007</v>
      </c>
      <c r="M78" s="277">
        <f t="shared" si="22"/>
        <v>3880.2911100000001</v>
      </c>
      <c r="N78" s="277">
        <f t="shared" si="22"/>
        <v>3635.3863500000002</v>
      </c>
      <c r="O78" s="277">
        <f t="shared" si="22"/>
        <v>3992.41651</v>
      </c>
      <c r="P78" s="221">
        <v>656086.26572999998</v>
      </c>
    </row>
    <row r="79" spans="1:248"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>
        <f>+P77-P78</f>
        <v>129473.84767999989</v>
      </c>
    </row>
    <row r="80" spans="1:248">
      <c r="D80" s="278"/>
      <c r="E80" s="278"/>
      <c r="F80" s="278"/>
      <c r="G80" s="278"/>
      <c r="H80" s="278"/>
      <c r="I80" s="278"/>
      <c r="J80" s="278"/>
      <c r="K80" s="278"/>
      <c r="L80" s="278"/>
      <c r="M80" s="278"/>
      <c r="N80" s="278"/>
    </row>
    <row r="82" spans="9:15">
      <c r="I82" s="277"/>
      <c r="J82" s="277"/>
      <c r="K82" s="277"/>
      <c r="L82" s="277"/>
      <c r="M82" s="277"/>
      <c r="N82" s="277"/>
      <c r="O82" s="277"/>
    </row>
  </sheetData>
  <printOptions horizontalCentered="1"/>
  <pageMargins left="0.39370078740157483" right="0.39370078740157483" top="1.3779527559055118" bottom="1" header="0" footer="0"/>
  <pageSetup paperSize="9" scale="77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35D3-E8CB-414B-8B8F-3038D0D99EF3}">
  <sheetPr codeName="Sheet16">
    <pageSetUpPr fitToPage="1"/>
  </sheetPr>
  <dimension ref="A1:IN83"/>
  <sheetViews>
    <sheetView view="pageBreakPreview" topLeftCell="A30" zoomScaleNormal="80" zoomScaleSheetLayoutView="100" workbookViewId="0">
      <selection activeCell="P65" sqref="P65"/>
    </sheetView>
  </sheetViews>
  <sheetFormatPr baseColWidth="10" defaultColWidth="9" defaultRowHeight="11.25"/>
  <cols>
    <col min="1" max="1" width="3" style="221" customWidth="1"/>
    <col min="2" max="2" width="3.85546875" style="221" customWidth="1"/>
    <col min="3" max="3" width="26.85546875" style="221" bestFit="1" customWidth="1"/>
    <col min="4" max="4" width="13.28515625" style="221" customWidth="1"/>
    <col min="5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4.85546875" style="221" customWidth="1"/>
    <col min="17" max="17" width="10.42578125" style="221" bestFit="1" customWidth="1"/>
    <col min="18" max="19" width="9.85546875" style="221" bestFit="1" customWidth="1"/>
    <col min="20" max="16384" width="9" style="221"/>
  </cols>
  <sheetData>
    <row r="1" spans="3:16" hidden="1"/>
    <row r="2" spans="3:16" hidden="1"/>
    <row r="3" spans="3:16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113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235">
        <f>+'2022'!D8</f>
        <v>1219.8471556892396</v>
      </c>
      <c r="E8" s="235">
        <f>+'2022'!E8</f>
        <v>1089.8719156877994</v>
      </c>
      <c r="F8" s="236">
        <f>+'2022'!F8</f>
        <v>1242.9287898085713</v>
      </c>
      <c r="G8" s="236">
        <f>+'2022'!G8</f>
        <v>1186.1506827487945</v>
      </c>
      <c r="H8" s="236">
        <f>+'2022'!H8</f>
        <v>1229.5714850177765</v>
      </c>
      <c r="I8" s="236">
        <f>+'2022'!I8</f>
        <v>1183.4784699847698</v>
      </c>
      <c r="J8" s="236">
        <f>+'2022'!J8</f>
        <v>1226.2685354881287</v>
      </c>
      <c r="K8" s="236">
        <f>+'2022'!K8</f>
        <v>1232.105538105011</v>
      </c>
      <c r="L8" s="236">
        <f>+'2022'!L8</f>
        <v>1181.6035216691109</v>
      </c>
      <c r="M8" s="236">
        <f>+'2022'!M8</f>
        <v>1186.1793702008724</v>
      </c>
      <c r="N8" s="236">
        <f>+'2022'!N8</f>
        <v>1159.4886349411011</v>
      </c>
      <c r="O8" s="236">
        <f>+'2022'!O8</f>
        <v>1236.5355965881347</v>
      </c>
      <c r="P8" s="239">
        <f t="shared" ref="P8:P14" si="0">+SUM(D8:O8)</f>
        <v>14374.029695929308</v>
      </c>
    </row>
    <row r="9" spans="3:16">
      <c r="C9" s="234" t="s">
        <v>17</v>
      </c>
      <c r="D9" s="235">
        <f>+'2022'!D9</f>
        <v>422.62167955338629</v>
      </c>
      <c r="E9" s="235">
        <f>+'2022'!E9</f>
        <v>382.586939861921</v>
      </c>
      <c r="F9" s="236">
        <f>+'2022'!F9</f>
        <v>420.47582622805555</v>
      </c>
      <c r="G9" s="236">
        <f>+'2022'!G9</f>
        <v>401.03900969815254</v>
      </c>
      <c r="H9" s="236">
        <f>+'2022'!H9</f>
        <v>418.79864213514327</v>
      </c>
      <c r="I9" s="236">
        <f>+'2022'!I9</f>
        <v>400.79502671062949</v>
      </c>
      <c r="J9" s="236">
        <f>+'2022'!J9</f>
        <v>418.33885250842036</v>
      </c>
      <c r="K9" s="236">
        <f>+'2022'!K9</f>
        <v>419.978995138166</v>
      </c>
      <c r="L9" s="236">
        <f>+'2022'!L9</f>
        <v>291.79409789979087</v>
      </c>
      <c r="M9" s="236">
        <f>+'2022'!M9</f>
        <v>404.45772123910962</v>
      </c>
      <c r="N9" s="236">
        <f>+'2022'!N9</f>
        <v>387.17685390707072</v>
      </c>
      <c r="O9" s="236">
        <f>+'2022'!O9</f>
        <v>417.16215555572512</v>
      </c>
      <c r="P9" s="239">
        <f t="shared" si="0"/>
        <v>4785.2258004355699</v>
      </c>
    </row>
    <row r="10" spans="3:16">
      <c r="C10" s="234" t="s">
        <v>18</v>
      </c>
      <c r="D10" s="235">
        <f>+'2022'!D10</f>
        <v>3431.7383574447631</v>
      </c>
      <c r="E10" s="235">
        <f>+'2022'!E10</f>
        <v>2768.8959550542831</v>
      </c>
      <c r="F10" s="236">
        <f>+'2022'!F10</f>
        <v>3462.1425503711102</v>
      </c>
      <c r="G10" s="236">
        <f>+'2022'!G10</f>
        <v>3363.0727563171386</v>
      </c>
      <c r="H10" s="236">
        <f>+'2022'!H10</f>
        <v>3444.1800070142745</v>
      </c>
      <c r="I10" s="236">
        <f>+'2022'!I10</f>
        <v>3302.5792356204988</v>
      </c>
      <c r="J10" s="236">
        <f>+'2022'!J10</f>
        <v>3441.5638792190553</v>
      </c>
      <c r="K10" s="236">
        <f>+'2022'!K10</f>
        <v>3474.1516671531199</v>
      </c>
      <c r="L10" s="236">
        <f>+'2022'!L10</f>
        <v>3323.06683675766</v>
      </c>
      <c r="M10" s="236">
        <f>+'2022'!M10</f>
        <v>3444.6588041458131</v>
      </c>
      <c r="N10" s="236">
        <f>+'2022'!N10</f>
        <v>3257.1128826279937</v>
      </c>
      <c r="O10" s="236">
        <f>+'2022'!O10</f>
        <v>3475.5237980957031</v>
      </c>
      <c r="P10" s="239">
        <f t="shared" si="0"/>
        <v>40188.68672982142</v>
      </c>
    </row>
    <row r="11" spans="3:16">
      <c r="C11" s="234" t="s">
        <v>19</v>
      </c>
      <c r="D11" s="235">
        <f>+'2022'!D11</f>
        <v>9093.8718812590978</v>
      </c>
      <c r="E11" s="235">
        <f>+'2022'!E11</f>
        <v>7929.5935192601364</v>
      </c>
      <c r="F11" s="236">
        <f>+'2022'!F11</f>
        <v>10856.677650158415</v>
      </c>
      <c r="G11" s="236">
        <f>+'2022'!G11</f>
        <v>8886.1646169535816</v>
      </c>
      <c r="H11" s="236">
        <f>+'2022'!H11</f>
        <v>8722.8500369883714</v>
      </c>
      <c r="I11" s="236">
        <f>+'2022'!I11</f>
        <v>8412.8964147864881</v>
      </c>
      <c r="J11" s="236">
        <f>+'2022'!J11</f>
        <v>8695.6318722754513</v>
      </c>
      <c r="K11" s="236">
        <f>+'2022'!K11</f>
        <v>9993.2153514222027</v>
      </c>
      <c r="L11" s="236">
        <f>+'2022'!L11</f>
        <v>9705.6573542480473</v>
      </c>
      <c r="M11" s="236">
        <f>+'2022'!M11</f>
        <v>10025.184908800356</v>
      </c>
      <c r="N11" s="236">
        <f>+'2022'!N11</f>
        <v>8028.2810720427769</v>
      </c>
      <c r="O11" s="236">
        <f>+'2022'!O11</f>
        <v>8284.2034955362396</v>
      </c>
      <c r="P11" s="239">
        <f t="shared" si="0"/>
        <v>108634.22817373116</v>
      </c>
    </row>
    <row r="12" spans="3:16">
      <c r="C12" s="234" t="s">
        <v>20</v>
      </c>
      <c r="D12" s="235">
        <f>+'2022'!D12</f>
        <v>58946.728492378235</v>
      </c>
      <c r="E12" s="235">
        <f>+'2022'!E12</f>
        <v>48966.007065432546</v>
      </c>
      <c r="F12" s="236">
        <f>+'2022'!F12</f>
        <v>68879.682495632471</v>
      </c>
      <c r="G12" s="236">
        <f>+'2022'!G12</f>
        <v>55060.960240503788</v>
      </c>
      <c r="H12" s="236">
        <f>+'2022'!H12</f>
        <v>53417.425948029158</v>
      </c>
      <c r="I12" s="236">
        <f>+'2022'!I12</f>
        <v>51694.265634819145</v>
      </c>
      <c r="J12" s="236">
        <f>+'2022'!J12</f>
        <v>53423.634291647264</v>
      </c>
      <c r="K12" s="236">
        <f>+'2022'!K12</f>
        <v>62315.440097447296</v>
      </c>
      <c r="L12" s="236">
        <f>+'2022'!L12</f>
        <v>60310.263266008827</v>
      </c>
      <c r="M12" s="236">
        <f>+'2022'!M12</f>
        <v>62320.714779315516</v>
      </c>
      <c r="N12" s="236">
        <f>+'2022'!N12</f>
        <v>58454.157824913265</v>
      </c>
      <c r="O12" s="236">
        <f>+'2022'!O12</f>
        <v>57929.587627500769</v>
      </c>
      <c r="P12" s="239">
        <f t="shared" si="0"/>
        <v>691718.86776362825</v>
      </c>
    </row>
    <row r="13" spans="3:16">
      <c r="C13" s="234" t="s">
        <v>21</v>
      </c>
      <c r="D13" s="235">
        <f>+'2022'!D13</f>
        <v>5455.1491612164282</v>
      </c>
      <c r="E13" s="235">
        <f>+'2022'!E13</f>
        <v>4612.9961531405224</v>
      </c>
      <c r="F13" s="236">
        <f>+'2022'!F13</f>
        <v>6358.606590664519</v>
      </c>
      <c r="G13" s="236">
        <f>+'2022'!G13</f>
        <v>4748.6859495491408</v>
      </c>
      <c r="H13" s="236">
        <f>+'2022'!H13</f>
        <v>5077.0155783386226</v>
      </c>
      <c r="I13" s="236">
        <f>+'2022'!I13</f>
        <v>4931.225624572754</v>
      </c>
      <c r="J13" s="236">
        <f>+'2022'!J13</f>
        <v>5058.387876586914</v>
      </c>
      <c r="K13" s="236">
        <f>+'2022'!K13</f>
        <v>5969.9543620693385</v>
      </c>
      <c r="L13" s="236">
        <f>+'2022'!L13</f>
        <v>4720.8160377041677</v>
      </c>
      <c r="M13" s="236">
        <f>+'2022'!M13</f>
        <v>6058.0401207865907</v>
      </c>
      <c r="N13" s="236">
        <f>+'2022'!N13</f>
        <v>5787.3664782104488</v>
      </c>
      <c r="O13" s="236">
        <f>+'2022'!O13</f>
        <v>5808.8318871154788</v>
      </c>
      <c r="P13" s="239">
        <f t="shared" si="0"/>
        <v>64587.075819954916</v>
      </c>
    </row>
    <row r="14" spans="3:16">
      <c r="C14" s="240" t="s">
        <v>22</v>
      </c>
      <c r="D14" s="241">
        <f>SUM(D8:D13)</f>
        <v>78569.956727541139</v>
      </c>
      <c r="E14" s="241">
        <f>SUM(E8:E13)</f>
        <v>65749.95154843721</v>
      </c>
      <c r="F14" s="241">
        <f>SUM(F8:F13)</f>
        <v>91220.513902863153</v>
      </c>
      <c r="G14" s="241">
        <f t="shared" ref="G14:L14" si="1">SUM(G8:G13)</f>
        <v>73646.073255770592</v>
      </c>
      <c r="H14" s="241">
        <f t="shared" si="1"/>
        <v>72309.841697523356</v>
      </c>
      <c r="I14" s="241">
        <f t="shared" si="1"/>
        <v>69925.240406494282</v>
      </c>
      <c r="J14" s="241">
        <f t="shared" si="1"/>
        <v>72263.82530772523</v>
      </c>
      <c r="K14" s="241">
        <f t="shared" si="1"/>
        <v>83404.846011335147</v>
      </c>
      <c r="L14" s="241">
        <f t="shared" si="1"/>
        <v>79533.2011142876</v>
      </c>
      <c r="M14" s="241">
        <f>SUM(M8:M13)</f>
        <v>83439.235704488266</v>
      </c>
      <c r="N14" s="241">
        <f>SUM(N8:N13)</f>
        <v>77073.583746642646</v>
      </c>
      <c r="O14" s="241">
        <f>SUM(O8:O13)</f>
        <v>77151.844560392041</v>
      </c>
      <c r="P14" s="243">
        <f t="shared" si="0"/>
        <v>924288.11398350075</v>
      </c>
    </row>
    <row r="15" spans="3:16">
      <c r="C15" s="228" t="s">
        <v>23</v>
      </c>
      <c r="D15" s="244"/>
      <c r="E15" s="244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7"/>
    </row>
    <row r="16" spans="3:16">
      <c r="C16" s="248" t="s">
        <v>24</v>
      </c>
      <c r="D16" s="235">
        <f>+'2022'!D16</f>
        <v>0</v>
      </c>
      <c r="E16" s="235">
        <f>+'2022'!E16</f>
        <v>0</v>
      </c>
      <c r="F16" s="236">
        <f>+'2022'!F16</f>
        <v>0</v>
      </c>
      <c r="G16" s="236">
        <f>+'2022'!G16</f>
        <v>0</v>
      </c>
      <c r="H16" s="236">
        <f>+'2022'!H16</f>
        <v>0</v>
      </c>
      <c r="I16" s="236">
        <f>+'2022'!I16</f>
        <v>0</v>
      </c>
      <c r="J16" s="236">
        <f>+'2022'!J16</f>
        <v>0</v>
      </c>
      <c r="K16" s="236">
        <f>+'2022'!K16</f>
        <v>0</v>
      </c>
      <c r="L16" s="236">
        <f>+'2022'!L16</f>
        <v>0</v>
      </c>
      <c r="M16" s="236">
        <f>+'2022'!M16</f>
        <v>0</v>
      </c>
      <c r="N16" s="236">
        <f>+'2022'!N16</f>
        <v>0</v>
      </c>
      <c r="O16" s="236">
        <f>+'2022'!O16</f>
        <v>0</v>
      </c>
      <c r="P16" s="239">
        <f t="shared" ref="P16:P22" si="2">+SUM(D16:O16)</f>
        <v>0</v>
      </c>
    </row>
    <row r="17" spans="3:17">
      <c r="C17" s="234" t="s">
        <v>25</v>
      </c>
      <c r="D17" s="235">
        <f>+'2022'!D17</f>
        <v>0</v>
      </c>
      <c r="E17" s="235">
        <f>+'2022'!E17</f>
        <v>2.1792190093994139</v>
      </c>
      <c r="F17" s="236">
        <f>+'2022'!F17</f>
        <v>0</v>
      </c>
      <c r="G17" s="236">
        <f>+'2022'!G17</f>
        <v>2.1235730934143064</v>
      </c>
      <c r="H17" s="236">
        <f>+'2022'!H17</f>
        <v>24.72891778564453</v>
      </c>
      <c r="I17" s="236">
        <f>+'2022'!I17</f>
        <v>4.4261790041923526</v>
      </c>
      <c r="J17" s="236">
        <f>+'2022'!J17</f>
        <v>3.3356796569824221</v>
      </c>
      <c r="K17" s="236">
        <f>+'2022'!K17</f>
        <v>0</v>
      </c>
      <c r="L17" s="236">
        <f>+'2022'!L17</f>
        <v>111.64405252075196</v>
      </c>
      <c r="M17" s="236">
        <f>+'2022'!M17</f>
        <v>0</v>
      </c>
      <c r="N17" s="236">
        <f>+'2022'!N17</f>
        <v>0</v>
      </c>
      <c r="O17" s="236">
        <f>+'2022'!O17</f>
        <v>1.3973649063110352</v>
      </c>
      <c r="P17" s="239">
        <f t="shared" si="2"/>
        <v>149.834985976696</v>
      </c>
    </row>
    <row r="18" spans="3:17">
      <c r="C18" s="248" t="s">
        <v>26</v>
      </c>
      <c r="D18" s="235">
        <f>+'2022'!D18</f>
        <v>12.681230949401856</v>
      </c>
      <c r="E18" s="235">
        <f>+'2022'!E18</f>
        <v>3.5791256399435443</v>
      </c>
      <c r="F18" s="236">
        <f>+'2022'!F18</f>
        <v>0</v>
      </c>
      <c r="G18" s="236">
        <f>+'2022'!G18</f>
        <v>1.6294031581424644</v>
      </c>
      <c r="H18" s="236">
        <f>+'2022'!H18</f>
        <v>8.7695610024207742</v>
      </c>
      <c r="I18" s="236">
        <f>+'2022'!I18</f>
        <v>20.590207740551296</v>
      </c>
      <c r="J18" s="236">
        <f>+'2022'!J18</f>
        <v>8.4844810147713865</v>
      </c>
      <c r="K18" s="236">
        <f>+'2022'!K18</f>
        <v>13.134336791992187</v>
      </c>
      <c r="L18" s="236">
        <f>+'2022'!L18</f>
        <v>91.42895262445812</v>
      </c>
      <c r="M18" s="236">
        <f>+'2022'!M18</f>
        <v>111.96729423339457</v>
      </c>
      <c r="N18" s="236">
        <f>+'2022'!N18</f>
        <v>1048.2632499115753</v>
      </c>
      <c r="O18" s="236">
        <f>+'2022'!O18</f>
        <v>2.0771350479125976</v>
      </c>
      <c r="P18" s="239">
        <f t="shared" si="2"/>
        <v>1322.6049781145641</v>
      </c>
      <c r="Q18" s="249"/>
    </row>
    <row r="19" spans="3:17">
      <c r="C19" s="248" t="s">
        <v>27</v>
      </c>
      <c r="D19" s="235">
        <f>+'2022'!D19</f>
        <v>26.440005121559718</v>
      </c>
      <c r="E19" s="235">
        <f>+'2022'!E19</f>
        <v>20.246059967041017</v>
      </c>
      <c r="F19" s="236">
        <f>+'2022'!F19</f>
        <v>31.040768379717456</v>
      </c>
      <c r="G19" s="236">
        <f>+'2022'!G19</f>
        <v>20.142381072998045</v>
      </c>
      <c r="H19" s="236">
        <f>+'2022'!H19</f>
        <v>4.1210601829928963</v>
      </c>
      <c r="I19" s="236">
        <f>+'2022'!I19</f>
        <v>18.127805923461914</v>
      </c>
      <c r="J19" s="236">
        <f>+'2022'!J19</f>
        <v>71.872641759115695</v>
      </c>
      <c r="K19" s="236">
        <f>+'2022'!K19</f>
        <v>27.77143436431885</v>
      </c>
      <c r="L19" s="236">
        <f>+'2022'!L19</f>
        <v>277.60668186982366</v>
      </c>
      <c r="M19" s="236">
        <f>+'2022'!M19</f>
        <v>32.977901298522951</v>
      </c>
      <c r="N19" s="236">
        <f>+'2022'!N19</f>
        <v>1995.8380058114876</v>
      </c>
      <c r="O19" s="236">
        <f>+'2022'!O19</f>
        <v>217.18909655761718</v>
      </c>
      <c r="P19" s="239">
        <f t="shared" si="2"/>
        <v>2743.373842308657</v>
      </c>
      <c r="Q19" s="249"/>
    </row>
    <row r="20" spans="3:17">
      <c r="C20" s="250" t="s">
        <v>46</v>
      </c>
      <c r="D20" s="235">
        <f>+'2022'!D20</f>
        <v>0</v>
      </c>
      <c r="E20" s="235">
        <f>+'2022'!E20</f>
        <v>0</v>
      </c>
      <c r="F20" s="235">
        <f>+'2022'!F20</f>
        <v>0</v>
      </c>
      <c r="G20" s="235">
        <f>+'2022'!G20</f>
        <v>0</v>
      </c>
      <c r="H20" s="235">
        <f>+'2022'!H20</f>
        <v>0</v>
      </c>
      <c r="I20" s="235">
        <f>+'2022'!I20</f>
        <v>0</v>
      </c>
      <c r="J20" s="235">
        <f>+'2022'!J20</f>
        <v>0</v>
      </c>
      <c r="K20" s="235">
        <f>+'2022'!K20</f>
        <v>0</v>
      </c>
      <c r="L20" s="235">
        <f>+'2022'!L20</f>
        <v>0</v>
      </c>
      <c r="M20" s="235">
        <f>+'2022'!M20</f>
        <v>0</v>
      </c>
      <c r="N20" s="235">
        <f>+'2022'!N20</f>
        <v>0</v>
      </c>
      <c r="O20" s="235">
        <f>+'2022'!O20</f>
        <v>0</v>
      </c>
      <c r="P20" s="239">
        <f t="shared" si="2"/>
        <v>0</v>
      </c>
      <c r="Q20" s="249"/>
    </row>
    <row r="21" spans="3:17">
      <c r="C21" s="240" t="s">
        <v>28</v>
      </c>
      <c r="D21" s="241">
        <f>SUM(D16:D20)</f>
        <v>39.121236070961572</v>
      </c>
      <c r="E21" s="241">
        <f>SUM(E16:E20)</f>
        <v>26.004404616383976</v>
      </c>
      <c r="F21" s="241">
        <f>SUM(F16:F20)</f>
        <v>31.040768379717456</v>
      </c>
      <c r="G21" s="241">
        <f>SUM(G16:G20)</f>
        <v>23.895357324554816</v>
      </c>
      <c r="H21" s="241">
        <f>SUM(H16:H20)</f>
        <v>37.619538971058205</v>
      </c>
      <c r="I21" s="241">
        <f t="shared" ref="I21:N21" si="3">SUM(I16:I20)</f>
        <v>43.144192668205562</v>
      </c>
      <c r="J21" s="241">
        <f t="shared" si="3"/>
        <v>83.692802430869506</v>
      </c>
      <c r="K21" s="241">
        <f t="shared" si="3"/>
        <v>40.905771156311033</v>
      </c>
      <c r="L21" s="241">
        <f t="shared" si="3"/>
        <v>480.67968701503372</v>
      </c>
      <c r="M21" s="241">
        <f t="shared" si="3"/>
        <v>144.94519553191753</v>
      </c>
      <c r="N21" s="241">
        <f t="shared" si="3"/>
        <v>3044.1012557230629</v>
      </c>
      <c r="O21" s="241">
        <f>SUM(O16:O20)</f>
        <v>220.66359651184081</v>
      </c>
      <c r="P21" s="243">
        <f t="shared" si="2"/>
        <v>4215.8138063999177</v>
      </c>
    </row>
    <row r="22" spans="3:17" ht="12" thickBot="1">
      <c r="C22" s="251" t="s">
        <v>29</v>
      </c>
      <c r="D22" s="252">
        <f>+D14+D21</f>
        <v>78609.077963612101</v>
      </c>
      <c r="E22" s="241">
        <f t="shared" ref="E22:N22" si="4">+E14+E21</f>
        <v>65775.955953053592</v>
      </c>
      <c r="F22" s="252">
        <f t="shared" si="4"/>
        <v>91251.554671242877</v>
      </c>
      <c r="G22" s="252">
        <f t="shared" si="4"/>
        <v>73669.968613095145</v>
      </c>
      <c r="H22" s="252">
        <f t="shared" si="4"/>
        <v>72347.461236494419</v>
      </c>
      <c r="I22" s="252">
        <f t="shared" si="4"/>
        <v>69968.384599162484</v>
      </c>
      <c r="J22" s="252">
        <f t="shared" si="4"/>
        <v>72347.518110156103</v>
      </c>
      <c r="K22" s="252">
        <f t="shared" si="4"/>
        <v>83445.751782491454</v>
      </c>
      <c r="L22" s="252">
        <f t="shared" si="4"/>
        <v>80013.880801302628</v>
      </c>
      <c r="M22" s="252">
        <f t="shared" si="4"/>
        <v>83584.18090002019</v>
      </c>
      <c r="N22" s="252">
        <f t="shared" si="4"/>
        <v>80117.685002365703</v>
      </c>
      <c r="O22" s="252">
        <f>+O14+O21</f>
        <v>77372.508156903888</v>
      </c>
      <c r="P22" s="254">
        <f t="shared" si="2"/>
        <v>928503.92778990068</v>
      </c>
    </row>
    <row r="23" spans="3:17" ht="12" thickTop="1"/>
    <row r="24" spans="3:17">
      <c r="C24" s="222" t="s">
        <v>112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17" ht="12" thickBot="1"/>
    <row r="26" spans="3:17" ht="12" thickTop="1">
      <c r="C26" s="310" t="s">
        <v>30</v>
      </c>
      <c r="D26" s="311" t="s">
        <v>2</v>
      </c>
      <c r="E26" s="311" t="s">
        <v>3</v>
      </c>
      <c r="F26" s="311" t="s">
        <v>4</v>
      </c>
      <c r="G26" s="311" t="s">
        <v>5</v>
      </c>
      <c r="H26" s="311" t="s">
        <v>6</v>
      </c>
      <c r="I26" s="311" t="s">
        <v>7</v>
      </c>
      <c r="J26" s="311" t="s">
        <v>8</v>
      </c>
      <c r="K26" s="311" t="s">
        <v>9</v>
      </c>
      <c r="L26" s="311" t="s">
        <v>10</v>
      </c>
      <c r="M26" s="311" t="s">
        <v>11</v>
      </c>
      <c r="N26" s="311" t="s">
        <v>12</v>
      </c>
      <c r="O26" s="311" t="s">
        <v>13</v>
      </c>
      <c r="P26" s="312" t="s">
        <v>14</v>
      </c>
    </row>
    <row r="27" spans="3:17">
      <c r="C27" s="313" t="s">
        <v>31</v>
      </c>
      <c r="D27" s="263">
        <f t="shared" ref="D27:O27" si="5">+D28+D29</f>
        <v>78609.077963612101</v>
      </c>
      <c r="E27" s="262">
        <f t="shared" si="5"/>
        <v>65775.955953053592</v>
      </c>
      <c r="F27" s="263">
        <f t="shared" si="5"/>
        <v>91251.554671242877</v>
      </c>
      <c r="G27" s="263">
        <f t="shared" si="5"/>
        <v>73669.968613095145</v>
      </c>
      <c r="H27" s="263">
        <f t="shared" si="5"/>
        <v>72347.461236494419</v>
      </c>
      <c r="I27" s="263">
        <f t="shared" si="5"/>
        <v>69968.384599162484</v>
      </c>
      <c r="J27" s="263">
        <f t="shared" si="5"/>
        <v>72347.518110156103</v>
      </c>
      <c r="K27" s="263">
        <f t="shared" si="5"/>
        <v>83445.751782491454</v>
      </c>
      <c r="L27" s="263">
        <f t="shared" si="5"/>
        <v>80013.880801302628</v>
      </c>
      <c r="M27" s="263">
        <f t="shared" si="5"/>
        <v>83584.18090002019</v>
      </c>
      <c r="N27" s="263">
        <f t="shared" si="5"/>
        <v>80117.685002365703</v>
      </c>
      <c r="O27" s="263">
        <f t="shared" si="5"/>
        <v>77372.508156903888</v>
      </c>
      <c r="P27" s="314">
        <f>SUM(D27:O27)</f>
        <v>928503.92778990068</v>
      </c>
    </row>
    <row r="28" spans="3:17">
      <c r="C28" s="307" t="s">
        <v>32</v>
      </c>
      <c r="D28" s="268">
        <f>+D14</f>
        <v>78569.956727541139</v>
      </c>
      <c r="E28" s="268">
        <f t="shared" ref="E28:O28" si="6">+E14</f>
        <v>65749.95154843721</v>
      </c>
      <c r="F28" s="268">
        <f t="shared" si="6"/>
        <v>91220.513902863153</v>
      </c>
      <c r="G28" s="268">
        <f t="shared" si="6"/>
        <v>73646.073255770592</v>
      </c>
      <c r="H28" s="268">
        <f t="shared" si="6"/>
        <v>72309.841697523356</v>
      </c>
      <c r="I28" s="268">
        <f t="shared" si="6"/>
        <v>69925.240406494282</v>
      </c>
      <c r="J28" s="268">
        <f t="shared" si="6"/>
        <v>72263.82530772523</v>
      </c>
      <c r="K28" s="268">
        <f t="shared" si="6"/>
        <v>83404.846011335147</v>
      </c>
      <c r="L28" s="268">
        <f t="shared" si="6"/>
        <v>79533.2011142876</v>
      </c>
      <c r="M28" s="268">
        <f t="shared" si="6"/>
        <v>83439.235704488266</v>
      </c>
      <c r="N28" s="268">
        <f t="shared" si="6"/>
        <v>77073.583746642646</v>
      </c>
      <c r="O28" s="268">
        <f t="shared" si="6"/>
        <v>77151.844560392041</v>
      </c>
      <c r="P28" s="306">
        <f t="shared" ref="P28:P65" si="7">SUM(D28:O28)</f>
        <v>924288.11398350075</v>
      </c>
    </row>
    <row r="29" spans="3:17">
      <c r="C29" s="322" t="s">
        <v>33</v>
      </c>
      <c r="D29" s="272">
        <f>+D21</f>
        <v>39.121236070961572</v>
      </c>
      <c r="E29" s="272">
        <f t="shared" ref="E29:O29" si="8">+E21</f>
        <v>26.004404616383976</v>
      </c>
      <c r="F29" s="272">
        <f t="shared" si="8"/>
        <v>31.040768379717456</v>
      </c>
      <c r="G29" s="272">
        <f t="shared" si="8"/>
        <v>23.895357324554816</v>
      </c>
      <c r="H29" s="272">
        <f t="shared" si="8"/>
        <v>37.619538971058205</v>
      </c>
      <c r="I29" s="272">
        <f t="shared" si="8"/>
        <v>43.144192668205562</v>
      </c>
      <c r="J29" s="272">
        <f t="shared" si="8"/>
        <v>83.692802430869506</v>
      </c>
      <c r="K29" s="272">
        <f t="shared" si="8"/>
        <v>40.905771156311033</v>
      </c>
      <c r="L29" s="272">
        <f t="shared" si="8"/>
        <v>480.67968701503372</v>
      </c>
      <c r="M29" s="272">
        <f t="shared" si="8"/>
        <v>144.94519553191753</v>
      </c>
      <c r="N29" s="272">
        <f t="shared" si="8"/>
        <v>3044.1012557230629</v>
      </c>
      <c r="O29" s="272">
        <f t="shared" si="8"/>
        <v>220.66359651184081</v>
      </c>
      <c r="P29" s="317">
        <f t="shared" si="7"/>
        <v>4215.8138063999177</v>
      </c>
    </row>
    <row r="30" spans="3:17">
      <c r="C30" s="313" t="s">
        <v>34</v>
      </c>
      <c r="D30" s="263">
        <f>+SUM(D31:D32)</f>
        <v>150.28167999999999</v>
      </c>
      <c r="E30" s="263">
        <f t="shared" ref="E30:P30" si="9">+SUM(E31:E32)</f>
        <v>3843.6292743596068</v>
      </c>
      <c r="F30" s="263">
        <f t="shared" si="9"/>
        <v>155.94549803161601</v>
      </c>
      <c r="G30" s="263">
        <f t="shared" si="9"/>
        <v>139.57567862419359</v>
      </c>
      <c r="H30" s="263">
        <f t="shared" si="9"/>
        <v>145.87514999999999</v>
      </c>
      <c r="I30" s="263">
        <f t="shared" si="9"/>
        <v>142.45681959814453</v>
      </c>
      <c r="J30" s="263">
        <f t="shared" si="9"/>
        <v>133.7588440070873</v>
      </c>
      <c r="K30" s="263">
        <f t="shared" si="9"/>
        <v>146.73445475482941</v>
      </c>
      <c r="L30" s="263">
        <f t="shared" si="9"/>
        <v>139.55522999999999</v>
      </c>
      <c r="M30" s="263">
        <f t="shared" si="9"/>
        <v>128.50700000000001</v>
      </c>
      <c r="N30" s="263">
        <f t="shared" si="9"/>
        <v>111.62695088481902</v>
      </c>
      <c r="O30" s="263">
        <f t="shared" si="9"/>
        <v>117.56939999999999</v>
      </c>
      <c r="P30" s="314">
        <f t="shared" si="9"/>
        <v>5355.5159802602966</v>
      </c>
    </row>
    <row r="31" spans="3:17">
      <c r="C31" s="307" t="s">
        <v>41</v>
      </c>
      <c r="D31" s="268">
        <f>+'2022'!D31</f>
        <v>0</v>
      </c>
      <c r="E31" s="268">
        <f>+'2022'!E31</f>
        <v>3707.1190891752699</v>
      </c>
      <c r="F31" s="268">
        <f>+'2022'!F31</f>
        <v>0</v>
      </c>
      <c r="G31" s="268">
        <f>+'2022'!G31</f>
        <v>0</v>
      </c>
      <c r="H31" s="268">
        <f>+'2022'!H31</f>
        <v>0</v>
      </c>
      <c r="I31" s="268">
        <f>+'2022'!I31</f>
        <v>0</v>
      </c>
      <c r="J31" s="268">
        <f>+'2022'!J31</f>
        <v>0</v>
      </c>
      <c r="K31" s="268">
        <f>+'2022'!K31</f>
        <v>0</v>
      </c>
      <c r="L31" s="268">
        <f>+'2022'!L31</f>
        <v>0</v>
      </c>
      <c r="M31" s="268">
        <f>+'2022'!M31</f>
        <v>0</v>
      </c>
      <c r="N31" s="268">
        <f>+'2022'!N31</f>
        <v>0</v>
      </c>
      <c r="O31" s="268">
        <f>+'2022'!O31</f>
        <v>0</v>
      </c>
      <c r="P31" s="306">
        <f t="shared" si="7"/>
        <v>3707.1190891752699</v>
      </c>
    </row>
    <row r="32" spans="3:17">
      <c r="C32" s="322" t="s">
        <v>109</v>
      </c>
      <c r="D32" s="272">
        <f>+'2022'!D32</f>
        <v>150.28167999999999</v>
      </c>
      <c r="E32" s="272">
        <f>+'2022'!E32</f>
        <v>136.51018518433682</v>
      </c>
      <c r="F32" s="272">
        <f>+'2022'!F32</f>
        <v>155.94549803161601</v>
      </c>
      <c r="G32" s="272">
        <f>+'2022'!G32</f>
        <v>139.57567862419359</v>
      </c>
      <c r="H32" s="272">
        <f>+'2022'!H32</f>
        <v>145.87514999999999</v>
      </c>
      <c r="I32" s="272">
        <f>+'2022'!I32</f>
        <v>142.45681959814453</v>
      </c>
      <c r="J32" s="272">
        <f>+'2022'!J32</f>
        <v>133.7588440070873</v>
      </c>
      <c r="K32" s="272">
        <f>+'2022'!K32</f>
        <v>146.73445475482941</v>
      </c>
      <c r="L32" s="272">
        <f>+'2022'!L32</f>
        <v>139.55522999999999</v>
      </c>
      <c r="M32" s="328">
        <f>+'2022'!M32</f>
        <v>128.50700000000001</v>
      </c>
      <c r="N32" s="272">
        <f>+'2022'!N32</f>
        <v>111.62695088481902</v>
      </c>
      <c r="O32" s="272">
        <f>+'2022'!O32</f>
        <v>117.56939999999999</v>
      </c>
      <c r="P32" s="317">
        <f t="shared" si="7"/>
        <v>1648.3968910850267</v>
      </c>
    </row>
    <row r="33" spans="2:19">
      <c r="C33" s="313" t="s">
        <v>35</v>
      </c>
      <c r="D33" s="263">
        <f>+D34+D35</f>
        <v>321.0989130511644</v>
      </c>
      <c r="E33" s="263">
        <f t="shared" ref="E33:O33" si="10">+E34+E35</f>
        <v>289.41624298905577</v>
      </c>
      <c r="F33" s="263">
        <f t="shared" si="10"/>
        <v>328.55847443062413</v>
      </c>
      <c r="G33" s="263">
        <f t="shared" si="10"/>
        <v>302.61154766655676</v>
      </c>
      <c r="H33" s="263">
        <f>+H34+H35</f>
        <v>315.90736379169249</v>
      </c>
      <c r="I33" s="263">
        <f t="shared" si="10"/>
        <v>323.60428412433595</v>
      </c>
      <c r="J33" s="263">
        <f t="shared" si="10"/>
        <v>348.37712947542337</v>
      </c>
      <c r="K33" s="263">
        <f>+K34+K35</f>
        <v>354.53349898553807</v>
      </c>
      <c r="L33" s="263">
        <f t="shared" si="10"/>
        <v>323.83720858104152</v>
      </c>
      <c r="M33" s="263">
        <f t="shared" si="10"/>
        <v>319.774959015891</v>
      </c>
      <c r="N33" s="263">
        <f t="shared" si="10"/>
        <v>464.34524862286975</v>
      </c>
      <c r="O33" s="263">
        <f t="shared" si="10"/>
        <v>313.44062932267417</v>
      </c>
      <c r="P33" s="314">
        <f t="shared" si="7"/>
        <v>4005.5055000568677</v>
      </c>
    </row>
    <row r="34" spans="2:19">
      <c r="B34" s="277"/>
      <c r="C34" s="307" t="s">
        <v>32</v>
      </c>
      <c r="D34" s="268">
        <v>318.52905069879318</v>
      </c>
      <c r="E34" s="268">
        <v>287.59860270151978</v>
      </c>
      <c r="F34" s="268">
        <v>326.55079843193641</v>
      </c>
      <c r="G34" s="268">
        <v>301.21921181542149</v>
      </c>
      <c r="H34" s="268">
        <v>313.93450740360043</v>
      </c>
      <c r="I34" s="268">
        <v>319.66680152221647</v>
      </c>
      <c r="J34" s="268">
        <v>342.08694962484509</v>
      </c>
      <c r="K34" s="268">
        <v>352.24941204477267</v>
      </c>
      <c r="L34" s="268">
        <v>304.52127747161313</v>
      </c>
      <c r="M34" s="268">
        <v>306.68281640343372</v>
      </c>
      <c r="N34" s="268">
        <v>291.70533021829044</v>
      </c>
      <c r="O34" s="268">
        <v>303.67083820405236</v>
      </c>
      <c r="P34" s="306">
        <f t="shared" si="7"/>
        <v>3768.4155965404952</v>
      </c>
    </row>
    <row r="35" spans="2:19">
      <c r="B35" s="278"/>
      <c r="C35" s="322" t="s">
        <v>33</v>
      </c>
      <c r="D35" s="268">
        <v>2.5698623523712159</v>
      </c>
      <c r="E35" s="268">
        <v>1.8176402875359916</v>
      </c>
      <c r="F35" s="268">
        <v>2.0076759986877444</v>
      </c>
      <c r="G35" s="268">
        <v>1.3923358511352539</v>
      </c>
      <c r="H35" s="272">
        <v>1.9728563880920409</v>
      </c>
      <c r="I35" s="272">
        <v>3.9374826021194456</v>
      </c>
      <c r="J35" s="272">
        <v>6.2901798505783084</v>
      </c>
      <c r="K35" s="272">
        <v>2.2840869407653805</v>
      </c>
      <c r="L35" s="272">
        <v>19.315931109428398</v>
      </c>
      <c r="M35" s="272">
        <v>13.092142612457273</v>
      </c>
      <c r="N35" s="272">
        <v>172.6399184045793</v>
      </c>
      <c r="O35" s="272">
        <v>9.7697911186218267</v>
      </c>
      <c r="P35" s="317">
        <f t="shared" si="7"/>
        <v>237.0899035163722</v>
      </c>
    </row>
    <row r="36" spans="2:19">
      <c r="C36" s="318" t="s">
        <v>36</v>
      </c>
      <c r="D36" s="263">
        <f t="shared" ref="D36:O36" si="11">+D37+D38</f>
        <v>1239.3296900374989</v>
      </c>
      <c r="E36" s="263">
        <f t="shared" si="11"/>
        <v>1096.4337244241469</v>
      </c>
      <c r="F36" s="263">
        <f t="shared" si="11"/>
        <v>1429.5440349097044</v>
      </c>
      <c r="G36" s="263">
        <f>+G37+G38</f>
        <v>1171.8513801696972</v>
      </c>
      <c r="H36" s="282">
        <f t="shared" si="11"/>
        <v>1152.72859281204</v>
      </c>
      <c r="I36" s="282">
        <f t="shared" si="11"/>
        <v>1141.9621310212824</v>
      </c>
      <c r="J36" s="282">
        <f t="shared" si="11"/>
        <v>1172.1341172407847</v>
      </c>
      <c r="K36" s="282">
        <f>+K37+K38</f>
        <v>1278.1316516837687</v>
      </c>
      <c r="L36" s="282">
        <f t="shared" si="11"/>
        <v>1428.5029134694632</v>
      </c>
      <c r="M36" s="263">
        <f t="shared" si="11"/>
        <v>1350.9667312909878</v>
      </c>
      <c r="N36" s="282">
        <f t="shared" si="11"/>
        <v>1612.3762624678056</v>
      </c>
      <c r="O36" s="282">
        <f t="shared" si="11"/>
        <v>1317.1841651041614</v>
      </c>
      <c r="P36" s="326">
        <f t="shared" si="7"/>
        <v>15391.145394631341</v>
      </c>
    </row>
    <row r="37" spans="2:19">
      <c r="B37" s="278"/>
      <c r="C37" s="307" t="s">
        <v>37</v>
      </c>
      <c r="D37" s="268">
        <v>495.73187601499961</v>
      </c>
      <c r="E37" s="268">
        <v>438.57348976965881</v>
      </c>
      <c r="F37" s="268">
        <v>571.81761396388174</v>
      </c>
      <c r="G37" s="268">
        <v>468.74055206787892</v>
      </c>
      <c r="H37" s="268">
        <v>461.09143712481603</v>
      </c>
      <c r="I37" s="268">
        <v>456.78485240851296</v>
      </c>
      <c r="J37" s="268">
        <v>468.85364689631388</v>
      </c>
      <c r="K37" s="268">
        <v>511.25266067350753</v>
      </c>
      <c r="L37" s="268">
        <v>571.40116538778534</v>
      </c>
      <c r="M37" s="268">
        <v>540.3866925163951</v>
      </c>
      <c r="N37" s="268">
        <v>644.95050498712226</v>
      </c>
      <c r="O37" s="268">
        <v>526.87366604166459</v>
      </c>
      <c r="P37" s="306">
        <f t="shared" si="7"/>
        <v>6156.4581578525358</v>
      </c>
    </row>
    <row r="38" spans="2:19">
      <c r="B38" s="285"/>
      <c r="C38" s="307" t="s">
        <v>38</v>
      </c>
      <c r="D38" s="272">
        <v>743.59781402249939</v>
      </c>
      <c r="E38" s="272">
        <v>657.86023465448818</v>
      </c>
      <c r="F38" s="272">
        <v>857.72642094582261</v>
      </c>
      <c r="G38" s="272">
        <v>703.11082810181836</v>
      </c>
      <c r="H38" s="268">
        <v>691.63715568722398</v>
      </c>
      <c r="I38" s="268">
        <v>685.17727861276944</v>
      </c>
      <c r="J38" s="268">
        <v>703.28047034447081</v>
      </c>
      <c r="K38" s="268">
        <v>766.87899101026119</v>
      </c>
      <c r="L38" s="272">
        <v>857.1017480816779</v>
      </c>
      <c r="M38" s="272">
        <v>810.58003877459271</v>
      </c>
      <c r="N38" s="272">
        <v>967.42575748068339</v>
      </c>
      <c r="O38" s="272">
        <v>790.31049906249677</v>
      </c>
      <c r="P38" s="306">
        <f t="shared" si="7"/>
        <v>9234.6872367788055</v>
      </c>
    </row>
    <row r="39" spans="2:19">
      <c r="B39" s="285"/>
      <c r="C39" s="320" t="s">
        <v>39</v>
      </c>
      <c r="D39" s="302">
        <f t="shared" ref="D39:O39" si="12">+D27+D30-D33-D36</f>
        <v>77198.931040523443</v>
      </c>
      <c r="E39" s="302">
        <f t="shared" si="12"/>
        <v>68233.735260000001</v>
      </c>
      <c r="F39" s="302">
        <f t="shared" si="12"/>
        <v>89649.397659934169</v>
      </c>
      <c r="G39" s="302">
        <f t="shared" si="12"/>
        <v>72335.081363883088</v>
      </c>
      <c r="H39" s="302">
        <f t="shared" si="12"/>
        <v>71024.700429890698</v>
      </c>
      <c r="I39" s="302">
        <f t="shared" si="12"/>
        <v>68645.27500361501</v>
      </c>
      <c r="J39" s="302">
        <f t="shared" si="12"/>
        <v>70960.765707446975</v>
      </c>
      <c r="K39" s="302">
        <f t="shared" si="12"/>
        <v>81959.82108657698</v>
      </c>
      <c r="L39" s="302">
        <f t="shared" si="12"/>
        <v>78401.095909252123</v>
      </c>
      <c r="M39" s="302">
        <f t="shared" si="12"/>
        <v>82041.946209713307</v>
      </c>
      <c r="N39" s="302">
        <f t="shared" si="12"/>
        <v>78152.590442159853</v>
      </c>
      <c r="O39" s="302">
        <f t="shared" si="12"/>
        <v>75859.452762477042</v>
      </c>
      <c r="P39" s="321">
        <f t="shared" si="7"/>
        <v>914462.79287547292</v>
      </c>
    </row>
    <row r="40" spans="2:19">
      <c r="B40" s="285"/>
      <c r="C40" s="320" t="s">
        <v>40</v>
      </c>
      <c r="D40" s="302">
        <f t="shared" ref="D40:O40" si="13">+D41+D44+D54</f>
        <v>77198.931040523443</v>
      </c>
      <c r="E40" s="302">
        <f t="shared" si="13"/>
        <v>68233.735260000001</v>
      </c>
      <c r="F40" s="302">
        <f t="shared" si="13"/>
        <v>89649.397659934169</v>
      </c>
      <c r="G40" s="302">
        <f t="shared" si="13"/>
        <v>72335.081363883088</v>
      </c>
      <c r="H40" s="302">
        <f t="shared" si="13"/>
        <v>71024.700429890698</v>
      </c>
      <c r="I40" s="302">
        <f t="shared" si="13"/>
        <v>68645.27500361501</v>
      </c>
      <c r="J40" s="302">
        <f t="shared" si="13"/>
        <v>70960.765707446975</v>
      </c>
      <c r="K40" s="302">
        <f t="shared" si="13"/>
        <v>81959.82108657698</v>
      </c>
      <c r="L40" s="302">
        <f t="shared" si="13"/>
        <v>78401.095909252123</v>
      </c>
      <c r="M40" s="302">
        <f t="shared" si="13"/>
        <v>82041.946209713307</v>
      </c>
      <c r="N40" s="302">
        <f t="shared" si="13"/>
        <v>78501.668102159849</v>
      </c>
      <c r="O40" s="302">
        <f t="shared" si="13"/>
        <v>75859.452762477042</v>
      </c>
      <c r="P40" s="321">
        <f t="shared" si="7"/>
        <v>914811.87053547287</v>
      </c>
    </row>
    <row r="41" spans="2:19">
      <c r="C41" s="318" t="s">
        <v>44</v>
      </c>
      <c r="D41" s="263">
        <f t="shared" ref="D41:O41" si="14">+D42+D43</f>
        <v>4378.6734005234466</v>
      </c>
      <c r="E41" s="263">
        <f t="shared" si="14"/>
        <v>0</v>
      </c>
      <c r="F41" s="263">
        <f t="shared" si="14"/>
        <v>14565.245879934155</v>
      </c>
      <c r="G41" s="263">
        <f t="shared" si="14"/>
        <v>3192.0751738830877</v>
      </c>
      <c r="H41" s="263">
        <f t="shared" si="14"/>
        <v>2496.8630998906883</v>
      </c>
      <c r="I41" s="263">
        <f t="shared" si="14"/>
        <v>3503.0439836150035</v>
      </c>
      <c r="J41" s="263">
        <f t="shared" si="14"/>
        <v>5555.0039374469634</v>
      </c>
      <c r="K41" s="263">
        <f t="shared" si="14"/>
        <v>14740.830396576974</v>
      </c>
      <c r="L41" s="263">
        <f t="shared" si="14"/>
        <v>10939.620949252116</v>
      </c>
      <c r="M41" s="263">
        <f t="shared" si="14"/>
        <v>12479.907719713316</v>
      </c>
      <c r="N41" s="263">
        <f t="shared" si="14"/>
        <v>7843.3054421598354</v>
      </c>
      <c r="O41" s="263">
        <f t="shared" si="14"/>
        <v>1266.8766124770482</v>
      </c>
      <c r="P41" s="314">
        <f t="shared" si="7"/>
        <v>80961.446595472633</v>
      </c>
    </row>
    <row r="42" spans="2:19">
      <c r="B42" s="278"/>
      <c r="C42" s="315" t="s">
        <v>41</v>
      </c>
      <c r="D42" s="268">
        <v>4378.6734005234466</v>
      </c>
      <c r="E42" s="268">
        <v>0</v>
      </c>
      <c r="F42" s="268">
        <v>14565.245879934155</v>
      </c>
      <c r="G42" s="268">
        <v>3192.0751738830877</v>
      </c>
      <c r="H42" s="268">
        <v>2496.8630998906883</v>
      </c>
      <c r="I42" s="268">
        <v>3503.0439836150035</v>
      </c>
      <c r="J42" s="268">
        <v>5555.0039374469634</v>
      </c>
      <c r="K42" s="268">
        <v>14740.830396576974</v>
      </c>
      <c r="L42" s="268">
        <v>10939.620949252116</v>
      </c>
      <c r="M42" s="268">
        <v>12479.907719713316</v>
      </c>
      <c r="N42" s="268">
        <v>7843.3054421598354</v>
      </c>
      <c r="O42" s="268">
        <v>1266.8766124770482</v>
      </c>
      <c r="P42" s="306">
        <f t="shared" si="7"/>
        <v>80961.446595472633</v>
      </c>
      <c r="Q42" s="277"/>
    </row>
    <row r="43" spans="2:19" hidden="1">
      <c r="C43" s="315" t="s">
        <v>45</v>
      </c>
      <c r="D43" s="268">
        <v>0</v>
      </c>
      <c r="E43" s="268">
        <v>0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/>
      <c r="P43" s="306">
        <f t="shared" si="7"/>
        <v>0</v>
      </c>
      <c r="Q43" s="277"/>
    </row>
    <row r="44" spans="2:19">
      <c r="C44" s="318" t="s">
        <v>42</v>
      </c>
      <c r="D44" s="282">
        <f t="shared" ref="D44:P44" si="15">SUM(D45:D53)</f>
        <v>68609.768559999997</v>
      </c>
      <c r="E44" s="282">
        <f t="shared" si="15"/>
        <v>64313.046679999999</v>
      </c>
      <c r="F44" s="282">
        <f t="shared" si="15"/>
        <v>70768.10070000001</v>
      </c>
      <c r="G44" s="282">
        <f t="shared" si="15"/>
        <v>64984.008390000003</v>
      </c>
      <c r="H44" s="282">
        <f t="shared" si="15"/>
        <v>64246.976790000015</v>
      </c>
      <c r="I44" s="282">
        <f t="shared" si="15"/>
        <v>61010.64991</v>
      </c>
      <c r="J44" s="282">
        <f t="shared" si="15"/>
        <v>61536.744140000003</v>
      </c>
      <c r="K44" s="282">
        <f t="shared" si="15"/>
        <v>63233.181960000002</v>
      </c>
      <c r="L44" s="282">
        <f t="shared" si="15"/>
        <v>63480.48090000001</v>
      </c>
      <c r="M44" s="282">
        <f t="shared" si="15"/>
        <v>65681.923039999994</v>
      </c>
      <c r="N44" s="282">
        <f t="shared" si="15"/>
        <v>67023.229460000017</v>
      </c>
      <c r="O44" s="282">
        <f t="shared" si="15"/>
        <v>70600.159639999998</v>
      </c>
      <c r="P44" s="319">
        <f t="shared" si="15"/>
        <v>785488.27017000003</v>
      </c>
      <c r="Q44" s="277">
        <f>+SUM(P45:P53)</f>
        <v>785488.27017000003</v>
      </c>
      <c r="R44" s="305">
        <f>+Q44/P40</f>
        <v>0.85863366607849656</v>
      </c>
    </row>
    <row r="45" spans="2:19">
      <c r="B45" s="277"/>
      <c r="C45" s="315" t="s">
        <v>47</v>
      </c>
      <c r="D45" s="268">
        <f>+[3]R!D74</f>
        <v>13241.770420000001</v>
      </c>
      <c r="E45" s="268">
        <f>+[3]R!E74</f>
        <v>12282.05046</v>
      </c>
      <c r="F45" s="268">
        <f>+[3]R!F74</f>
        <v>13803.49401</v>
      </c>
      <c r="G45" s="268">
        <f>+[3]R!G74</f>
        <v>12621.595660000001</v>
      </c>
      <c r="H45" s="268">
        <f>+[3]R!H74</f>
        <v>12840.428729999998</v>
      </c>
      <c r="I45" s="268">
        <f>+[3]R!I74</f>
        <v>12332.854200000003</v>
      </c>
      <c r="J45" s="268">
        <f>+[3]R!J74</f>
        <v>12484.40612</v>
      </c>
      <c r="K45" s="268">
        <f>+[3]R!K74</f>
        <v>12619.216</v>
      </c>
      <c r="L45" s="268">
        <f>+[3]R!L74</f>
        <v>12315.05789</v>
      </c>
      <c r="M45" s="268">
        <f>+[3]R!M74</f>
        <v>12575.338</v>
      </c>
      <c r="N45" s="268">
        <f>+[3]R!N74</f>
        <v>12588.75203</v>
      </c>
      <c r="O45" s="268">
        <f>+[3]R!O74</f>
        <v>13378.773739999999</v>
      </c>
      <c r="P45" s="306">
        <f t="shared" si="7"/>
        <v>153083.73725999999</v>
      </c>
      <c r="Q45" s="277"/>
      <c r="R45" s="277"/>
      <c r="S45" s="278"/>
    </row>
    <row r="46" spans="2:19">
      <c r="C46" s="315" t="s">
        <v>48</v>
      </c>
      <c r="D46" s="268">
        <f>+[3]R!D75</f>
        <v>38497.813829999999</v>
      </c>
      <c r="E46" s="268">
        <f>+[3]R!E75</f>
        <v>35642.547610000001</v>
      </c>
      <c r="F46" s="268">
        <f>+[3]R!F75</f>
        <v>40153.250659999998</v>
      </c>
      <c r="G46" s="268">
        <f>+[3]R!G75</f>
        <v>36606.065390000003</v>
      </c>
      <c r="H46" s="268">
        <f>+[3]R!H75</f>
        <v>37166.347190000008</v>
      </c>
      <c r="I46" s="268">
        <f>+[3]R!I75</f>
        <v>35990.085799999993</v>
      </c>
      <c r="J46" s="268">
        <f>+[3]R!J75</f>
        <v>36592.777199999997</v>
      </c>
      <c r="K46" s="268">
        <f>+[3]R!K75</f>
        <v>37177.736779999999</v>
      </c>
      <c r="L46" s="268">
        <f>+[3]R!L75</f>
        <v>36200.792600000008</v>
      </c>
      <c r="M46" s="268">
        <f>+[3]R!M75</f>
        <v>36876.177759999999</v>
      </c>
      <c r="N46" s="268">
        <f>+[3]R!N75</f>
        <v>36425.180260000008</v>
      </c>
      <c r="O46" s="268">
        <f>+[3]R!O75</f>
        <v>38625.638780000001</v>
      </c>
      <c r="P46" s="306">
        <f t="shared" si="7"/>
        <v>445954.41385999991</v>
      </c>
      <c r="Q46" s="277"/>
      <c r="R46" s="277"/>
      <c r="S46" s="278"/>
    </row>
    <row r="47" spans="2:19">
      <c r="C47" s="315" t="s">
        <v>50</v>
      </c>
      <c r="D47" s="268">
        <f>+[3]R!D76</f>
        <v>1361.9329600000001</v>
      </c>
      <c r="E47" s="268">
        <f>+[3]R!E76</f>
        <v>1257.03844</v>
      </c>
      <c r="F47" s="268">
        <f>+[3]R!F76</f>
        <v>1386.3933100000002</v>
      </c>
      <c r="G47" s="268">
        <f>+[3]R!G76</f>
        <v>1294.1971099999998</v>
      </c>
      <c r="H47" s="268">
        <f>+[3]R!H76</f>
        <v>1298.0632599999997</v>
      </c>
      <c r="I47" s="268">
        <f>+[3]R!I76</f>
        <v>1242.0160000000001</v>
      </c>
      <c r="J47" s="268">
        <f>+[3]R!J76</f>
        <v>1258.6811399999999</v>
      </c>
      <c r="K47" s="268">
        <f>+[3]R!K76</f>
        <v>1261.5877499999999</v>
      </c>
      <c r="L47" s="268">
        <f>+[3]R!L76</f>
        <v>1232.64688</v>
      </c>
      <c r="M47" s="268">
        <f>+[3]R!M76</f>
        <v>1307.93813</v>
      </c>
      <c r="N47" s="268">
        <f>+[3]R!N76</f>
        <v>1319.8010699999998</v>
      </c>
      <c r="O47" s="268">
        <f>+[3]R!O76</f>
        <v>1407.9710600000001</v>
      </c>
      <c r="P47" s="306">
        <f t="shared" si="7"/>
        <v>15628.267110000003</v>
      </c>
      <c r="Q47" s="277"/>
      <c r="R47" s="277"/>
      <c r="S47" s="278"/>
    </row>
    <row r="48" spans="2:19">
      <c r="C48" s="315" t="s">
        <v>51</v>
      </c>
      <c r="D48" s="268">
        <f>+[3]R!D77</f>
        <v>935.87391000000014</v>
      </c>
      <c r="E48" s="268">
        <f>+[3]R!E77</f>
        <v>846.46357</v>
      </c>
      <c r="F48" s="268">
        <f>+[3]R!F77</f>
        <v>961.59951999999998</v>
      </c>
      <c r="G48" s="268">
        <f>+[3]R!G77</f>
        <v>950.44726999999989</v>
      </c>
      <c r="H48" s="268">
        <f>+[3]R!H77</f>
        <v>999.87716000000012</v>
      </c>
      <c r="I48" s="268">
        <f>+[3]R!I77</f>
        <v>982.74446000000012</v>
      </c>
      <c r="J48" s="268">
        <f>+[3]R!J77</f>
        <v>1053.73359</v>
      </c>
      <c r="K48" s="268">
        <f>+[3]R!K77</f>
        <v>1495.7675699999998</v>
      </c>
      <c r="L48" s="268">
        <f>+[3]R!L77</f>
        <v>1467.8354500000003</v>
      </c>
      <c r="M48" s="268">
        <f>+[3]R!M77</f>
        <v>1563.8700300000003</v>
      </c>
      <c r="N48" s="268">
        <f>+[3]R!N77</f>
        <v>1503.8707100000001</v>
      </c>
      <c r="O48" s="268">
        <f>+[3]R!O77</f>
        <v>1438.1752200000001</v>
      </c>
      <c r="P48" s="306">
        <f t="shared" si="7"/>
        <v>14200.258460000001</v>
      </c>
      <c r="Q48" s="277"/>
      <c r="R48" s="277"/>
      <c r="S48" s="278"/>
    </row>
    <row r="49" spans="3:19">
      <c r="C49" s="315" t="s">
        <v>52</v>
      </c>
      <c r="D49" s="268">
        <f>+[3]R!D78</f>
        <v>888.00484999999981</v>
      </c>
      <c r="E49" s="268">
        <f>+[3]R!E78</f>
        <v>839.89986999999996</v>
      </c>
      <c r="F49" s="268">
        <f>+[3]R!F78</f>
        <v>903.61070999999993</v>
      </c>
      <c r="G49" s="268">
        <f>+[3]R!G78</f>
        <v>911.90021000000002</v>
      </c>
      <c r="H49" s="268">
        <f>+[3]R!H78</f>
        <v>931.03751</v>
      </c>
      <c r="I49" s="268">
        <f>+[3]R!I78</f>
        <v>951.7933300000002</v>
      </c>
      <c r="J49" s="268">
        <f>+[3]R!J78</f>
        <v>989.08831000000009</v>
      </c>
      <c r="K49" s="268">
        <f>+[3]R!K78</f>
        <v>949.6336</v>
      </c>
      <c r="L49" s="268">
        <f>+[3]R!L78</f>
        <v>969.74331000000006</v>
      </c>
      <c r="M49" s="268">
        <f>+[3]R!M78</f>
        <v>968.24823000000026</v>
      </c>
      <c r="N49" s="268">
        <f>+[3]R!N78</f>
        <v>922.64372000000014</v>
      </c>
      <c r="O49" s="268">
        <f>+[3]R!O78</f>
        <v>961.39201000000003</v>
      </c>
      <c r="P49" s="306">
        <f t="shared" si="7"/>
        <v>11186.99566</v>
      </c>
      <c r="Q49" s="277"/>
      <c r="R49" s="277"/>
      <c r="S49" s="278"/>
    </row>
    <row r="50" spans="3:19">
      <c r="C50" s="315" t="s">
        <v>90</v>
      </c>
      <c r="D50" s="268">
        <f>+[3]R!D79</f>
        <v>1525.01081</v>
      </c>
      <c r="E50" s="268">
        <f>+[3]R!E79</f>
        <v>1393.1935000000003</v>
      </c>
      <c r="F50" s="268">
        <f>+[3]R!F79</f>
        <v>1557.65428</v>
      </c>
      <c r="G50" s="268">
        <f>+[3]R!G79</f>
        <v>1481.4776199999999</v>
      </c>
      <c r="H50" s="268">
        <f>+[3]R!H79</f>
        <v>1525.1279400000001</v>
      </c>
      <c r="I50" s="268">
        <f>+[3]R!I79</f>
        <v>1490.5834600000003</v>
      </c>
      <c r="J50" s="268">
        <f>+[3]R!J79</f>
        <v>1519.6596300000001</v>
      </c>
      <c r="K50" s="268">
        <f>+[3]R!K79</f>
        <v>1525.5105800000001</v>
      </c>
      <c r="L50" s="268">
        <f>+[3]R!L79</f>
        <v>1492.17399</v>
      </c>
      <c r="M50" s="268">
        <f>+[3]R!M79</f>
        <v>1542.66074</v>
      </c>
      <c r="N50" s="268">
        <f>+[3]R!N79</f>
        <v>1514.7393699999998</v>
      </c>
      <c r="O50" s="268">
        <f>+[3]R!O79</f>
        <v>1567.8657199999998</v>
      </c>
      <c r="P50" s="306">
        <f t="shared" si="7"/>
        <v>18135.657639999998</v>
      </c>
      <c r="Q50" s="277"/>
      <c r="R50" s="277"/>
      <c r="S50" s="278"/>
    </row>
    <row r="51" spans="3:19">
      <c r="C51" s="315" t="s">
        <v>53</v>
      </c>
      <c r="D51" s="268">
        <f>+[3]R!D80</f>
        <v>2129.03692</v>
      </c>
      <c r="E51" s="268">
        <f>+[3]R!E80</f>
        <v>2028.11112</v>
      </c>
      <c r="F51" s="268">
        <f>+[3]R!F80</f>
        <v>2108.0343800000001</v>
      </c>
      <c r="G51" s="268">
        <f>+[3]R!G80</f>
        <v>1962.0957600000002</v>
      </c>
      <c r="H51" s="268">
        <f>+[3]R!H80</f>
        <v>1678.0634900000002</v>
      </c>
      <c r="I51" s="268">
        <f>+[3]R!I80</f>
        <v>1819.3040499999997</v>
      </c>
      <c r="J51" s="268">
        <f>+[3]R!J80</f>
        <v>2053.2412400000003</v>
      </c>
      <c r="K51" s="268">
        <f>+[3]R!K80</f>
        <v>1894.3732200000002</v>
      </c>
      <c r="L51" s="268">
        <f>+[3]R!L80</f>
        <v>2028.1586299999999</v>
      </c>
      <c r="M51" s="268">
        <f>+[3]R!M80</f>
        <v>1742.6135599999998</v>
      </c>
      <c r="N51" s="268">
        <f>+[3]R!N80</f>
        <v>2359.4590200000002</v>
      </c>
      <c r="O51" s="268">
        <f>+[3]R!O80</f>
        <v>2263.1009200000003</v>
      </c>
      <c r="P51" s="306">
        <f t="shared" si="7"/>
        <v>24065.592310000004</v>
      </c>
      <c r="Q51" s="277"/>
      <c r="R51" s="277"/>
      <c r="S51" s="278"/>
    </row>
    <row r="52" spans="3:19">
      <c r="C52" s="315" t="s">
        <v>54</v>
      </c>
      <c r="D52" s="268">
        <f>+[3]R!D81</f>
        <v>56.703560000000003</v>
      </c>
      <c r="E52" s="268">
        <f>+[3]R!E81</f>
        <v>52.016560000000005</v>
      </c>
      <c r="F52" s="268">
        <f>+[3]R!F81</f>
        <v>62.193820000000002</v>
      </c>
      <c r="G52" s="268">
        <f>+[3]R!G81</f>
        <v>57.203160000000004</v>
      </c>
      <c r="H52" s="268">
        <f>+[3]R!H81</f>
        <v>58.594979999999993</v>
      </c>
      <c r="I52" s="268">
        <f>+[3]R!I81</f>
        <v>56.456479999999999</v>
      </c>
      <c r="J52" s="268">
        <f>+[3]R!J81</f>
        <v>56.617560000000005</v>
      </c>
      <c r="K52" s="268">
        <f>+[3]R!K81</f>
        <v>61.990219999999994</v>
      </c>
      <c r="L52" s="268">
        <f>+[3]R!L81</f>
        <v>57.121840000000013</v>
      </c>
      <c r="M52" s="268">
        <f>+[3]R!M81</f>
        <v>59.244839999999996</v>
      </c>
      <c r="N52" s="268">
        <f>+[3]R!N81</f>
        <v>60.155380000000008</v>
      </c>
      <c r="O52" s="268">
        <f>+[3]R!O81</f>
        <v>60.39461</v>
      </c>
      <c r="P52" s="306">
        <f t="shared" si="7"/>
        <v>698.69300999999996</v>
      </c>
      <c r="Q52" s="277"/>
      <c r="R52" s="277"/>
      <c r="S52" s="278"/>
    </row>
    <row r="53" spans="3:19">
      <c r="C53" s="307" t="s">
        <v>93</v>
      </c>
      <c r="D53" s="268">
        <f>+[3]R!D82</f>
        <v>9973.6213000000007</v>
      </c>
      <c r="E53" s="268">
        <f>+[3]R!E82</f>
        <v>9971.725550000001</v>
      </c>
      <c r="F53" s="268">
        <f>+[3]R!F82</f>
        <v>9831.8700099999987</v>
      </c>
      <c r="G53" s="268">
        <f>+[3]R!G82</f>
        <v>9099.02621</v>
      </c>
      <c r="H53" s="268">
        <f>+[3]R!H82</f>
        <v>7749.4365300000009</v>
      </c>
      <c r="I53" s="268">
        <f>+[3]R!I82</f>
        <v>6144.8121300000003</v>
      </c>
      <c r="J53" s="268">
        <f>+[3]R!J82</f>
        <v>5528.53935</v>
      </c>
      <c r="K53" s="268">
        <f>+[3]R!K82</f>
        <v>6247.3662399999994</v>
      </c>
      <c r="L53" s="268">
        <f>+[3]R!L82</f>
        <v>7716.9503100000002</v>
      </c>
      <c r="M53" s="268">
        <f>+[3]R!M82</f>
        <v>9045.8317499999994</v>
      </c>
      <c r="N53" s="268">
        <f>+[3]R!N82</f>
        <v>10328.627899999999</v>
      </c>
      <c r="O53" s="268">
        <f>+[3]R!O82</f>
        <v>10896.847580000001</v>
      </c>
      <c r="P53" s="306">
        <f t="shared" si="7"/>
        <v>102534.65485999998</v>
      </c>
      <c r="Q53" s="277"/>
      <c r="R53" s="277"/>
      <c r="S53" s="278"/>
    </row>
    <row r="54" spans="3:19">
      <c r="C54" s="318" t="s">
        <v>43</v>
      </c>
      <c r="D54" s="282">
        <f>+SUM(D55:D65)</f>
        <v>4210.4890800000003</v>
      </c>
      <c r="E54" s="282">
        <f t="shared" ref="E54:J54" si="16">+SUM(E55:E65)</f>
        <v>3920.6885800000005</v>
      </c>
      <c r="F54" s="282">
        <f t="shared" si="16"/>
        <v>4316.0510800000002</v>
      </c>
      <c r="G54" s="282">
        <f t="shared" si="16"/>
        <v>4158.9978000000001</v>
      </c>
      <c r="H54" s="282">
        <f t="shared" si="16"/>
        <v>4280.8605400000006</v>
      </c>
      <c r="I54" s="282">
        <f t="shared" si="16"/>
        <v>4131.5811100000001</v>
      </c>
      <c r="J54" s="282">
        <f t="shared" si="16"/>
        <v>3869.0176300000003</v>
      </c>
      <c r="K54" s="282">
        <f t="shared" ref="K54:P54" si="17">+SUM(K55:K65)</f>
        <v>3985.8087300000011</v>
      </c>
      <c r="L54" s="282">
        <f t="shared" si="17"/>
        <v>3980.9940600000004</v>
      </c>
      <c r="M54" s="282">
        <f t="shared" si="17"/>
        <v>3880.1154499999998</v>
      </c>
      <c r="N54" s="282">
        <f t="shared" si="17"/>
        <v>3635.1332000000007</v>
      </c>
      <c r="O54" s="282">
        <f t="shared" si="17"/>
        <v>3992.41651</v>
      </c>
      <c r="P54" s="319">
        <f t="shared" si="17"/>
        <v>48362.15376999999</v>
      </c>
      <c r="Q54" s="277"/>
    </row>
    <row r="55" spans="3:19">
      <c r="C55" s="307" t="s">
        <v>56</v>
      </c>
      <c r="D55" s="268">
        <f>+[3]R!D86</f>
        <v>899.86658000000011</v>
      </c>
      <c r="E55" s="268">
        <f>+[3]R!E86</f>
        <v>832.42496999999992</v>
      </c>
      <c r="F55" s="268">
        <f>+[3]R!F86</f>
        <v>762.23281000000009</v>
      </c>
      <c r="G55" s="268">
        <f>+[3]R!G86</f>
        <v>781.25132999999994</v>
      </c>
      <c r="H55" s="268">
        <f>+[3]R!H86</f>
        <v>727.45101999999997</v>
      </c>
      <c r="I55" s="268">
        <f>+[3]R!I86</f>
        <v>777.43704000000002</v>
      </c>
      <c r="J55" s="268">
        <f>+[3]R!J86</f>
        <v>813.25525000000005</v>
      </c>
      <c r="K55" s="268">
        <f>+[3]R!K86</f>
        <v>834.22503000000006</v>
      </c>
      <c r="L55" s="268">
        <f>+[3]R!L86</f>
        <v>745.3210600000001</v>
      </c>
      <c r="M55" s="268">
        <f>+[3]R!M86</f>
        <v>753.79178000000002</v>
      </c>
      <c r="N55" s="268">
        <f>+[3]R!N86</f>
        <v>727.35005000000001</v>
      </c>
      <c r="O55" s="268">
        <f>+[3]R!O86</f>
        <v>870.89962000000003</v>
      </c>
      <c r="P55" s="306">
        <f t="shared" si="7"/>
        <v>9525.5065399999985</v>
      </c>
      <c r="Q55" s="327"/>
    </row>
    <row r="56" spans="3:19">
      <c r="C56" s="307" t="s">
        <v>59</v>
      </c>
      <c r="D56" s="268">
        <f>+[3]R!D87</f>
        <v>1250.1948200000002</v>
      </c>
      <c r="E56" s="268">
        <f>+[3]R!E87</f>
        <v>1296.8951900000002</v>
      </c>
      <c r="F56" s="268">
        <f>+[3]R!F87</f>
        <v>1538.02656</v>
      </c>
      <c r="G56" s="268">
        <f>+[3]R!G87</f>
        <v>1415.5393599999998</v>
      </c>
      <c r="H56" s="268">
        <f>+[3]R!H87</f>
        <v>1485.8012699999999</v>
      </c>
      <c r="I56" s="268">
        <f>+[3]R!I87</f>
        <v>1414.58845</v>
      </c>
      <c r="J56" s="268">
        <f>+[3]R!J87</f>
        <v>1065.0295599999999</v>
      </c>
      <c r="K56" s="268">
        <f>+[3]R!K87</f>
        <v>1126.5349699999999</v>
      </c>
      <c r="L56" s="268">
        <f>+[3]R!L87</f>
        <v>1136.2583100000002</v>
      </c>
      <c r="M56" s="268">
        <f>+[3]R!M87</f>
        <v>1171.77207</v>
      </c>
      <c r="N56" s="268">
        <f>+[3]R!N87</f>
        <v>1257.7506600000002</v>
      </c>
      <c r="O56" s="268">
        <f>+[3]R!O87</f>
        <v>1136.33806</v>
      </c>
      <c r="P56" s="306">
        <f t="shared" si="7"/>
        <v>15294.72928</v>
      </c>
      <c r="Q56" s="327"/>
    </row>
    <row r="57" spans="3:19">
      <c r="C57" s="307" t="s">
        <v>94</v>
      </c>
      <c r="D57" s="268">
        <f>+[3]R!D88</f>
        <v>326.54276999999996</v>
      </c>
      <c r="E57" s="268">
        <f>+[3]R!E88</f>
        <v>305.84465</v>
      </c>
      <c r="F57" s="268">
        <f>+[3]R!F88</f>
        <v>333.80289999999997</v>
      </c>
      <c r="G57" s="268">
        <f>+[3]R!G88</f>
        <v>352.56890000000004</v>
      </c>
      <c r="H57" s="268">
        <f>+[3]R!H88</f>
        <v>405.13867999999997</v>
      </c>
      <c r="I57" s="268">
        <f>+[3]R!I88</f>
        <v>415.89987000000002</v>
      </c>
      <c r="J57" s="268">
        <f>+[3]R!J88</f>
        <v>387.98727000000002</v>
      </c>
      <c r="K57" s="268">
        <f>+[3]R!K88</f>
        <v>370.30984000000001</v>
      </c>
      <c r="L57" s="268">
        <f>+[3]R!L88</f>
        <v>362.33556999999996</v>
      </c>
      <c r="M57" s="268">
        <f>+[3]R!M88</f>
        <v>331.83856999999995</v>
      </c>
      <c r="N57" s="268">
        <f>+[3]R!N88</f>
        <v>328.59697</v>
      </c>
      <c r="O57" s="268">
        <f>+[3]R!O88</f>
        <v>338.16287</v>
      </c>
      <c r="P57" s="306">
        <f t="shared" si="7"/>
        <v>4259.0288599999994</v>
      </c>
      <c r="Q57" s="277"/>
    </row>
    <row r="58" spans="3:19">
      <c r="C58" s="307" t="s">
        <v>96</v>
      </c>
      <c r="D58" s="268">
        <f>+[3]R!D89</f>
        <v>155.83989</v>
      </c>
      <c r="E58" s="268">
        <f>+[3]R!E89</f>
        <v>146.51076999999998</v>
      </c>
      <c r="F58" s="268">
        <f>+[3]R!F89</f>
        <v>158.61616000000001</v>
      </c>
      <c r="G58" s="268">
        <f>+[3]R!G89</f>
        <v>161.33157</v>
      </c>
      <c r="H58" s="268">
        <f>+[3]R!H89</f>
        <v>172.98801</v>
      </c>
      <c r="I58" s="268">
        <f>+[3]R!I89</f>
        <v>179.14108999999999</v>
      </c>
      <c r="J58" s="268">
        <f>+[3]R!J89</f>
        <v>161.71794</v>
      </c>
      <c r="K58" s="268">
        <f>+[3]R!K89</f>
        <v>188.44078999999999</v>
      </c>
      <c r="L58" s="268">
        <f>+[3]R!L89</f>
        <v>186.31517000000002</v>
      </c>
      <c r="M58" s="268">
        <f>+[3]R!M89</f>
        <v>191.99095</v>
      </c>
      <c r="N58" s="268">
        <f>+[3]R!N89</f>
        <v>183.03450999999998</v>
      </c>
      <c r="O58" s="268">
        <f>+[3]R!O89</f>
        <v>157.97319999999999</v>
      </c>
      <c r="P58" s="306">
        <f t="shared" si="7"/>
        <v>2043.9000500000002</v>
      </c>
      <c r="Q58" s="277"/>
    </row>
    <row r="59" spans="3:19">
      <c r="C59" s="307" t="s">
        <v>97</v>
      </c>
      <c r="D59" s="268">
        <f>+[3]R!D90</f>
        <v>455.35035999999997</v>
      </c>
      <c r="E59" s="268">
        <f>+[3]R!E90</f>
        <v>310.35821000000004</v>
      </c>
      <c r="F59" s="268">
        <f>+[3]R!F90</f>
        <v>327.22132999999997</v>
      </c>
      <c r="G59" s="268">
        <f>+[3]R!G90</f>
        <v>276.15980999999999</v>
      </c>
      <c r="H59" s="268">
        <f>+[3]R!H90</f>
        <v>270.01695999999998</v>
      </c>
      <c r="I59" s="268">
        <f>+[3]R!I90</f>
        <v>174.65110000000001</v>
      </c>
      <c r="J59" s="268">
        <f>+[3]R!J90</f>
        <v>246.17968999999999</v>
      </c>
      <c r="K59" s="268">
        <f>+[3]R!K90</f>
        <v>319.06682999999998</v>
      </c>
      <c r="L59" s="268">
        <f>+[3]R!L90</f>
        <v>299.87313</v>
      </c>
      <c r="M59" s="268">
        <f>+[3]R!M90</f>
        <v>209.92122000000001</v>
      </c>
      <c r="N59" s="268">
        <f>+[3]R!N90</f>
        <v>178.09720000000002</v>
      </c>
      <c r="O59" s="268">
        <f>+[3]R!O90</f>
        <v>360.18045000000001</v>
      </c>
      <c r="P59" s="306">
        <f t="shared" si="7"/>
        <v>3427.07629</v>
      </c>
      <c r="Q59" s="277"/>
    </row>
    <row r="60" spans="3:19">
      <c r="C60" s="307" t="s">
        <v>100</v>
      </c>
      <c r="D60" s="268">
        <f>+[3]R!D91</f>
        <v>949.22348999999997</v>
      </c>
      <c r="E60" s="268">
        <f>+[3]R!E91</f>
        <v>875.22761000000003</v>
      </c>
      <c r="F60" s="268">
        <f>+[3]R!F91</f>
        <v>993.53640000000019</v>
      </c>
      <c r="G60" s="268">
        <f>+[3]R!G91</f>
        <v>968.32399999999996</v>
      </c>
      <c r="H60" s="268">
        <f>+[3]R!H91</f>
        <v>1011.874</v>
      </c>
      <c r="I60" s="268">
        <f>+[3]R!I91</f>
        <v>967.86540000000002</v>
      </c>
      <c r="J60" s="268">
        <f>+[3]R!J91</f>
        <v>991.23258999999996</v>
      </c>
      <c r="K60" s="268">
        <f>+[3]R!K91</f>
        <v>938.54039000000012</v>
      </c>
      <c r="L60" s="268">
        <f>+[3]R!L91</f>
        <v>939.2178100000001</v>
      </c>
      <c r="M60" s="268">
        <f>+[3]R!M91</f>
        <v>907.04446999999993</v>
      </c>
      <c r="N60" s="268">
        <f>+[3]R!N91</f>
        <v>590.35289</v>
      </c>
      <c r="O60" s="268">
        <f>+[3]R!O91</f>
        <v>716.46336999999994</v>
      </c>
      <c r="P60" s="306">
        <f t="shared" si="7"/>
        <v>10848.90242</v>
      </c>
      <c r="Q60" s="305"/>
    </row>
    <row r="61" spans="3:19">
      <c r="C61" s="307" t="s">
        <v>101</v>
      </c>
      <c r="D61" s="268">
        <f>+[3]R!D92</f>
        <v>8.0373900000000003</v>
      </c>
      <c r="E61" s="268">
        <f>+[3]R!E92</f>
        <v>5.658030000000001</v>
      </c>
      <c r="F61" s="268">
        <f>+[3]R!F92</f>
        <v>6.6264800000000008</v>
      </c>
      <c r="G61" s="268">
        <f>+[3]R!G92</f>
        <v>8.7020499999999998</v>
      </c>
      <c r="H61" s="268">
        <f>+[3]R!H92</f>
        <v>6.6763199999999996</v>
      </c>
      <c r="I61" s="268">
        <f>+[3]R!I92</f>
        <v>6.2440899999999999</v>
      </c>
      <c r="J61" s="268">
        <f>+[3]R!J92</f>
        <v>14.25972</v>
      </c>
      <c r="K61" s="268">
        <f>+[3]R!K92</f>
        <v>17.118980000000001</v>
      </c>
      <c r="L61" s="268">
        <f>+[3]R!L92</f>
        <v>104.7196</v>
      </c>
      <c r="M61" s="268">
        <f>+[3]R!M92</f>
        <v>102.53888999999999</v>
      </c>
      <c r="N61" s="268">
        <f>+[3]R!N92</f>
        <v>156.20782</v>
      </c>
      <c r="O61" s="268">
        <f>+[3]R!O92</f>
        <v>211.30477000000002</v>
      </c>
      <c r="P61" s="306">
        <f t="shared" si="7"/>
        <v>648.09413999999992</v>
      </c>
      <c r="Q61" s="277"/>
    </row>
    <row r="62" spans="3:19">
      <c r="C62" s="307" t="s">
        <v>107</v>
      </c>
      <c r="D62" s="268">
        <f>+[3]R!D93</f>
        <v>109.0149</v>
      </c>
      <c r="E62" s="268">
        <f>+[3]R!E93</f>
        <v>100.50804000000001</v>
      </c>
      <c r="F62" s="268">
        <f>+[3]R!F93</f>
        <v>111.0795</v>
      </c>
      <c r="G62" s="268">
        <f>+[3]R!G93</f>
        <v>100.94198999999999</v>
      </c>
      <c r="H62" s="268">
        <f>+[3]R!H93</f>
        <v>101.42869999999999</v>
      </c>
      <c r="I62" s="268">
        <f>+[3]R!I93</f>
        <v>96.777100000000004</v>
      </c>
      <c r="J62" s="268">
        <f>+[3]R!J93</f>
        <v>100.4683</v>
      </c>
      <c r="K62" s="268">
        <f>+[3]R!K93</f>
        <v>103.72418</v>
      </c>
      <c r="L62" s="268">
        <f>+[3]R!L93</f>
        <v>101.05806999999999</v>
      </c>
      <c r="M62" s="268">
        <f>+[3]R!M93</f>
        <v>108.79876000000002</v>
      </c>
      <c r="N62" s="268">
        <f>+[3]R!N93</f>
        <v>110.56180999999999</v>
      </c>
      <c r="O62" s="268">
        <f>+[3]R!O93</f>
        <v>121.24518</v>
      </c>
      <c r="P62" s="306">
        <f t="shared" si="7"/>
        <v>1265.60653</v>
      </c>
      <c r="Q62" s="277"/>
    </row>
    <row r="63" spans="3:19">
      <c r="C63" s="307" t="s">
        <v>108</v>
      </c>
      <c r="D63" s="268">
        <f>+[3]R!D94</f>
        <v>24.740179999999999</v>
      </c>
      <c r="E63" s="268">
        <f>+[3]R!E94</f>
        <v>15.159700000000001</v>
      </c>
      <c r="F63" s="268">
        <f>+[3]R!F94</f>
        <v>21.625070000000001</v>
      </c>
      <c r="G63" s="268">
        <f>+[3]R!G94</f>
        <v>25.693470000000001</v>
      </c>
      <c r="H63" s="268">
        <f>+[3]R!H94</f>
        <v>25.674739999999996</v>
      </c>
      <c r="I63" s="268">
        <f>+[3]R!I94</f>
        <v>27.86429</v>
      </c>
      <c r="J63" s="268">
        <f>+[3]R!J94</f>
        <v>28.283560000000001</v>
      </c>
      <c r="K63" s="268">
        <f>+[3]R!K94</f>
        <v>27.20186</v>
      </c>
      <c r="L63" s="268">
        <f>+[3]R!L94</f>
        <v>27.04336</v>
      </c>
      <c r="M63" s="268">
        <f>+[3]R!M94</f>
        <v>26.338570000000001</v>
      </c>
      <c r="N63" s="268">
        <f>+[3]R!N94</f>
        <v>25.418759999999999</v>
      </c>
      <c r="O63" s="268">
        <f>+[3]R!O94</f>
        <v>26.67586</v>
      </c>
      <c r="P63" s="306">
        <f t="shared" si="7"/>
        <v>301.71942000000001</v>
      </c>
      <c r="Q63" s="277"/>
    </row>
    <row r="64" spans="3:19">
      <c r="C64" s="307" t="s">
        <v>111</v>
      </c>
      <c r="D64" s="268">
        <f>+[3]R!D95</f>
        <v>31.678699999999999</v>
      </c>
      <c r="E64" s="268">
        <f>+[3]R!E95</f>
        <v>32.101410000000001</v>
      </c>
      <c r="F64" s="268">
        <f>+[3]R!F95</f>
        <v>63.28387</v>
      </c>
      <c r="G64" s="268">
        <f>+[3]R!G95</f>
        <v>68.485319999999987</v>
      </c>
      <c r="H64" s="268">
        <f>+[3]R!H95</f>
        <v>73.810839999999999</v>
      </c>
      <c r="I64" s="268">
        <f>+[3]R!I95</f>
        <v>71.112679999999997</v>
      </c>
      <c r="J64" s="268">
        <f>+[3]R!J95</f>
        <v>60.603749999999998</v>
      </c>
      <c r="K64" s="268">
        <f>+[3]R!K95</f>
        <v>60.645859999999999</v>
      </c>
      <c r="L64" s="268">
        <f>+[3]R!L95</f>
        <v>78.851979999999998</v>
      </c>
      <c r="M64" s="268">
        <f>+[3]R!M95</f>
        <v>76.080169999999995</v>
      </c>
      <c r="N64" s="268">
        <f>+[3]R!N95</f>
        <v>77.762529999999998</v>
      </c>
      <c r="O64" s="268">
        <f>+[3]R!O95</f>
        <v>53.17313</v>
      </c>
      <c r="P64" s="306">
        <f t="shared" si="7"/>
        <v>747.59023999999999</v>
      </c>
      <c r="Q64" s="277"/>
    </row>
    <row r="65" spans="1:248" ht="12" thickBot="1">
      <c r="C65" s="308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309">
        <f t="shared" si="7"/>
        <v>0</v>
      </c>
      <c r="Q65" s="277"/>
    </row>
    <row r="66" spans="1:248" ht="12" thickTop="1">
      <c r="D66" s="293">
        <f t="shared" ref="D66:O66" si="18">+D34/D28</f>
        <v>4.0540820431321321E-3</v>
      </c>
      <c r="E66" s="293">
        <f t="shared" si="18"/>
        <v>4.3741264583236888E-3</v>
      </c>
      <c r="F66" s="293">
        <f t="shared" si="18"/>
        <v>3.5797956453048102E-3</v>
      </c>
      <c r="G66" s="293">
        <f t="shared" si="18"/>
        <v>4.0900919560136794E-3</v>
      </c>
      <c r="H66" s="293">
        <f t="shared" si="18"/>
        <v>4.3415183885591718E-3</v>
      </c>
      <c r="I66" s="293">
        <f t="shared" si="18"/>
        <v>4.5715509830771715E-3</v>
      </c>
      <c r="J66" s="293">
        <f t="shared" si="18"/>
        <v>4.7338616267283999E-3</v>
      </c>
      <c r="K66" s="293">
        <f t="shared" si="18"/>
        <v>4.2233686517076019E-3</v>
      </c>
      <c r="L66" s="293">
        <f t="shared" si="18"/>
        <v>3.8288572973948607E-3</v>
      </c>
      <c r="M66" s="293">
        <f t="shared" si="18"/>
        <v>3.6755228378360732E-3</v>
      </c>
      <c r="N66" s="293">
        <f t="shared" si="18"/>
        <v>3.7847640662096141E-3</v>
      </c>
      <c r="O66" s="293">
        <f t="shared" si="18"/>
        <v>3.9360152687775126E-3</v>
      </c>
    </row>
    <row r="67" spans="1:248">
      <c r="D67" s="294"/>
      <c r="E67" s="295"/>
      <c r="F67" s="294"/>
      <c r="G67" s="294"/>
      <c r="H67" s="294"/>
      <c r="L67" s="246"/>
      <c r="M67" s="246"/>
    </row>
    <row r="68" spans="1:248">
      <c r="C68" s="221" t="s">
        <v>92</v>
      </c>
      <c r="D68" s="294"/>
      <c r="E68" s="295"/>
      <c r="F68" s="294"/>
      <c r="G68" s="294"/>
      <c r="H68" s="294"/>
      <c r="L68" s="246"/>
      <c r="M68" s="246"/>
    </row>
    <row r="69" spans="1:248" s="231" customFormat="1">
      <c r="A69" s="221"/>
      <c r="B69" s="221"/>
      <c r="C69" s="221"/>
      <c r="D69" s="106">
        <f>+D44+D54</f>
        <v>72820.257639999996</v>
      </c>
      <c r="E69" s="106">
        <f t="shared" ref="E69:O69" si="19">+E44+E54</f>
        <v>68233.735260000001</v>
      </c>
      <c r="F69" s="106">
        <f t="shared" si="19"/>
        <v>75084.151780000015</v>
      </c>
      <c r="G69" s="106">
        <f t="shared" si="19"/>
        <v>69143.00619</v>
      </c>
      <c r="H69" s="106">
        <f t="shared" si="19"/>
        <v>68527.837330000009</v>
      </c>
      <c r="I69" s="106">
        <f t="shared" si="19"/>
        <v>65142.231019999999</v>
      </c>
      <c r="J69" s="106">
        <f t="shared" si="19"/>
        <v>65405.761770000005</v>
      </c>
      <c r="K69" s="106">
        <f t="shared" si="19"/>
        <v>67218.990690000006</v>
      </c>
      <c r="L69" s="106">
        <f t="shared" si="19"/>
        <v>67461.474960000007</v>
      </c>
      <c r="M69" s="106">
        <f t="shared" si="19"/>
        <v>69562.038489999992</v>
      </c>
      <c r="N69" s="106">
        <f t="shared" si="19"/>
        <v>70658.362660000013</v>
      </c>
      <c r="O69" s="106">
        <f t="shared" si="19"/>
        <v>74592.576149999994</v>
      </c>
    </row>
    <row r="70" spans="1:248"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  <c r="BW70" s="231"/>
      <c r="BX70" s="231"/>
      <c r="BY70" s="231"/>
      <c r="BZ70" s="231"/>
      <c r="CA70" s="231"/>
      <c r="CB70" s="231"/>
      <c r="CC70" s="231"/>
      <c r="CD70" s="231"/>
      <c r="CE70" s="231"/>
      <c r="CF70" s="231"/>
      <c r="CG70" s="231"/>
      <c r="CH70" s="231"/>
      <c r="CI70" s="231"/>
      <c r="CJ70" s="231"/>
      <c r="CK70" s="231"/>
      <c r="CL70" s="231"/>
      <c r="CM70" s="231"/>
      <c r="CN70" s="231"/>
      <c r="CO70" s="231"/>
      <c r="CP70" s="231"/>
      <c r="CQ70" s="231"/>
      <c r="CR70" s="231"/>
      <c r="CS70" s="231"/>
      <c r="CT70" s="231"/>
      <c r="CU70" s="231"/>
      <c r="CV70" s="231"/>
      <c r="CW70" s="231"/>
      <c r="CX70" s="231"/>
      <c r="CY70" s="231"/>
      <c r="CZ70" s="231"/>
      <c r="DA70" s="231"/>
      <c r="DB70" s="231"/>
      <c r="DC70" s="231"/>
      <c r="DD70" s="231"/>
      <c r="DE70" s="231"/>
      <c r="DF70" s="231"/>
      <c r="DG70" s="231"/>
      <c r="DH70" s="231"/>
      <c r="DI70" s="231"/>
      <c r="DJ70" s="231"/>
      <c r="DK70" s="231"/>
      <c r="DL70" s="231"/>
      <c r="DM70" s="231"/>
      <c r="DN70" s="231"/>
      <c r="DO70" s="231"/>
      <c r="DP70" s="231"/>
      <c r="DQ70" s="231"/>
      <c r="DR70" s="231"/>
      <c r="DS70" s="231"/>
      <c r="DT70" s="231"/>
      <c r="DU70" s="231"/>
      <c r="DV70" s="231"/>
      <c r="DW70" s="231"/>
      <c r="DX70" s="231"/>
      <c r="DY70" s="231"/>
      <c r="DZ70" s="231"/>
      <c r="EA70" s="231"/>
      <c r="EB70" s="231"/>
      <c r="EC70" s="231"/>
      <c r="ED70" s="231"/>
      <c r="EE70" s="231"/>
      <c r="EF70" s="231"/>
      <c r="EG70" s="231"/>
      <c r="EH70" s="231"/>
      <c r="EI70" s="231"/>
      <c r="EJ70" s="231"/>
      <c r="EK70" s="231"/>
      <c r="EL70" s="231"/>
      <c r="EM70" s="231"/>
      <c r="EN70" s="231"/>
      <c r="EO70" s="231"/>
      <c r="EP70" s="231"/>
      <c r="EQ70" s="231"/>
      <c r="ER70" s="231"/>
      <c r="ES70" s="231"/>
      <c r="ET70" s="231"/>
      <c r="EU70" s="231"/>
      <c r="EV70" s="231"/>
      <c r="EW70" s="231"/>
      <c r="EX70" s="231"/>
      <c r="EY70" s="231"/>
      <c r="EZ70" s="231"/>
      <c r="FA70" s="231"/>
      <c r="FB70" s="231"/>
      <c r="FC70" s="231"/>
      <c r="FD70" s="231"/>
      <c r="FE70" s="231"/>
      <c r="FF70" s="231"/>
      <c r="FG70" s="231"/>
      <c r="FH70" s="231"/>
      <c r="FI70" s="231"/>
      <c r="FJ70" s="231"/>
      <c r="FK70" s="231"/>
      <c r="FL70" s="231"/>
      <c r="FM70" s="231"/>
      <c r="FN70" s="231"/>
      <c r="FO70" s="231"/>
      <c r="FP70" s="231"/>
      <c r="FQ70" s="231"/>
      <c r="FR70" s="231"/>
      <c r="FS70" s="231"/>
      <c r="FT70" s="231"/>
      <c r="FU70" s="231"/>
      <c r="FV70" s="231"/>
      <c r="FW70" s="231"/>
      <c r="FX70" s="231"/>
      <c r="FY70" s="231"/>
      <c r="FZ70" s="231"/>
      <c r="GA70" s="231"/>
      <c r="GB70" s="231"/>
      <c r="GC70" s="231"/>
      <c r="GD70" s="231"/>
      <c r="GE70" s="231"/>
      <c r="GF70" s="231"/>
      <c r="GG70" s="231"/>
      <c r="GH70" s="231"/>
      <c r="GI70" s="231"/>
      <c r="GJ70" s="231"/>
      <c r="GK70" s="231"/>
      <c r="GL70" s="231"/>
      <c r="GM70" s="231"/>
      <c r="GN70" s="231"/>
      <c r="GO70" s="231"/>
      <c r="GP70" s="231"/>
      <c r="GQ70" s="231"/>
      <c r="GR70" s="231"/>
      <c r="GS70" s="231"/>
      <c r="GT70" s="231"/>
      <c r="GU70" s="231"/>
      <c r="GV70" s="231"/>
      <c r="GW70" s="231"/>
      <c r="GX70" s="231"/>
      <c r="GY70" s="231"/>
      <c r="GZ70" s="231"/>
      <c r="HA70" s="231"/>
      <c r="HB70" s="231"/>
      <c r="HC70" s="231"/>
      <c r="HD70" s="231"/>
      <c r="HE70" s="231"/>
      <c r="HF70" s="231"/>
      <c r="HG70" s="231"/>
      <c r="HH70" s="231"/>
      <c r="HI70" s="231"/>
      <c r="HJ70" s="231"/>
      <c r="HK70" s="231"/>
      <c r="HL70" s="231"/>
      <c r="HM70" s="231"/>
      <c r="HN70" s="231"/>
      <c r="HO70" s="231"/>
      <c r="HP70" s="231"/>
      <c r="HQ70" s="231"/>
      <c r="HR70" s="231"/>
      <c r="HS70" s="231"/>
      <c r="HT70" s="231"/>
      <c r="HU70" s="231"/>
      <c r="HV70" s="231"/>
      <c r="HW70" s="231"/>
      <c r="HX70" s="231"/>
      <c r="HY70" s="231"/>
      <c r="HZ70" s="231"/>
      <c r="IA70" s="231"/>
      <c r="IB70" s="231"/>
      <c r="IC70" s="231"/>
      <c r="ID70" s="231"/>
      <c r="IE70" s="231"/>
      <c r="IF70" s="231"/>
      <c r="IG70" s="231"/>
      <c r="IH70" s="231"/>
      <c r="II70" s="231"/>
      <c r="IJ70" s="231"/>
      <c r="IK70" s="231"/>
      <c r="IL70" s="231"/>
      <c r="IM70" s="231"/>
      <c r="IN70" s="231"/>
    </row>
    <row r="71" spans="1:248">
      <c r="D71" s="297">
        <f t="shared" ref="D71:O71" si="20">+D39-D40</f>
        <v>0</v>
      </c>
      <c r="E71" s="297">
        <f t="shared" si="20"/>
        <v>0</v>
      </c>
      <c r="F71" s="297">
        <f t="shared" si="20"/>
        <v>0</v>
      </c>
      <c r="G71" s="297">
        <f t="shared" si="20"/>
        <v>0</v>
      </c>
      <c r="H71" s="297">
        <f t="shared" si="20"/>
        <v>0</v>
      </c>
      <c r="I71" s="297">
        <f t="shared" si="20"/>
        <v>0</v>
      </c>
      <c r="J71" s="297">
        <f t="shared" si="20"/>
        <v>0</v>
      </c>
      <c r="K71" s="297">
        <f t="shared" si="20"/>
        <v>0</v>
      </c>
      <c r="L71" s="297">
        <f t="shared" si="20"/>
        <v>0</v>
      </c>
      <c r="M71" s="297">
        <f t="shared" si="20"/>
        <v>0</v>
      </c>
      <c r="N71" s="297">
        <f t="shared" si="20"/>
        <v>-349.07765999999538</v>
      </c>
      <c r="O71" s="297">
        <f t="shared" si="20"/>
        <v>0</v>
      </c>
      <c r="P71" s="297"/>
    </row>
    <row r="72" spans="1:248">
      <c r="B72" s="278"/>
      <c r="C72" s="249"/>
      <c r="D72" s="297">
        <f t="shared" ref="D72:O72" si="21">+D71*0.4</f>
        <v>0</v>
      </c>
      <c r="E72" s="297">
        <f t="shared" si="21"/>
        <v>0</v>
      </c>
      <c r="F72" s="297">
        <f t="shared" si="21"/>
        <v>0</v>
      </c>
      <c r="G72" s="297">
        <f t="shared" si="21"/>
        <v>0</v>
      </c>
      <c r="H72" s="297">
        <f t="shared" si="21"/>
        <v>0</v>
      </c>
      <c r="I72" s="297">
        <f>+I71*0.4</f>
        <v>0</v>
      </c>
      <c r="J72" s="297">
        <f t="shared" si="21"/>
        <v>0</v>
      </c>
      <c r="K72" s="297">
        <f t="shared" si="21"/>
        <v>0</v>
      </c>
      <c r="L72" s="297">
        <f t="shared" si="21"/>
        <v>0</v>
      </c>
      <c r="M72" s="297">
        <f t="shared" si="21"/>
        <v>0</v>
      </c>
      <c r="N72" s="297">
        <f t="shared" si="21"/>
        <v>-139.63106399999816</v>
      </c>
      <c r="O72" s="297">
        <f t="shared" si="21"/>
        <v>0</v>
      </c>
      <c r="P72" s="297"/>
    </row>
    <row r="73" spans="1:248">
      <c r="B73" s="278"/>
      <c r="C73" s="249"/>
      <c r="D73" s="297">
        <f t="shared" ref="D73:O73" si="22">+D71*0.6</f>
        <v>0</v>
      </c>
      <c r="E73" s="297">
        <f t="shared" si="22"/>
        <v>0</v>
      </c>
      <c r="F73" s="297">
        <f t="shared" si="22"/>
        <v>0</v>
      </c>
      <c r="G73" s="297">
        <f t="shared" si="22"/>
        <v>0</v>
      </c>
      <c r="H73" s="297">
        <f t="shared" si="22"/>
        <v>0</v>
      </c>
      <c r="I73" s="297">
        <f>+I71*0.6</f>
        <v>0</v>
      </c>
      <c r="J73" s="297">
        <f t="shared" si="22"/>
        <v>0</v>
      </c>
      <c r="K73" s="297">
        <f t="shared" si="22"/>
        <v>0</v>
      </c>
      <c r="L73" s="297">
        <f t="shared" si="22"/>
        <v>0</v>
      </c>
      <c r="M73" s="297">
        <f t="shared" si="22"/>
        <v>0</v>
      </c>
      <c r="N73" s="297">
        <f t="shared" si="22"/>
        <v>-209.44659599999721</v>
      </c>
      <c r="O73" s="297">
        <f t="shared" si="22"/>
        <v>0</v>
      </c>
      <c r="P73" s="297"/>
    </row>
    <row r="74" spans="1:248"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7"/>
      <c r="P74" s="297"/>
    </row>
    <row r="75" spans="1:248">
      <c r="D75" s="300">
        <f t="shared" ref="D75:O75" si="23">D36/D27</f>
        <v>1.5765732433742331E-2</v>
      </c>
      <c r="E75" s="300">
        <f t="shared" si="23"/>
        <v>1.6669217627284762E-2</v>
      </c>
      <c r="F75" s="300">
        <f t="shared" si="23"/>
        <v>1.5665969090170609E-2</v>
      </c>
      <c r="G75" s="300">
        <f t="shared" si="23"/>
        <v>1.5906771812597132E-2</v>
      </c>
      <c r="H75" s="300">
        <f t="shared" si="23"/>
        <v>1.5933227968344604E-2</v>
      </c>
      <c r="I75" s="300">
        <f t="shared" si="23"/>
        <v>1.632111613785852E-2</v>
      </c>
      <c r="J75" s="300">
        <f t="shared" si="23"/>
        <v>1.6201441982516898E-2</v>
      </c>
      <c r="K75" s="300">
        <f t="shared" si="23"/>
        <v>1.5316916971583276E-2</v>
      </c>
      <c r="L75" s="300">
        <f t="shared" si="23"/>
        <v>1.7853188711304292E-2</v>
      </c>
      <c r="M75" s="300">
        <f t="shared" si="23"/>
        <v>1.6162947542752812E-2</v>
      </c>
      <c r="N75" s="300">
        <f t="shared" si="23"/>
        <v>2.0125098003271009E-2</v>
      </c>
      <c r="O75" s="300">
        <f t="shared" si="23"/>
        <v>1.7023930029940876E-2</v>
      </c>
    </row>
    <row r="76" spans="1:248">
      <c r="D76" s="246"/>
      <c r="E76" s="246"/>
      <c r="F76" s="246"/>
      <c r="G76" s="246"/>
      <c r="H76" s="246"/>
      <c r="I76" s="246"/>
      <c r="J76" s="246"/>
      <c r="K76" s="301"/>
      <c r="L76" s="246"/>
      <c r="M76" s="246"/>
      <c r="N76" s="246"/>
      <c r="O76" s="246"/>
    </row>
    <row r="77" spans="1:248">
      <c r="D77" s="237"/>
      <c r="E77" s="237"/>
      <c r="F77" s="246"/>
      <c r="G77" s="237"/>
      <c r="H77" s="237"/>
      <c r="I77" s="237"/>
      <c r="J77" s="237"/>
      <c r="K77" s="237"/>
      <c r="L77" s="237"/>
      <c r="M77" s="237"/>
      <c r="N77" s="237"/>
      <c r="O77" s="237"/>
    </row>
    <row r="78" spans="1:248">
      <c r="D78" s="278">
        <f>+D44</f>
        <v>68609.768559999997</v>
      </c>
      <c r="E78" s="278">
        <f t="shared" ref="E78:P78" si="24">+E44</f>
        <v>64313.046679999999</v>
      </c>
      <c r="F78" s="278">
        <f t="shared" si="24"/>
        <v>70768.10070000001</v>
      </c>
      <c r="G78" s="278">
        <f t="shared" si="24"/>
        <v>64984.008390000003</v>
      </c>
      <c r="H78" s="278">
        <f t="shared" si="24"/>
        <v>64246.976790000015</v>
      </c>
      <c r="I78" s="278">
        <f t="shared" si="24"/>
        <v>61010.64991</v>
      </c>
      <c r="J78" s="278">
        <f t="shared" si="24"/>
        <v>61536.744140000003</v>
      </c>
      <c r="K78" s="278">
        <f t="shared" si="24"/>
        <v>63233.181960000002</v>
      </c>
      <c r="L78" s="278">
        <f t="shared" si="24"/>
        <v>63480.48090000001</v>
      </c>
      <c r="M78" s="278">
        <f t="shared" si="24"/>
        <v>65681.923039999994</v>
      </c>
      <c r="N78" s="278">
        <f t="shared" si="24"/>
        <v>67023.229460000017</v>
      </c>
      <c r="O78" s="278">
        <f t="shared" si="24"/>
        <v>70600.159639999998</v>
      </c>
      <c r="P78" s="278">
        <f t="shared" si="24"/>
        <v>785488.27017000003</v>
      </c>
    </row>
    <row r="79" spans="1:248">
      <c r="D79" s="277">
        <v>68609.768559999997</v>
      </c>
      <c r="E79" s="277">
        <v>64313.046679999999</v>
      </c>
      <c r="F79" s="277">
        <v>70768.10070000001</v>
      </c>
      <c r="G79" s="277">
        <v>64984.008389999995</v>
      </c>
      <c r="H79" s="277">
        <v>64246.976790000015</v>
      </c>
      <c r="I79" s="277">
        <v>61010.64991</v>
      </c>
      <c r="J79" s="277">
        <v>61536.744140000003</v>
      </c>
      <c r="K79" s="277">
        <v>63231.393410000004</v>
      </c>
      <c r="L79" s="277">
        <v>63480.48090000001</v>
      </c>
      <c r="M79" s="277">
        <v>65681.923039999994</v>
      </c>
      <c r="N79" s="277">
        <v>67023.229460000017</v>
      </c>
      <c r="O79" s="221">
        <v>70600.159639999998</v>
      </c>
      <c r="P79" s="221">
        <v>656086.26572999998</v>
      </c>
    </row>
    <row r="80" spans="1:248">
      <c r="D80" s="325">
        <f>+D78-D79</f>
        <v>0</v>
      </c>
      <c r="E80" s="325">
        <f t="shared" ref="E80:P80" si="25">+E78-E79</f>
        <v>0</v>
      </c>
      <c r="F80" s="325">
        <f t="shared" si="25"/>
        <v>0</v>
      </c>
      <c r="G80" s="325">
        <f t="shared" si="25"/>
        <v>0</v>
      </c>
      <c r="H80" s="325">
        <f t="shared" si="25"/>
        <v>0</v>
      </c>
      <c r="I80" s="325">
        <f t="shared" si="25"/>
        <v>0</v>
      </c>
      <c r="J80" s="325">
        <f t="shared" si="25"/>
        <v>0</v>
      </c>
      <c r="K80" s="325">
        <f t="shared" si="25"/>
        <v>1.7885499999974854</v>
      </c>
      <c r="L80" s="325">
        <f t="shared" si="25"/>
        <v>0</v>
      </c>
      <c r="M80" s="325">
        <f t="shared" si="25"/>
        <v>0</v>
      </c>
      <c r="N80" s="325">
        <f t="shared" si="25"/>
        <v>0</v>
      </c>
      <c r="O80" s="325">
        <f t="shared" si="25"/>
        <v>0</v>
      </c>
      <c r="P80" s="325">
        <f t="shared" si="25"/>
        <v>129402.00444000005</v>
      </c>
    </row>
    <row r="81" spans="4:15"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</row>
    <row r="83" spans="4:15">
      <c r="I83" s="277"/>
      <c r="J83" s="277"/>
      <c r="K83" s="277"/>
      <c r="L83" s="277"/>
      <c r="M83" s="277"/>
      <c r="N83" s="277"/>
      <c r="O83" s="277"/>
    </row>
  </sheetData>
  <printOptions horizontalCentered="1"/>
  <pageMargins left="0.39370078740157483" right="0.39370078740157483" top="1.3779527559055118" bottom="1" header="0" footer="0"/>
  <pageSetup paperSize="9" scale="77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DEAC-D807-4F65-B7F5-5B71A40754D3}">
  <sheetPr codeName="Sheet17">
    <pageSetUpPr fitToPage="1"/>
  </sheetPr>
  <dimension ref="A1:IN83"/>
  <sheetViews>
    <sheetView view="pageBreakPreview" topLeftCell="D31" zoomScale="80" zoomScaleNormal="80" zoomScaleSheetLayoutView="80" workbookViewId="0">
      <selection activeCell="P54" sqref="P54"/>
    </sheetView>
  </sheetViews>
  <sheetFormatPr baseColWidth="10" defaultColWidth="9" defaultRowHeight="11.25"/>
  <cols>
    <col min="1" max="1" width="3" style="221" customWidth="1"/>
    <col min="2" max="2" width="10.5703125" style="221" customWidth="1"/>
    <col min="3" max="3" width="26.85546875" style="221" bestFit="1" customWidth="1"/>
    <col min="4" max="4" width="13.28515625" style="221" customWidth="1"/>
    <col min="5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4.85546875" style="221" customWidth="1"/>
    <col min="17" max="17" width="10.42578125" style="221" bestFit="1" customWidth="1"/>
    <col min="18" max="19" width="9.85546875" style="221" bestFit="1" customWidth="1"/>
    <col min="20" max="16384" width="9" style="221"/>
  </cols>
  <sheetData>
    <row r="1" spans="3:16" hidden="1"/>
    <row r="2" spans="3:16" hidden="1"/>
    <row r="3" spans="3:16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113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235">
        <f>+'2022'!D8</f>
        <v>1219.8471556892396</v>
      </c>
      <c r="E8" s="235">
        <f>+'2022'!E8</f>
        <v>1089.8719156877994</v>
      </c>
      <c r="F8" s="236">
        <f>+'2022'!F8</f>
        <v>1242.9287898085713</v>
      </c>
      <c r="G8" s="236">
        <f>+'2022'!G8</f>
        <v>1186.1506827487945</v>
      </c>
      <c r="H8" s="236">
        <f>+'2022'!H8</f>
        <v>1229.5714850177765</v>
      </c>
      <c r="I8" s="236">
        <f>+'2022'!I8</f>
        <v>1183.4784699847698</v>
      </c>
      <c r="J8" s="236">
        <f>+'2022'!J8</f>
        <v>1226.2685354881287</v>
      </c>
      <c r="K8" s="236">
        <f>+'2022'!K8</f>
        <v>1232.105538105011</v>
      </c>
      <c r="L8" s="236">
        <f>+'2022'!L8</f>
        <v>1181.6035216691109</v>
      </c>
      <c r="M8" s="236">
        <f>+'2022'!M8</f>
        <v>1186.1793702008724</v>
      </c>
      <c r="N8" s="236">
        <f>+'2022'!N8</f>
        <v>1159.4886349411011</v>
      </c>
      <c r="O8" s="236">
        <f>+'2022'!O8</f>
        <v>1236.5355965881347</v>
      </c>
      <c r="P8" s="239">
        <f t="shared" ref="P8:P13" si="0">+SUM(D8:O8)</f>
        <v>14374.029695929308</v>
      </c>
    </row>
    <row r="9" spans="3:16">
      <c r="C9" s="234" t="s">
        <v>17</v>
      </c>
      <c r="D9" s="235">
        <f>+'2022'!D9</f>
        <v>422.62167955338629</v>
      </c>
      <c r="E9" s="235">
        <f>+'2022'!E9</f>
        <v>382.586939861921</v>
      </c>
      <c r="F9" s="236">
        <f>+'2022'!F9</f>
        <v>420.47582622805555</v>
      </c>
      <c r="G9" s="236">
        <f>+'2022'!G9</f>
        <v>401.03900969815254</v>
      </c>
      <c r="H9" s="236">
        <f>+'2022'!H9</f>
        <v>418.79864213514327</v>
      </c>
      <c r="I9" s="236">
        <f>+'2022'!I9</f>
        <v>400.79502671062949</v>
      </c>
      <c r="J9" s="236">
        <f>+'2022'!J9</f>
        <v>418.33885250842036</v>
      </c>
      <c r="K9" s="236">
        <f>+'2022'!K9</f>
        <v>419.978995138166</v>
      </c>
      <c r="L9" s="236">
        <f>+'2022'!L9</f>
        <v>291.79409789979087</v>
      </c>
      <c r="M9" s="236">
        <f>+'2022'!M9</f>
        <v>404.45772123910962</v>
      </c>
      <c r="N9" s="236">
        <f>+'2022'!N9</f>
        <v>387.17685390707072</v>
      </c>
      <c r="O9" s="236">
        <f>+'2022'!O9</f>
        <v>417.16215555572512</v>
      </c>
      <c r="P9" s="239">
        <f t="shared" si="0"/>
        <v>4785.2258004355699</v>
      </c>
    </row>
    <row r="10" spans="3:16">
      <c r="C10" s="234" t="s">
        <v>18</v>
      </c>
      <c r="D10" s="235">
        <f>+'2022'!D10</f>
        <v>3431.7383574447631</v>
      </c>
      <c r="E10" s="235">
        <f>+'2022'!E10</f>
        <v>2768.8959550542831</v>
      </c>
      <c r="F10" s="236">
        <f>+'2022'!F10</f>
        <v>3462.1425503711102</v>
      </c>
      <c r="G10" s="236">
        <f>+'2022'!G10</f>
        <v>3363.0727563171386</v>
      </c>
      <c r="H10" s="236">
        <f>+'2022'!H10</f>
        <v>3444.1800070142745</v>
      </c>
      <c r="I10" s="236">
        <f>+'2022'!I10</f>
        <v>3302.5792356204988</v>
      </c>
      <c r="J10" s="236">
        <f>+'2022'!J10</f>
        <v>3441.5638792190553</v>
      </c>
      <c r="K10" s="236">
        <f>+'2022'!K10</f>
        <v>3474.1516671531199</v>
      </c>
      <c r="L10" s="236">
        <f>+'2022'!L10</f>
        <v>3323.06683675766</v>
      </c>
      <c r="M10" s="236">
        <f>+'2022'!M10</f>
        <v>3444.6588041458131</v>
      </c>
      <c r="N10" s="236">
        <f>+'2022'!N10</f>
        <v>3257.1128826279937</v>
      </c>
      <c r="O10" s="236">
        <f>+'2022'!O10</f>
        <v>3475.5237980957031</v>
      </c>
      <c r="P10" s="239">
        <f t="shared" si="0"/>
        <v>40188.68672982142</v>
      </c>
    </row>
    <row r="11" spans="3:16">
      <c r="C11" s="234" t="s">
        <v>19</v>
      </c>
      <c r="D11" s="235">
        <f>+'2022'!D11</f>
        <v>9093.8718812590978</v>
      </c>
      <c r="E11" s="235">
        <f>+'2022'!E11</f>
        <v>7929.5935192601364</v>
      </c>
      <c r="F11" s="236">
        <f>+'2022'!F11</f>
        <v>10856.677650158415</v>
      </c>
      <c r="G11" s="236">
        <f>+'2022'!G11</f>
        <v>8886.1646169535816</v>
      </c>
      <c r="H11" s="236">
        <f>+'2022'!H11</f>
        <v>8722.8500369883714</v>
      </c>
      <c r="I11" s="236">
        <f>+'2022'!I11</f>
        <v>8412.8964147864881</v>
      </c>
      <c r="J11" s="236">
        <f>+'2022'!J11</f>
        <v>8695.6318722754513</v>
      </c>
      <c r="K11" s="236">
        <f>+'2022'!K11</f>
        <v>9993.2153514222027</v>
      </c>
      <c r="L11" s="236">
        <f>+'2022'!L11</f>
        <v>9705.6573542480473</v>
      </c>
      <c r="M11" s="236">
        <f>+'2022'!M11</f>
        <v>10025.184908800356</v>
      </c>
      <c r="N11" s="236">
        <f>+'2022'!N11</f>
        <v>8028.2810720427769</v>
      </c>
      <c r="O11" s="236">
        <f>+'2022'!O11</f>
        <v>8284.2034955362396</v>
      </c>
      <c r="P11" s="239">
        <f t="shared" si="0"/>
        <v>108634.22817373116</v>
      </c>
    </row>
    <row r="12" spans="3:16">
      <c r="C12" s="234" t="s">
        <v>20</v>
      </c>
      <c r="D12" s="235">
        <f>+'2022'!D12</f>
        <v>58946.728492378235</v>
      </c>
      <c r="E12" s="235">
        <f>+'2022'!E12</f>
        <v>48966.007065432546</v>
      </c>
      <c r="F12" s="236">
        <f>+'2022'!F12</f>
        <v>68879.682495632471</v>
      </c>
      <c r="G12" s="236">
        <f>+'2022'!G12</f>
        <v>55060.960240503788</v>
      </c>
      <c r="H12" s="236">
        <f>+'2022'!H12</f>
        <v>53417.425948029158</v>
      </c>
      <c r="I12" s="236">
        <f>+'2022'!I12</f>
        <v>51694.265634819145</v>
      </c>
      <c r="J12" s="236">
        <f>+'2022'!J12</f>
        <v>53423.634291647264</v>
      </c>
      <c r="K12" s="236">
        <f>+'2022'!K12</f>
        <v>62315.440097447296</v>
      </c>
      <c r="L12" s="236">
        <f>+'2022'!L12</f>
        <v>60310.263266008827</v>
      </c>
      <c r="M12" s="236">
        <f>+'2022'!M12</f>
        <v>62320.714779315516</v>
      </c>
      <c r="N12" s="236">
        <f>+'2022'!N12</f>
        <v>58454.157824913265</v>
      </c>
      <c r="O12" s="236">
        <f>+'2022'!O12</f>
        <v>57929.587627500769</v>
      </c>
      <c r="P12" s="239">
        <f t="shared" si="0"/>
        <v>691718.86776362825</v>
      </c>
    </row>
    <row r="13" spans="3:16">
      <c r="C13" s="234" t="s">
        <v>21</v>
      </c>
      <c r="D13" s="235">
        <f>+'2022'!D13</f>
        <v>5455.1491612164282</v>
      </c>
      <c r="E13" s="235">
        <f>+'2022'!E13</f>
        <v>4612.9961531405224</v>
      </c>
      <c r="F13" s="236">
        <f>+'2022'!F13</f>
        <v>6358.606590664519</v>
      </c>
      <c r="G13" s="236">
        <f>+'2022'!G13</f>
        <v>4748.6859495491408</v>
      </c>
      <c r="H13" s="236">
        <f>+'2022'!H13</f>
        <v>5077.0155783386226</v>
      </c>
      <c r="I13" s="236">
        <f>+'2022'!I13</f>
        <v>4931.225624572754</v>
      </c>
      <c r="J13" s="236">
        <f>+'2022'!J13</f>
        <v>5058.387876586914</v>
      </c>
      <c r="K13" s="236">
        <f>+'2022'!K13</f>
        <v>5969.9543620693385</v>
      </c>
      <c r="L13" s="236">
        <f>+'2022'!L13</f>
        <v>4720.8160377041677</v>
      </c>
      <c r="M13" s="236">
        <f>+'2022'!M13</f>
        <v>6058.0401207865907</v>
      </c>
      <c r="N13" s="236">
        <f>+'2022'!N13</f>
        <v>5787.3664782104488</v>
      </c>
      <c r="O13" s="236">
        <f>+'2022'!O13</f>
        <v>5808.8318871154788</v>
      </c>
      <c r="P13" s="239">
        <f t="shared" si="0"/>
        <v>64587.075819954916</v>
      </c>
    </row>
    <row r="14" spans="3:16">
      <c r="C14" s="240" t="s">
        <v>22</v>
      </c>
      <c r="D14" s="241">
        <f>SUM(D8:D13)</f>
        <v>78569.956727541139</v>
      </c>
      <c r="E14" s="241">
        <f>SUM(E8:E13)</f>
        <v>65749.95154843721</v>
      </c>
      <c r="F14" s="241">
        <f>SUM(F8:F13)</f>
        <v>91220.513902863153</v>
      </c>
      <c r="G14" s="241">
        <f t="shared" ref="G14:M14" si="1">SUM(G8:G13)</f>
        <v>73646.073255770592</v>
      </c>
      <c r="H14" s="241">
        <f t="shared" si="1"/>
        <v>72309.841697523356</v>
      </c>
      <c r="I14" s="241">
        <f t="shared" si="1"/>
        <v>69925.240406494282</v>
      </c>
      <c r="J14" s="241">
        <f t="shared" si="1"/>
        <v>72263.82530772523</v>
      </c>
      <c r="K14" s="241">
        <f t="shared" si="1"/>
        <v>83404.846011335147</v>
      </c>
      <c r="L14" s="241">
        <f t="shared" si="1"/>
        <v>79533.2011142876</v>
      </c>
      <c r="M14" s="241">
        <f t="shared" si="1"/>
        <v>83439.235704488266</v>
      </c>
      <c r="N14" s="241">
        <f>SUM(N8:N13)</f>
        <v>77073.583746642646</v>
      </c>
      <c r="O14" s="241">
        <f>SUM(O8:O13)</f>
        <v>77151.844560392041</v>
      </c>
      <c r="P14" s="243">
        <f>SUM(P8:P13)</f>
        <v>924288.11398350075</v>
      </c>
    </row>
    <row r="15" spans="3:16">
      <c r="C15" s="228" t="s">
        <v>23</v>
      </c>
      <c r="D15" s="244"/>
      <c r="E15" s="244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7"/>
    </row>
    <row r="16" spans="3:16">
      <c r="C16" s="248" t="s">
        <v>24</v>
      </c>
      <c r="D16" s="235">
        <f>+'2022'!D16</f>
        <v>0</v>
      </c>
      <c r="E16" s="235">
        <f>+'2022'!E16</f>
        <v>0</v>
      </c>
      <c r="F16" s="236">
        <f>+'2022'!F16</f>
        <v>0</v>
      </c>
      <c r="G16" s="236">
        <f>+'2022'!G16</f>
        <v>0</v>
      </c>
      <c r="H16" s="236">
        <f>+'2022'!H16</f>
        <v>0</v>
      </c>
      <c r="I16" s="236">
        <f>+'2022'!I16</f>
        <v>0</v>
      </c>
      <c r="J16" s="236">
        <f>+'2022'!J16</f>
        <v>0</v>
      </c>
      <c r="K16" s="236">
        <f>+'2022'!K16</f>
        <v>0</v>
      </c>
      <c r="L16" s="236">
        <f>+'2022'!L16</f>
        <v>0</v>
      </c>
      <c r="M16" s="236">
        <f>+'2022'!M16</f>
        <v>0</v>
      </c>
      <c r="N16" s="236">
        <f>+'2022'!N16</f>
        <v>0</v>
      </c>
      <c r="O16" s="236">
        <f>+'2022'!O16</f>
        <v>0</v>
      </c>
      <c r="P16" s="239">
        <f>+SUM(D16:O16)</f>
        <v>0</v>
      </c>
    </row>
    <row r="17" spans="3:17">
      <c r="C17" s="234" t="s">
        <v>25</v>
      </c>
      <c r="D17" s="235">
        <f>+'2022'!D17</f>
        <v>0</v>
      </c>
      <c r="E17" s="235">
        <f>+'2022'!E17</f>
        <v>2.1792190093994139</v>
      </c>
      <c r="F17" s="236">
        <f>+'2022'!F17</f>
        <v>0</v>
      </c>
      <c r="G17" s="236">
        <f>+'2022'!G17</f>
        <v>2.1235730934143064</v>
      </c>
      <c r="H17" s="236">
        <f>+'2022'!H17</f>
        <v>24.72891778564453</v>
      </c>
      <c r="I17" s="236">
        <f>+'2022'!I17</f>
        <v>4.4261790041923526</v>
      </c>
      <c r="J17" s="236">
        <f>+'2022'!J17</f>
        <v>3.3356796569824221</v>
      </c>
      <c r="K17" s="236">
        <f>+'2022'!K17</f>
        <v>0</v>
      </c>
      <c r="L17" s="236">
        <f>+'2022'!L17</f>
        <v>111.64405252075196</v>
      </c>
      <c r="M17" s="236">
        <f>+'2022'!M17</f>
        <v>0</v>
      </c>
      <c r="N17" s="236">
        <f>+'2022'!N17</f>
        <v>0</v>
      </c>
      <c r="O17" s="236">
        <f>+'2022'!O17</f>
        <v>1.3973649063110352</v>
      </c>
      <c r="P17" s="239">
        <f>+SUM(D17:O17)</f>
        <v>149.834985976696</v>
      </c>
    </row>
    <row r="18" spans="3:17">
      <c r="C18" s="248" t="s">
        <v>26</v>
      </c>
      <c r="D18" s="235">
        <f>+'2022'!D18</f>
        <v>12.681230949401856</v>
      </c>
      <c r="E18" s="235">
        <f>+'2022'!E18</f>
        <v>3.5791256399435443</v>
      </c>
      <c r="F18" s="236">
        <f>+'2022'!F18</f>
        <v>0</v>
      </c>
      <c r="G18" s="236">
        <f>+'2022'!G18</f>
        <v>1.6294031581424644</v>
      </c>
      <c r="H18" s="236">
        <f>+'2022'!H18</f>
        <v>8.7695610024207742</v>
      </c>
      <c r="I18" s="236">
        <f>+'2022'!I18</f>
        <v>20.590207740551296</v>
      </c>
      <c r="J18" s="236">
        <f>+'2022'!J18</f>
        <v>8.4844810147713865</v>
      </c>
      <c r="K18" s="236">
        <f>+'2022'!K18</f>
        <v>13.134336791992187</v>
      </c>
      <c r="L18" s="236">
        <f>+'2022'!L18</f>
        <v>91.42895262445812</v>
      </c>
      <c r="M18" s="236">
        <f>+'2022'!M18</f>
        <v>111.96729423339457</v>
      </c>
      <c r="N18" s="236">
        <f>+'2022'!N18</f>
        <v>1048.2632499115753</v>
      </c>
      <c r="O18" s="236">
        <f>+'2022'!O18</f>
        <v>2.0771350479125976</v>
      </c>
      <c r="P18" s="239">
        <f>+SUM(D18:O18)</f>
        <v>1322.6049781145641</v>
      </c>
      <c r="Q18" s="249"/>
    </row>
    <row r="19" spans="3:17">
      <c r="C19" s="248" t="s">
        <v>27</v>
      </c>
      <c r="D19" s="235">
        <f>+'2022'!D19</f>
        <v>26.440005121559718</v>
      </c>
      <c r="E19" s="235">
        <f>+'2022'!E19</f>
        <v>20.246059967041017</v>
      </c>
      <c r="F19" s="236">
        <f>+'2022'!F19</f>
        <v>31.040768379717456</v>
      </c>
      <c r="G19" s="236">
        <f>+'2022'!G19</f>
        <v>20.142381072998045</v>
      </c>
      <c r="H19" s="236">
        <f>+'2022'!H19</f>
        <v>4.1210601829928963</v>
      </c>
      <c r="I19" s="236">
        <f>+'2022'!I19</f>
        <v>18.127805923461914</v>
      </c>
      <c r="J19" s="236">
        <f>+'2022'!J19</f>
        <v>71.872641759115695</v>
      </c>
      <c r="K19" s="236">
        <f>+'2022'!K19</f>
        <v>27.77143436431885</v>
      </c>
      <c r="L19" s="236">
        <f>+'2022'!L19</f>
        <v>277.60668186982366</v>
      </c>
      <c r="M19" s="236">
        <f>+'2022'!M19</f>
        <v>32.977901298522951</v>
      </c>
      <c r="N19" s="236">
        <f>+'2022'!N19</f>
        <v>1995.8380058114876</v>
      </c>
      <c r="O19" s="236">
        <f>+'2022'!O19</f>
        <v>217.18909655761718</v>
      </c>
      <c r="P19" s="239">
        <f>+SUM(D19:O19)</f>
        <v>2743.373842308657</v>
      </c>
      <c r="Q19" s="249"/>
    </row>
    <row r="20" spans="3:17">
      <c r="C20" s="250" t="s">
        <v>46</v>
      </c>
      <c r="D20" s="235">
        <f>+'2022'!D20</f>
        <v>0</v>
      </c>
      <c r="E20" s="235">
        <f>+'2022'!E20</f>
        <v>0</v>
      </c>
      <c r="F20" s="235">
        <f>+'2022'!F20</f>
        <v>0</v>
      </c>
      <c r="G20" s="235">
        <f>+'2022'!G20</f>
        <v>0</v>
      </c>
      <c r="H20" s="235">
        <f>+'2022'!H20</f>
        <v>0</v>
      </c>
      <c r="I20" s="235">
        <f>+'2022'!I20</f>
        <v>0</v>
      </c>
      <c r="J20" s="235">
        <f>+'2022'!J20</f>
        <v>0</v>
      </c>
      <c r="K20" s="235">
        <f>+'2022'!K20</f>
        <v>0</v>
      </c>
      <c r="L20" s="235">
        <f>+'2022'!L20</f>
        <v>0</v>
      </c>
      <c r="M20" s="235">
        <f>+'2022'!M20</f>
        <v>0</v>
      </c>
      <c r="N20" s="235">
        <f>+'2022'!N20</f>
        <v>0</v>
      </c>
      <c r="O20" s="235">
        <f>+'2022'!O20</f>
        <v>0</v>
      </c>
      <c r="P20" s="239">
        <f>+SUM(D20:O20)</f>
        <v>0</v>
      </c>
      <c r="Q20" s="249"/>
    </row>
    <row r="21" spans="3:17">
      <c r="C21" s="240" t="s">
        <v>28</v>
      </c>
      <c r="D21" s="241">
        <f t="shared" ref="D21:P21" si="2">SUM(D16:D20)</f>
        <v>39.121236070961572</v>
      </c>
      <c r="E21" s="241">
        <f t="shared" si="2"/>
        <v>26.004404616383976</v>
      </c>
      <c r="F21" s="241">
        <f t="shared" si="2"/>
        <v>31.040768379717456</v>
      </c>
      <c r="G21" s="241">
        <f t="shared" si="2"/>
        <v>23.895357324554816</v>
      </c>
      <c r="H21" s="241">
        <f t="shared" si="2"/>
        <v>37.619538971058205</v>
      </c>
      <c r="I21" s="241">
        <f t="shared" si="2"/>
        <v>43.144192668205562</v>
      </c>
      <c r="J21" s="241">
        <f t="shared" si="2"/>
        <v>83.692802430869506</v>
      </c>
      <c r="K21" s="241">
        <f t="shared" si="2"/>
        <v>40.905771156311033</v>
      </c>
      <c r="L21" s="241">
        <f t="shared" si="2"/>
        <v>480.67968701503372</v>
      </c>
      <c r="M21" s="241">
        <f t="shared" si="2"/>
        <v>144.94519553191753</v>
      </c>
      <c r="N21" s="241">
        <f t="shared" si="2"/>
        <v>3044.1012557230629</v>
      </c>
      <c r="O21" s="241">
        <f t="shared" si="2"/>
        <v>220.66359651184081</v>
      </c>
      <c r="P21" s="243">
        <f t="shared" si="2"/>
        <v>4215.8138063999177</v>
      </c>
    </row>
    <row r="22" spans="3:17" ht="12" thickBot="1">
      <c r="C22" s="251" t="s">
        <v>29</v>
      </c>
      <c r="D22" s="252">
        <f>+D14+D21</f>
        <v>78609.077963612101</v>
      </c>
      <c r="E22" s="241">
        <f t="shared" ref="E22:P22" si="3">+E14+E21</f>
        <v>65775.955953053592</v>
      </c>
      <c r="F22" s="252">
        <f t="shared" si="3"/>
        <v>91251.554671242877</v>
      </c>
      <c r="G22" s="252">
        <f t="shared" si="3"/>
        <v>73669.968613095145</v>
      </c>
      <c r="H22" s="252">
        <f t="shared" si="3"/>
        <v>72347.461236494419</v>
      </c>
      <c r="I22" s="252">
        <f t="shared" si="3"/>
        <v>69968.384599162484</v>
      </c>
      <c r="J22" s="252">
        <f t="shared" si="3"/>
        <v>72347.518110156103</v>
      </c>
      <c r="K22" s="252">
        <f t="shared" si="3"/>
        <v>83445.751782491454</v>
      </c>
      <c r="L22" s="252">
        <f t="shared" si="3"/>
        <v>80013.880801302628</v>
      </c>
      <c r="M22" s="252">
        <f t="shared" si="3"/>
        <v>83584.18090002019</v>
      </c>
      <c r="N22" s="252">
        <f t="shared" si="3"/>
        <v>80117.685002365703</v>
      </c>
      <c r="O22" s="252">
        <f t="shared" si="3"/>
        <v>77372.508156903888</v>
      </c>
      <c r="P22" s="254">
        <f t="shared" si="3"/>
        <v>928503.92778990068</v>
      </c>
    </row>
    <row r="23" spans="3:17" ht="12" thickTop="1"/>
    <row r="24" spans="3:17">
      <c r="C24" s="222" t="s">
        <v>112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17" ht="12" thickBot="1"/>
    <row r="26" spans="3:17" ht="12" thickTop="1">
      <c r="C26" s="310" t="s">
        <v>30</v>
      </c>
      <c r="D26" s="311" t="s">
        <v>2</v>
      </c>
      <c r="E26" s="311" t="s">
        <v>3</v>
      </c>
      <c r="F26" s="311" t="s">
        <v>4</v>
      </c>
      <c r="G26" s="311" t="s">
        <v>5</v>
      </c>
      <c r="H26" s="311" t="s">
        <v>6</v>
      </c>
      <c r="I26" s="311" t="s">
        <v>7</v>
      </c>
      <c r="J26" s="311" t="s">
        <v>8</v>
      </c>
      <c r="K26" s="311" t="s">
        <v>9</v>
      </c>
      <c r="L26" s="311" t="s">
        <v>10</v>
      </c>
      <c r="M26" s="311" t="s">
        <v>11</v>
      </c>
      <c r="N26" s="311" t="s">
        <v>12</v>
      </c>
      <c r="O26" s="311" t="s">
        <v>13</v>
      </c>
      <c r="P26" s="312" t="s">
        <v>14</v>
      </c>
    </row>
    <row r="27" spans="3:17">
      <c r="C27" s="313" t="s">
        <v>31</v>
      </c>
      <c r="D27" s="263">
        <f t="shared" ref="D27:O27" si="4">+D28+D29</f>
        <v>78609.077963612101</v>
      </c>
      <c r="E27" s="262">
        <f t="shared" si="4"/>
        <v>65775.955953053592</v>
      </c>
      <c r="F27" s="263">
        <f t="shared" si="4"/>
        <v>91251.554671242877</v>
      </c>
      <c r="G27" s="263">
        <f t="shared" si="4"/>
        <v>73669.968613095145</v>
      </c>
      <c r="H27" s="263">
        <f t="shared" si="4"/>
        <v>72347.461236494419</v>
      </c>
      <c r="I27" s="263">
        <f t="shared" si="4"/>
        <v>69968.384599162484</v>
      </c>
      <c r="J27" s="263">
        <f t="shared" si="4"/>
        <v>72347.518110156103</v>
      </c>
      <c r="K27" s="263">
        <f t="shared" si="4"/>
        <v>83445.751782491454</v>
      </c>
      <c r="L27" s="263">
        <f t="shared" si="4"/>
        <v>80013.880801302628</v>
      </c>
      <c r="M27" s="263">
        <f t="shared" si="4"/>
        <v>83584.18090002019</v>
      </c>
      <c r="N27" s="263">
        <f t="shared" si="4"/>
        <v>80117.685002365703</v>
      </c>
      <c r="O27" s="263">
        <f t="shared" si="4"/>
        <v>77372.508156903888</v>
      </c>
      <c r="P27" s="314">
        <f>SUM(D27:O27)</f>
        <v>928503.92778990068</v>
      </c>
    </row>
    <row r="28" spans="3:17">
      <c r="C28" s="315" t="s">
        <v>32</v>
      </c>
      <c r="D28" s="268">
        <f>+D14</f>
        <v>78569.956727541139</v>
      </c>
      <c r="E28" s="268">
        <f t="shared" ref="E28:O28" si="5">+E14</f>
        <v>65749.95154843721</v>
      </c>
      <c r="F28" s="268">
        <f t="shared" si="5"/>
        <v>91220.513902863153</v>
      </c>
      <c r="G28" s="268">
        <f t="shared" si="5"/>
        <v>73646.073255770592</v>
      </c>
      <c r="H28" s="268">
        <f t="shared" si="5"/>
        <v>72309.841697523356</v>
      </c>
      <c r="I28" s="268">
        <f t="shared" si="5"/>
        <v>69925.240406494282</v>
      </c>
      <c r="J28" s="268">
        <f t="shared" si="5"/>
        <v>72263.82530772523</v>
      </c>
      <c r="K28" s="268">
        <f t="shared" si="5"/>
        <v>83404.846011335147</v>
      </c>
      <c r="L28" s="268">
        <f t="shared" si="5"/>
        <v>79533.2011142876</v>
      </c>
      <c r="M28" s="268">
        <f t="shared" si="5"/>
        <v>83439.235704488266</v>
      </c>
      <c r="N28" s="268">
        <f t="shared" si="5"/>
        <v>77073.583746642646</v>
      </c>
      <c r="O28" s="268">
        <f t="shared" si="5"/>
        <v>77151.844560392041</v>
      </c>
      <c r="P28" s="306">
        <f t="shared" ref="P28:P65" si="6">SUM(D28:O28)</f>
        <v>924288.11398350075</v>
      </c>
    </row>
    <row r="29" spans="3:17">
      <c r="C29" s="316" t="s">
        <v>33</v>
      </c>
      <c r="D29" s="272">
        <f>+D21</f>
        <v>39.121236070961572</v>
      </c>
      <c r="E29" s="272">
        <f t="shared" ref="E29:O29" si="7">+E21</f>
        <v>26.004404616383976</v>
      </c>
      <c r="F29" s="272">
        <f t="shared" si="7"/>
        <v>31.040768379717456</v>
      </c>
      <c r="G29" s="272">
        <f t="shared" si="7"/>
        <v>23.895357324554816</v>
      </c>
      <c r="H29" s="272">
        <f t="shared" si="7"/>
        <v>37.619538971058205</v>
      </c>
      <c r="I29" s="272">
        <f t="shared" si="7"/>
        <v>43.144192668205562</v>
      </c>
      <c r="J29" s="272">
        <f t="shared" si="7"/>
        <v>83.692802430869506</v>
      </c>
      <c r="K29" s="272">
        <f t="shared" si="7"/>
        <v>40.905771156311033</v>
      </c>
      <c r="L29" s="272">
        <f t="shared" si="7"/>
        <v>480.67968701503372</v>
      </c>
      <c r="M29" s="272">
        <f t="shared" si="7"/>
        <v>144.94519553191753</v>
      </c>
      <c r="N29" s="272">
        <f t="shared" si="7"/>
        <v>3044.1012557230629</v>
      </c>
      <c r="O29" s="272">
        <f t="shared" si="7"/>
        <v>220.66359651184081</v>
      </c>
      <c r="P29" s="317">
        <f t="shared" si="6"/>
        <v>4215.8138063999177</v>
      </c>
    </row>
    <row r="30" spans="3:17">
      <c r="C30" s="313" t="s">
        <v>34</v>
      </c>
      <c r="D30" s="263">
        <f>+SUM(D31:D32)</f>
        <v>150.28167999999999</v>
      </c>
      <c r="E30" s="263">
        <f t="shared" ref="E30:P30" si="8">+SUM(E31:E32)</f>
        <v>3843.6607763187144</v>
      </c>
      <c r="F30" s="263">
        <f t="shared" si="8"/>
        <v>155.94549803161601</v>
      </c>
      <c r="G30" s="263">
        <f t="shared" si="8"/>
        <v>139.57567862419359</v>
      </c>
      <c r="H30" s="263">
        <f t="shared" si="8"/>
        <v>145.87514999999999</v>
      </c>
      <c r="I30" s="263">
        <f t="shared" si="8"/>
        <v>142.45681959814453</v>
      </c>
      <c r="J30" s="263">
        <f t="shared" si="8"/>
        <v>133.7588440070873</v>
      </c>
      <c r="K30" s="263">
        <f t="shared" si="8"/>
        <v>146.73445475482941</v>
      </c>
      <c r="L30" s="263">
        <f t="shared" si="8"/>
        <v>139.55522999999999</v>
      </c>
      <c r="M30" s="263">
        <f t="shared" si="8"/>
        <v>128.50700000000001</v>
      </c>
      <c r="N30" s="263">
        <f t="shared" si="8"/>
        <v>111.62695088481902</v>
      </c>
      <c r="O30" s="263">
        <f t="shared" si="8"/>
        <v>117.56939999999999</v>
      </c>
      <c r="P30" s="314">
        <f t="shared" si="8"/>
        <v>5355.5474822194046</v>
      </c>
    </row>
    <row r="31" spans="3:17">
      <c r="C31" s="307" t="s">
        <v>41</v>
      </c>
      <c r="D31" s="268">
        <f>+IF([1]R!D114&lt;0,-[1]R!D114,0)</f>
        <v>0</v>
      </c>
      <c r="E31" s="268">
        <f>+IF([1]R!E114&lt;0,-[1]R!E114,0)</f>
        <v>3707.1505911343775</v>
      </c>
      <c r="F31" s="268">
        <f>+IF([1]R!F114&lt;0,-[1]R!F114,0)</f>
        <v>0</v>
      </c>
      <c r="G31" s="268">
        <f>+'2022'!G31</f>
        <v>0</v>
      </c>
      <c r="H31" s="268">
        <f>+'2022'!H31</f>
        <v>0</v>
      </c>
      <c r="I31" s="268">
        <f>+'2022'!I31</f>
        <v>0</v>
      </c>
      <c r="J31" s="268">
        <f>+'2022'!J31</f>
        <v>0</v>
      </c>
      <c r="K31" s="268">
        <f>+'2022'!K31</f>
        <v>0</v>
      </c>
      <c r="L31" s="268">
        <f>+'2022'!L31</f>
        <v>0</v>
      </c>
      <c r="M31" s="268">
        <f>+'2022'!M31</f>
        <v>0</v>
      </c>
      <c r="N31" s="268">
        <f>+'2022'!N31</f>
        <v>0</v>
      </c>
      <c r="O31" s="268">
        <f>+'2022'!O31</f>
        <v>0</v>
      </c>
      <c r="P31" s="306">
        <f t="shared" si="6"/>
        <v>3707.1505911343775</v>
      </c>
    </row>
    <row r="32" spans="3:17">
      <c r="C32" s="322" t="s">
        <v>109</v>
      </c>
      <c r="D32" s="272">
        <f>+'2022'!D32</f>
        <v>150.28167999999999</v>
      </c>
      <c r="E32" s="272">
        <f>+'2022'!E32</f>
        <v>136.51018518433682</v>
      </c>
      <c r="F32" s="272">
        <f>+'2022'!F32</f>
        <v>155.94549803161601</v>
      </c>
      <c r="G32" s="272">
        <f>+'2022'!G32</f>
        <v>139.57567862419359</v>
      </c>
      <c r="H32" s="272">
        <f>+'2022'!H32</f>
        <v>145.87514999999999</v>
      </c>
      <c r="I32" s="272">
        <f>+'2022'!I32</f>
        <v>142.45681959814453</v>
      </c>
      <c r="J32" s="272">
        <f>+'2022'!J32</f>
        <v>133.7588440070873</v>
      </c>
      <c r="K32" s="272">
        <f>+'2022'!K32</f>
        <v>146.73445475482941</v>
      </c>
      <c r="L32" s="272">
        <f>+'2022'!L32</f>
        <v>139.55522999999999</v>
      </c>
      <c r="M32" s="272">
        <f>+'2022'!M32</f>
        <v>128.50700000000001</v>
      </c>
      <c r="N32" s="272">
        <f>+'2022'!N32</f>
        <v>111.62695088481902</v>
      </c>
      <c r="O32" s="272">
        <f>+'2022'!O32</f>
        <v>117.56939999999999</v>
      </c>
      <c r="P32" s="317">
        <f t="shared" si="6"/>
        <v>1648.3968910850267</v>
      </c>
    </row>
    <row r="33" spans="2:19">
      <c r="C33" s="313" t="s">
        <v>35</v>
      </c>
      <c r="D33" s="263">
        <f>+D34+D35</f>
        <v>329.82644132344382</v>
      </c>
      <c r="E33" s="263">
        <f t="shared" ref="E33:M33" si="9">+E34+E35</f>
        <v>288.70137743581319</v>
      </c>
      <c r="F33" s="263">
        <f t="shared" si="9"/>
        <v>328.55847443062379</v>
      </c>
      <c r="G33" s="263">
        <f>+G34+G35</f>
        <v>302.61154766655875</v>
      </c>
      <c r="H33" s="263">
        <f>+H34+H35</f>
        <v>315.90593455337432</v>
      </c>
      <c r="I33" s="263">
        <f>+I34+I35</f>
        <v>323.60349961638008</v>
      </c>
      <c r="J33" s="263">
        <f t="shared" si="9"/>
        <v>348.37712947542195</v>
      </c>
      <c r="K33" s="263">
        <f t="shared" si="9"/>
        <v>354.67466557899758</v>
      </c>
      <c r="L33" s="263">
        <f t="shared" si="9"/>
        <v>437.47918524193614</v>
      </c>
      <c r="M33" s="263">
        <f t="shared" si="9"/>
        <v>319.77495901589128</v>
      </c>
      <c r="N33" s="263">
        <f>+N34+N35</f>
        <v>576.29507481583835</v>
      </c>
      <c r="O33" s="263">
        <f>+O34+O35</f>
        <v>461.66206929479131</v>
      </c>
      <c r="P33" s="314">
        <f t="shared" si="6"/>
        <v>4387.4703584490708</v>
      </c>
    </row>
    <row r="34" spans="2:19">
      <c r="B34" s="277"/>
      <c r="C34" s="315" t="s">
        <v>32</v>
      </c>
      <c r="D34" s="268">
        <f>+'2022'!D34</f>
        <v>327.2565789710726</v>
      </c>
      <c r="E34" s="268">
        <f>+'2022'!E34</f>
        <v>286.88373714827719</v>
      </c>
      <c r="F34" s="268">
        <f>+'2022'!F34</f>
        <v>326.55079843193607</v>
      </c>
      <c r="G34" s="268">
        <f>+'2022'!G34</f>
        <v>301.21921181542348</v>
      </c>
      <c r="H34" s="268">
        <f>+'2022'!H34</f>
        <v>313.93307816528227</v>
      </c>
      <c r="I34" s="268">
        <f>+'2022'!I34</f>
        <v>319.6660170142606</v>
      </c>
      <c r="J34" s="268">
        <f>+'2022'!J34</f>
        <v>342.08694962484367</v>
      </c>
      <c r="K34" s="268">
        <f>+'2022'!K34</f>
        <v>352.39057863823217</v>
      </c>
      <c r="L34" s="268">
        <f>+'2022'!L34</f>
        <v>305.31501348519174</v>
      </c>
      <c r="M34" s="268">
        <f>+'2022'!M34</f>
        <v>306.682816403434</v>
      </c>
      <c r="N34" s="268">
        <f>+'2022'!N34</f>
        <v>291.7966008637834</v>
      </c>
      <c r="O34" s="268">
        <f>+'2022'!O34</f>
        <v>303.47989696572313</v>
      </c>
      <c r="P34" s="306">
        <f t="shared" si="6"/>
        <v>3777.2612775274602</v>
      </c>
    </row>
    <row r="35" spans="2:19">
      <c r="B35" s="278"/>
      <c r="C35" s="316" t="s">
        <v>33</v>
      </c>
      <c r="D35" s="268">
        <f>+'2022'!D35</f>
        <v>2.5698623523712159</v>
      </c>
      <c r="E35" s="268">
        <f>+'2022'!E35</f>
        <v>1.8176402875359916</v>
      </c>
      <c r="F35" s="268">
        <f>+'2022'!F35</f>
        <v>2.0076759986877439</v>
      </c>
      <c r="G35" s="268">
        <f>+'2022'!G35</f>
        <v>1.3923358511352539</v>
      </c>
      <c r="H35" s="268">
        <f>+'2022'!H35</f>
        <v>1.9728563880920411</v>
      </c>
      <c r="I35" s="268">
        <f>+'2022'!I35</f>
        <v>3.9374826021194456</v>
      </c>
      <c r="J35" s="268">
        <f>+'2022'!J35</f>
        <v>6.2901798505783084</v>
      </c>
      <c r="K35" s="268">
        <f>+'2022'!K35</f>
        <v>2.2840869407653805</v>
      </c>
      <c r="L35" s="268">
        <f>+'2022'!L35</f>
        <v>132.16417175674439</v>
      </c>
      <c r="M35" s="268">
        <f>+'2022'!M35</f>
        <v>13.092142612457277</v>
      </c>
      <c r="N35" s="272">
        <f>+'2022'!N35</f>
        <v>284.49847395205495</v>
      </c>
      <c r="O35" s="272">
        <f>+'2022'!O35</f>
        <v>158.18217232906818</v>
      </c>
      <c r="P35" s="317">
        <f t="shared" si="6"/>
        <v>610.20908092161017</v>
      </c>
    </row>
    <row r="36" spans="2:19">
      <c r="C36" s="318" t="s">
        <v>36</v>
      </c>
      <c r="D36" s="263">
        <f>+D37+D38</f>
        <v>1230.614881845584</v>
      </c>
      <c r="E36" s="263">
        <f>+E37+E38</f>
        <v>1097.1800919364905</v>
      </c>
      <c r="F36" s="263">
        <f>+F37+F38</f>
        <v>1429.5394816366461</v>
      </c>
      <c r="G36" s="263">
        <f t="shared" ref="G36:M36" si="10">+G37+G38</f>
        <v>1171.8514061827009</v>
      </c>
      <c r="H36" s="263">
        <f t="shared" si="10"/>
        <v>1149.4001817360549</v>
      </c>
      <c r="I36" s="263">
        <f t="shared" si="10"/>
        <v>1141.962915528653</v>
      </c>
      <c r="J36" s="263">
        <f t="shared" si="10"/>
        <v>1169.8663604512694</v>
      </c>
      <c r="K36" s="263">
        <f t="shared" si="10"/>
        <v>1277.9897171916527</v>
      </c>
      <c r="L36" s="263">
        <f t="shared" si="10"/>
        <v>1317.7863377742178</v>
      </c>
      <c r="M36" s="263">
        <f t="shared" si="10"/>
        <v>1321.0805732407171</v>
      </c>
      <c r="N36" s="282">
        <f>+N37+N38</f>
        <v>1501.9765333315445</v>
      </c>
      <c r="O36" s="282">
        <f>+O37+O38</f>
        <v>1168.9627659444959</v>
      </c>
      <c r="P36" s="326">
        <f t="shared" si="6"/>
        <v>14978.211246800027</v>
      </c>
    </row>
    <row r="37" spans="2:19">
      <c r="B37" s="278"/>
      <c r="C37" s="315" t="s">
        <v>37</v>
      </c>
      <c r="D37" s="268">
        <v>492.24595273823365</v>
      </c>
      <c r="E37" s="268">
        <v>438.87203677459621</v>
      </c>
      <c r="F37" s="268">
        <v>571.81579265465848</v>
      </c>
      <c r="G37" s="268">
        <v>468.74056247308039</v>
      </c>
      <c r="H37" s="268">
        <v>459.76007269442198</v>
      </c>
      <c r="I37" s="268">
        <v>456.78516621146122</v>
      </c>
      <c r="J37" s="268">
        <v>467.94654418050777</v>
      </c>
      <c r="K37" s="268">
        <v>511.19588687666112</v>
      </c>
      <c r="L37" s="268">
        <v>527.11453510968715</v>
      </c>
      <c r="M37" s="268">
        <v>528.43222929628689</v>
      </c>
      <c r="N37" s="268">
        <v>600.7906133326178</v>
      </c>
      <c r="O37" s="268">
        <v>467.58510637779841</v>
      </c>
      <c r="P37" s="306">
        <f t="shared" si="6"/>
        <v>5991.2844987200115</v>
      </c>
    </row>
    <row r="38" spans="2:19">
      <c r="B38" s="285"/>
      <c r="C38" s="315" t="s">
        <v>38</v>
      </c>
      <c r="D38" s="272">
        <v>738.36892910735037</v>
      </c>
      <c r="E38" s="272">
        <v>658.30805516189423</v>
      </c>
      <c r="F38" s="272">
        <v>857.72368898198761</v>
      </c>
      <c r="G38" s="272">
        <v>703.11084370962055</v>
      </c>
      <c r="H38" s="272">
        <v>689.64010904163297</v>
      </c>
      <c r="I38" s="272">
        <v>685.1777493171918</v>
      </c>
      <c r="J38" s="272">
        <v>701.91981627076166</v>
      </c>
      <c r="K38" s="272">
        <v>766.79383031499162</v>
      </c>
      <c r="L38" s="272">
        <v>790.67180266453067</v>
      </c>
      <c r="M38" s="272">
        <v>792.64834394443017</v>
      </c>
      <c r="N38" s="272">
        <v>901.18591999892669</v>
      </c>
      <c r="O38" s="272">
        <v>701.3776595666975</v>
      </c>
      <c r="P38" s="306">
        <f t="shared" si="6"/>
        <v>8986.9267480800154</v>
      </c>
    </row>
    <row r="39" spans="2:19">
      <c r="B39" s="285"/>
      <c r="C39" s="320" t="s">
        <v>39</v>
      </c>
      <c r="D39" s="302">
        <f t="shared" ref="D39:O39" si="11">+D27+D30-D33-D36</f>
        <v>77198.918320443074</v>
      </c>
      <c r="E39" s="302">
        <f t="shared" si="11"/>
        <v>68233.735260000001</v>
      </c>
      <c r="F39" s="302">
        <f t="shared" si="11"/>
        <v>89649.402213207228</v>
      </c>
      <c r="G39" s="302">
        <f t="shared" si="11"/>
        <v>72335.081337870084</v>
      </c>
      <c r="H39" s="302">
        <f t="shared" si="11"/>
        <v>71028.030270204996</v>
      </c>
      <c r="I39" s="302">
        <f>+I27+I30-I33-I36</f>
        <v>68645.275003615592</v>
      </c>
      <c r="J39" s="302">
        <f t="shared" si="11"/>
        <v>70963.033464236491</v>
      </c>
      <c r="K39" s="302">
        <f t="shared" si="11"/>
        <v>81959.821854475624</v>
      </c>
      <c r="L39" s="302">
        <f t="shared" si="11"/>
        <v>78398.170508286479</v>
      </c>
      <c r="M39" s="302">
        <f t="shared" si="11"/>
        <v>82071.832367763578</v>
      </c>
      <c r="N39" s="302">
        <f t="shared" si="11"/>
        <v>78151.040345103145</v>
      </c>
      <c r="O39" s="302">
        <f t="shared" si="11"/>
        <v>75859.452721664595</v>
      </c>
      <c r="P39" s="321">
        <f t="shared" si="6"/>
        <v>914493.7936668708</v>
      </c>
    </row>
    <row r="40" spans="2:19">
      <c r="B40" s="285"/>
      <c r="C40" s="320" t="s">
        <v>40</v>
      </c>
      <c r="D40" s="302">
        <f t="shared" ref="D40:O40" si="12">+D41+D44+D54</f>
        <v>77198.918320443074</v>
      </c>
      <c r="E40" s="302">
        <f t="shared" si="12"/>
        <v>68233.735260000001</v>
      </c>
      <c r="F40" s="302">
        <f t="shared" si="12"/>
        <v>89649.402213207228</v>
      </c>
      <c r="G40" s="302">
        <f t="shared" si="12"/>
        <v>72335.081337870084</v>
      </c>
      <c r="H40" s="302">
        <f t="shared" si="12"/>
        <v>71028.030270204996</v>
      </c>
      <c r="I40" s="302">
        <f>+I41+I44+I54</f>
        <v>68645.275003615592</v>
      </c>
      <c r="J40" s="302">
        <f t="shared" si="12"/>
        <v>70963.033464236491</v>
      </c>
      <c r="K40" s="302">
        <f t="shared" si="12"/>
        <v>81959.821854475624</v>
      </c>
      <c r="L40" s="302">
        <f t="shared" si="12"/>
        <v>78398.170508286479</v>
      </c>
      <c r="M40" s="302">
        <f t="shared" si="12"/>
        <v>82071.832367763578</v>
      </c>
      <c r="N40" s="302">
        <f t="shared" si="12"/>
        <v>78500.118005103141</v>
      </c>
      <c r="O40" s="302">
        <f t="shared" si="12"/>
        <v>75859.45272166458</v>
      </c>
      <c r="P40" s="321">
        <f t="shared" si="6"/>
        <v>914842.87132687087</v>
      </c>
    </row>
    <row r="41" spans="2:19">
      <c r="C41" s="318" t="s">
        <v>44</v>
      </c>
      <c r="D41" s="263">
        <f>+D42+D43</f>
        <v>4378.6606804430776</v>
      </c>
      <c r="E41" s="263">
        <f t="shared" ref="E41:M41" si="13">+E42+E43</f>
        <v>0</v>
      </c>
      <c r="F41" s="263">
        <f t="shared" si="13"/>
        <v>14565.250433207213</v>
      </c>
      <c r="G41" s="263">
        <f t="shared" si="13"/>
        <v>3192.075147870084</v>
      </c>
      <c r="H41" s="263">
        <f t="shared" si="13"/>
        <v>2500.1929402049864</v>
      </c>
      <c r="I41" s="263">
        <f t="shared" si="13"/>
        <v>3503.0439836155929</v>
      </c>
      <c r="J41" s="263">
        <f t="shared" si="13"/>
        <v>5557.2716942364787</v>
      </c>
      <c r="K41" s="263">
        <f t="shared" si="13"/>
        <v>14740.831164475618</v>
      </c>
      <c r="L41" s="263">
        <f t="shared" si="13"/>
        <v>10936.695548286472</v>
      </c>
      <c r="M41" s="263">
        <f t="shared" si="13"/>
        <v>12509.793877763586</v>
      </c>
      <c r="N41" s="263">
        <f>+N42+N43</f>
        <v>7841.7553451031272</v>
      </c>
      <c r="O41" s="263">
        <f>+O42+O43</f>
        <v>1266.8765716645867</v>
      </c>
      <c r="P41" s="314">
        <f t="shared" si="6"/>
        <v>80992.44738687083</v>
      </c>
    </row>
    <row r="42" spans="2:19">
      <c r="B42" s="278"/>
      <c r="C42" s="315" t="s">
        <v>41</v>
      </c>
      <c r="D42" s="268">
        <f>+IF([1]R!D114&gt;0,[1]R!D114,0)</f>
        <v>4378.6606804430776</v>
      </c>
      <c r="E42" s="268">
        <f>+IF([1]R!E114&gt;0,[1]R!E114,0)</f>
        <v>0</v>
      </c>
      <c r="F42" s="268">
        <f>+IF([1]R!F114&gt;0,[1]R!F114,0)</f>
        <v>14565.250433207213</v>
      </c>
      <c r="G42" s="268">
        <f>+IF([1]R!G114&gt;0,[1]R!G114,0)</f>
        <v>3192.075147870084</v>
      </c>
      <c r="H42" s="268">
        <f>+IF([1]R!H114&gt;0,[1]R!H114,0)</f>
        <v>2500.1929402049864</v>
      </c>
      <c r="I42" s="268">
        <f>+IF([1]R!I114&gt;0,[1]R!I114,0)</f>
        <v>3503.0439836155929</v>
      </c>
      <c r="J42" s="268">
        <f>+IF([1]R!J114&gt;0,[1]R!J114,0)</f>
        <v>5557.2716942364787</v>
      </c>
      <c r="K42" s="268">
        <f>+IF([1]R!K114&gt;0,[1]R!K114,0)</f>
        <v>14740.831164475618</v>
      </c>
      <c r="L42" s="268">
        <f>+IF([1]R!L114&gt;0,[1]R!L114,0)</f>
        <v>10936.695548286472</v>
      </c>
      <c r="M42" s="268">
        <f>+IF([1]R!M114&gt;0,[1]R!M114,0)</f>
        <v>12509.793877763586</v>
      </c>
      <c r="N42" s="268">
        <f>+IF([1]R!N114&gt;0,[1]R!N114,0)</f>
        <v>7841.7553451031272</v>
      </c>
      <c r="O42" s="268">
        <f>+IF([1]R!O114&gt;0,[1]R!O114,0)</f>
        <v>1266.8765716645867</v>
      </c>
      <c r="P42" s="306">
        <f t="shared" si="6"/>
        <v>80992.44738687083</v>
      </c>
      <c r="Q42" s="246"/>
    </row>
    <row r="43" spans="2:19" hidden="1">
      <c r="C43" s="315" t="s">
        <v>45</v>
      </c>
      <c r="D43" s="268">
        <v>0</v>
      </c>
      <c r="E43" s="268">
        <v>0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/>
      <c r="P43" s="306">
        <f t="shared" si="6"/>
        <v>0</v>
      </c>
      <c r="Q43" s="246"/>
    </row>
    <row r="44" spans="2:19">
      <c r="C44" s="318" t="s">
        <v>42</v>
      </c>
      <c r="D44" s="282">
        <f t="shared" ref="D44:I44" si="14">SUM(D45:D53)</f>
        <v>68609.768559999997</v>
      </c>
      <c r="E44" s="282">
        <f t="shared" si="14"/>
        <v>64313.046679999999</v>
      </c>
      <c r="F44" s="282">
        <f t="shared" si="14"/>
        <v>70768.10070000001</v>
      </c>
      <c r="G44" s="282">
        <f t="shared" si="14"/>
        <v>64984.008390000003</v>
      </c>
      <c r="H44" s="282">
        <f t="shared" si="14"/>
        <v>64246.976790000015</v>
      </c>
      <c r="I44" s="282">
        <f t="shared" si="14"/>
        <v>61010.64991</v>
      </c>
      <c r="J44" s="282">
        <f t="shared" ref="J44:P44" si="15">SUM(J45:J53)</f>
        <v>61536.744140000003</v>
      </c>
      <c r="K44" s="282">
        <f t="shared" si="15"/>
        <v>63233.181960000002</v>
      </c>
      <c r="L44" s="282">
        <f t="shared" si="15"/>
        <v>63480.48090000001</v>
      </c>
      <c r="M44" s="282">
        <f t="shared" si="15"/>
        <v>65681.923039999994</v>
      </c>
      <c r="N44" s="282">
        <f>SUM(N45:N53)</f>
        <v>67023.229460000017</v>
      </c>
      <c r="O44" s="282">
        <f>SUM(O45:O53)</f>
        <v>70600.159639999998</v>
      </c>
      <c r="P44" s="319">
        <f t="shared" si="15"/>
        <v>785488.27017000003</v>
      </c>
      <c r="R44" s="278"/>
    </row>
    <row r="45" spans="2:19">
      <c r="B45" s="277"/>
      <c r="C45" s="315" t="s">
        <v>47</v>
      </c>
      <c r="D45" s="268">
        <f>+[3]R!D74</f>
        <v>13241.770420000001</v>
      </c>
      <c r="E45" s="268">
        <f>+[3]R!E74</f>
        <v>12282.05046</v>
      </c>
      <c r="F45" s="268">
        <f>+[3]R!F74</f>
        <v>13803.49401</v>
      </c>
      <c r="G45" s="268">
        <f>+[3]R!G74</f>
        <v>12621.595660000001</v>
      </c>
      <c r="H45" s="268">
        <f>+[3]R!H74</f>
        <v>12840.428729999998</v>
      </c>
      <c r="I45" s="268">
        <f>+[3]R!I74</f>
        <v>12332.854200000003</v>
      </c>
      <c r="J45" s="268">
        <f>+[3]R!J74</f>
        <v>12484.40612</v>
      </c>
      <c r="K45" s="268">
        <f>+[3]R!K74</f>
        <v>12619.216</v>
      </c>
      <c r="L45" s="268">
        <f>+[3]R!L74</f>
        <v>12315.05789</v>
      </c>
      <c r="M45" s="268">
        <f>+[3]R!M74</f>
        <v>12575.338</v>
      </c>
      <c r="N45" s="289">
        <f>+[3]R!N74</f>
        <v>12588.75203</v>
      </c>
      <c r="O45" s="268">
        <f>+[3]R!O74</f>
        <v>13378.773739999999</v>
      </c>
      <c r="P45" s="306">
        <f t="shared" si="6"/>
        <v>153083.73725999999</v>
      </c>
      <c r="Q45" s="277"/>
      <c r="R45" s="277">
        <v>136340.15807</v>
      </c>
      <c r="S45" s="278">
        <f>+R45-P45</f>
        <v>-16743.579189999989</v>
      </c>
    </row>
    <row r="46" spans="2:19">
      <c r="C46" s="315" t="s">
        <v>48</v>
      </c>
      <c r="D46" s="268">
        <f>+[3]R!D75</f>
        <v>38497.813829999999</v>
      </c>
      <c r="E46" s="268">
        <f>+[3]R!E75</f>
        <v>35642.547610000001</v>
      </c>
      <c r="F46" s="268">
        <f>+[3]R!F75</f>
        <v>40153.250659999998</v>
      </c>
      <c r="G46" s="268">
        <f>+[3]R!G75</f>
        <v>36606.065390000003</v>
      </c>
      <c r="H46" s="268">
        <f>+[3]R!H75</f>
        <v>37166.347190000008</v>
      </c>
      <c r="I46" s="268">
        <f>+[3]R!I75</f>
        <v>35990.085799999993</v>
      </c>
      <c r="J46" s="268">
        <f>+[3]R!J75</f>
        <v>36592.777199999997</v>
      </c>
      <c r="K46" s="268">
        <f>+[3]R!K75</f>
        <v>37177.736779999999</v>
      </c>
      <c r="L46" s="268">
        <f>+[3]R!L75</f>
        <v>36200.792600000008</v>
      </c>
      <c r="M46" s="268">
        <f>+[3]R!M75</f>
        <v>36876.177759999999</v>
      </c>
      <c r="N46" s="289">
        <f>+[3]R!N75</f>
        <v>36425.180260000008</v>
      </c>
      <c r="O46" s="268">
        <f>+[3]R!O75</f>
        <v>38625.638780000001</v>
      </c>
      <c r="P46" s="306">
        <f t="shared" si="6"/>
        <v>445954.41385999991</v>
      </c>
      <c r="Q46" s="277"/>
      <c r="R46" s="277">
        <v>358573.63988000009</v>
      </c>
      <c r="S46" s="278">
        <f t="shared" ref="S46:S53" si="16">+R46-P46</f>
        <v>-87380.773979999823</v>
      </c>
    </row>
    <row r="47" spans="2:19">
      <c r="C47" s="315" t="s">
        <v>50</v>
      </c>
      <c r="D47" s="268">
        <f>+[3]R!D76</f>
        <v>1361.9329600000001</v>
      </c>
      <c r="E47" s="268">
        <f>+[3]R!E76</f>
        <v>1257.03844</v>
      </c>
      <c r="F47" s="268">
        <f>+[3]R!F76</f>
        <v>1386.3933100000002</v>
      </c>
      <c r="G47" s="268">
        <f>+[3]R!G76</f>
        <v>1294.1971099999998</v>
      </c>
      <c r="H47" s="268">
        <f>+[3]R!H76</f>
        <v>1298.0632599999997</v>
      </c>
      <c r="I47" s="268">
        <f>+[3]R!I76</f>
        <v>1242.0160000000001</v>
      </c>
      <c r="J47" s="268">
        <f>+[3]R!J76</f>
        <v>1258.6811399999999</v>
      </c>
      <c r="K47" s="268">
        <f>+[3]R!K76</f>
        <v>1261.5877499999999</v>
      </c>
      <c r="L47" s="268">
        <f>+[3]R!L76</f>
        <v>1232.64688</v>
      </c>
      <c r="M47" s="268">
        <f>+[3]R!M76</f>
        <v>1307.93813</v>
      </c>
      <c r="N47" s="289">
        <f>+[3]R!N76</f>
        <v>1319.8010699999998</v>
      </c>
      <c r="O47" s="268">
        <f>+[3]R!O76</f>
        <v>1407.9710600000001</v>
      </c>
      <c r="P47" s="306">
        <f t="shared" si="6"/>
        <v>15628.267110000003</v>
      </c>
      <c r="Q47" s="277"/>
      <c r="R47" s="277">
        <v>14118.65835</v>
      </c>
      <c r="S47" s="278">
        <f t="shared" si="16"/>
        <v>-1509.6087600000028</v>
      </c>
    </row>
    <row r="48" spans="2:19">
      <c r="C48" s="315" t="s">
        <v>51</v>
      </c>
      <c r="D48" s="268">
        <f>+[3]R!D77</f>
        <v>935.87391000000014</v>
      </c>
      <c r="E48" s="268">
        <f>+[3]R!E77</f>
        <v>846.46357</v>
      </c>
      <c r="F48" s="268">
        <f>+[3]R!F77</f>
        <v>961.59951999999998</v>
      </c>
      <c r="G48" s="268">
        <f>+[3]R!G77</f>
        <v>950.44726999999989</v>
      </c>
      <c r="H48" s="268">
        <f>+[3]R!H77</f>
        <v>999.87716000000012</v>
      </c>
      <c r="I48" s="268">
        <f>+[3]R!I77</f>
        <v>982.74446000000012</v>
      </c>
      <c r="J48" s="268">
        <f>+[3]R!J77</f>
        <v>1053.73359</v>
      </c>
      <c r="K48" s="268">
        <f>+[3]R!K77</f>
        <v>1495.7675699999998</v>
      </c>
      <c r="L48" s="268">
        <f>+[3]R!L77</f>
        <v>1467.8354500000003</v>
      </c>
      <c r="M48" s="268">
        <f>+[3]R!M77</f>
        <v>1563.8700300000003</v>
      </c>
      <c r="N48" s="289">
        <f>+[3]R!N77</f>
        <v>1503.8707100000001</v>
      </c>
      <c r="O48" s="268">
        <f>+[3]R!O77</f>
        <v>1438.1752200000001</v>
      </c>
      <c r="P48" s="306">
        <f t="shared" si="6"/>
        <v>14200.258460000001</v>
      </c>
      <c r="Q48" s="277"/>
      <c r="R48" s="277">
        <v>11296.857999999998</v>
      </c>
      <c r="S48" s="278">
        <f t="shared" si="16"/>
        <v>-2903.4004600000026</v>
      </c>
    </row>
    <row r="49" spans="3:19">
      <c r="C49" s="315" t="s">
        <v>52</v>
      </c>
      <c r="D49" s="268">
        <f>+[3]R!D78</f>
        <v>888.00484999999981</v>
      </c>
      <c r="E49" s="268">
        <f>+[3]R!E78</f>
        <v>839.89986999999996</v>
      </c>
      <c r="F49" s="268">
        <f>+[3]R!F78</f>
        <v>903.61070999999993</v>
      </c>
      <c r="G49" s="268">
        <f>+[3]R!G78</f>
        <v>911.90021000000002</v>
      </c>
      <c r="H49" s="268">
        <f>+[3]R!H78</f>
        <v>931.03751</v>
      </c>
      <c r="I49" s="268">
        <f>+[3]R!I78</f>
        <v>951.7933300000002</v>
      </c>
      <c r="J49" s="268">
        <f>+[3]R!J78</f>
        <v>989.08831000000009</v>
      </c>
      <c r="K49" s="268">
        <f>+[3]R!K78</f>
        <v>949.6336</v>
      </c>
      <c r="L49" s="268">
        <f>+[3]R!L78</f>
        <v>969.74331000000006</v>
      </c>
      <c r="M49" s="268">
        <f>+[3]R!M78</f>
        <v>968.24823000000026</v>
      </c>
      <c r="N49" s="289">
        <f>+[3]R!N78</f>
        <v>922.64372000000014</v>
      </c>
      <c r="O49" s="268">
        <f>+[3]R!O78</f>
        <v>961.39201000000003</v>
      </c>
      <c r="P49" s="306">
        <f t="shared" si="6"/>
        <v>11186.99566</v>
      </c>
      <c r="Q49" s="277"/>
      <c r="R49" s="277">
        <v>10044.931789999999</v>
      </c>
      <c r="S49" s="278">
        <f t="shared" si="16"/>
        <v>-1142.0638700000018</v>
      </c>
    </row>
    <row r="50" spans="3:19">
      <c r="C50" s="315" t="s">
        <v>90</v>
      </c>
      <c r="D50" s="268">
        <f>+[3]R!D79</f>
        <v>1525.01081</v>
      </c>
      <c r="E50" s="268">
        <f>+[3]R!E79</f>
        <v>1393.1935000000003</v>
      </c>
      <c r="F50" s="268">
        <f>+[3]R!F79</f>
        <v>1557.65428</v>
      </c>
      <c r="G50" s="268">
        <f>+[3]R!G79</f>
        <v>1481.4776199999999</v>
      </c>
      <c r="H50" s="268">
        <f>+[3]R!H79</f>
        <v>1525.1279400000001</v>
      </c>
      <c r="I50" s="268">
        <f>+[3]R!I79</f>
        <v>1490.5834600000003</v>
      </c>
      <c r="J50" s="268">
        <f>+[3]R!J79</f>
        <v>1519.6596300000001</v>
      </c>
      <c r="K50" s="268">
        <f>+[3]R!K79</f>
        <v>1525.5105800000001</v>
      </c>
      <c r="L50" s="268">
        <f>+[3]R!L79</f>
        <v>1492.17399</v>
      </c>
      <c r="M50" s="268">
        <f>+[3]R!M79</f>
        <v>1542.66074</v>
      </c>
      <c r="N50" s="289">
        <f>+[3]R!N79</f>
        <v>1514.7393699999998</v>
      </c>
      <c r="O50" s="268">
        <f>+[3]R!O79</f>
        <v>1567.8657199999998</v>
      </c>
      <c r="P50" s="306">
        <f t="shared" si="6"/>
        <v>18135.657639999998</v>
      </c>
      <c r="Q50" s="277"/>
      <c r="R50" s="277">
        <v>16654.113239999999</v>
      </c>
      <c r="S50" s="278">
        <f t="shared" si="16"/>
        <v>-1481.5443999999989</v>
      </c>
    </row>
    <row r="51" spans="3:19">
      <c r="C51" s="315" t="s">
        <v>53</v>
      </c>
      <c r="D51" s="268">
        <f>+[3]R!D80</f>
        <v>2129.03692</v>
      </c>
      <c r="E51" s="268">
        <f>+[3]R!E80</f>
        <v>2028.11112</v>
      </c>
      <c r="F51" s="268">
        <f>+[3]R!F80</f>
        <v>2108.0343800000001</v>
      </c>
      <c r="G51" s="268">
        <f>+[3]R!G80</f>
        <v>1962.0957600000002</v>
      </c>
      <c r="H51" s="268">
        <f>+[3]R!H80</f>
        <v>1678.0634900000002</v>
      </c>
      <c r="I51" s="268">
        <f>+[3]R!I80</f>
        <v>1819.3040499999997</v>
      </c>
      <c r="J51" s="268">
        <f>+[3]R!J80</f>
        <v>2053.2412400000003</v>
      </c>
      <c r="K51" s="268">
        <f>+[3]R!K80</f>
        <v>1894.3732200000002</v>
      </c>
      <c r="L51" s="268">
        <f>+[3]R!L80</f>
        <v>2028.1586299999999</v>
      </c>
      <c r="M51" s="268">
        <f>+[3]R!M80</f>
        <v>1742.6135599999998</v>
      </c>
      <c r="N51" s="289">
        <f>+[3]R!N80</f>
        <v>2359.4590200000002</v>
      </c>
      <c r="O51" s="268">
        <f>+[3]R!O80</f>
        <v>2263.1009200000003</v>
      </c>
      <c r="P51" s="306">
        <f t="shared" si="6"/>
        <v>24065.592310000004</v>
      </c>
      <c r="Q51" s="277"/>
      <c r="R51" s="277">
        <v>22216.40337</v>
      </c>
      <c r="S51" s="278">
        <f t="shared" si="16"/>
        <v>-1849.1889400000036</v>
      </c>
    </row>
    <row r="52" spans="3:19">
      <c r="C52" s="315" t="s">
        <v>54</v>
      </c>
      <c r="D52" s="268">
        <f>+[3]R!D81</f>
        <v>56.703560000000003</v>
      </c>
      <c r="E52" s="268">
        <f>+[3]R!E81</f>
        <v>52.016560000000005</v>
      </c>
      <c r="F52" s="268">
        <f>+[3]R!F81</f>
        <v>62.193820000000002</v>
      </c>
      <c r="G52" s="268">
        <f>+[3]R!G81</f>
        <v>57.203160000000004</v>
      </c>
      <c r="H52" s="268">
        <f>+[3]R!H81</f>
        <v>58.594979999999993</v>
      </c>
      <c r="I52" s="268">
        <f>+[3]R!I81</f>
        <v>56.456479999999999</v>
      </c>
      <c r="J52" s="268">
        <f>+[3]R!J81</f>
        <v>56.617560000000005</v>
      </c>
      <c r="K52" s="268">
        <f>+[3]R!K81</f>
        <v>61.990219999999994</v>
      </c>
      <c r="L52" s="268">
        <f>+[3]R!L81</f>
        <v>57.121840000000013</v>
      </c>
      <c r="M52" s="268">
        <f>+[3]R!M81</f>
        <v>59.244839999999996</v>
      </c>
      <c r="N52" s="289">
        <f>+[3]R!N81</f>
        <v>60.155380000000008</v>
      </c>
      <c r="O52" s="268">
        <f>+[3]R!O81</f>
        <v>60.39461</v>
      </c>
      <c r="P52" s="306">
        <f t="shared" si="6"/>
        <v>698.69300999999996</v>
      </c>
      <c r="Q52" s="277"/>
      <c r="R52" s="277">
        <v>686.92673999999988</v>
      </c>
      <c r="S52" s="278">
        <f t="shared" si="16"/>
        <v>-11.766270000000077</v>
      </c>
    </row>
    <row r="53" spans="3:19">
      <c r="C53" s="307" t="s">
        <v>93</v>
      </c>
      <c r="D53" s="268">
        <f>+[3]R!D82</f>
        <v>9973.6213000000007</v>
      </c>
      <c r="E53" s="268">
        <f>+[3]R!E82</f>
        <v>9971.725550000001</v>
      </c>
      <c r="F53" s="268">
        <f>+[3]R!F82</f>
        <v>9831.8700099999987</v>
      </c>
      <c r="G53" s="268">
        <f>+[3]R!G82</f>
        <v>9099.02621</v>
      </c>
      <c r="H53" s="268">
        <f>+[3]R!H82</f>
        <v>7749.4365300000009</v>
      </c>
      <c r="I53" s="268">
        <f>+[3]R!I82</f>
        <v>6144.8121300000003</v>
      </c>
      <c r="J53" s="268">
        <f>+[3]R!J82</f>
        <v>5528.53935</v>
      </c>
      <c r="K53" s="268">
        <f>+[3]R!K82</f>
        <v>6247.3662399999994</v>
      </c>
      <c r="L53" s="268">
        <f>+[3]R!L82</f>
        <v>7716.9503100000002</v>
      </c>
      <c r="M53" s="268">
        <f>+[3]R!M82</f>
        <v>9045.8317499999994</v>
      </c>
      <c r="N53" s="289">
        <f>+[3]R!N82</f>
        <v>10328.627899999999</v>
      </c>
      <c r="O53" s="268">
        <f>+[3]R!O82</f>
        <v>10896.847580000001</v>
      </c>
      <c r="P53" s="306">
        <f t="shared" si="6"/>
        <v>102534.65485999998</v>
      </c>
      <c r="Q53" s="277"/>
      <c r="R53" s="277">
        <v>86154.576289999997</v>
      </c>
      <c r="S53" s="278">
        <f t="shared" si="16"/>
        <v>-16380.078569999983</v>
      </c>
    </row>
    <row r="54" spans="3:19">
      <c r="C54" s="318" t="s">
        <v>43</v>
      </c>
      <c r="D54" s="282">
        <f>+SUM(D55:D65)</f>
        <v>4210.4890800000003</v>
      </c>
      <c r="E54" s="282">
        <f t="shared" ref="E54:P54" si="17">+SUM(E55:E65)</f>
        <v>3920.6885800000005</v>
      </c>
      <c r="F54" s="282">
        <f t="shared" si="17"/>
        <v>4316.0510800000002</v>
      </c>
      <c r="G54" s="282">
        <f t="shared" si="17"/>
        <v>4158.9978000000001</v>
      </c>
      <c r="H54" s="282">
        <f t="shared" si="17"/>
        <v>4280.8605400000006</v>
      </c>
      <c r="I54" s="282">
        <f t="shared" si="17"/>
        <v>4131.5811100000001</v>
      </c>
      <c r="J54" s="282">
        <f t="shared" si="17"/>
        <v>3869.0176300000003</v>
      </c>
      <c r="K54" s="282">
        <f t="shared" si="17"/>
        <v>3985.8087300000011</v>
      </c>
      <c r="L54" s="282">
        <f t="shared" si="17"/>
        <v>3980.9940600000004</v>
      </c>
      <c r="M54" s="282">
        <f t="shared" si="17"/>
        <v>3880.1154499999998</v>
      </c>
      <c r="N54" s="282">
        <f>+SUM(N55:N65)</f>
        <v>3635.1332000000007</v>
      </c>
      <c r="O54" s="282">
        <f>+SUM(O55:O65)</f>
        <v>3992.41651</v>
      </c>
      <c r="P54" s="319">
        <f t="shared" si="17"/>
        <v>48362.15376999999</v>
      </c>
      <c r="Q54" s="277"/>
    </row>
    <row r="55" spans="3:19">
      <c r="C55" s="307" t="s">
        <v>56</v>
      </c>
      <c r="D55" s="268">
        <f>+[3]R!D86</f>
        <v>899.86658000000011</v>
      </c>
      <c r="E55" s="268">
        <f>+[3]R!E86</f>
        <v>832.42496999999992</v>
      </c>
      <c r="F55" s="268">
        <f>+[3]R!F86</f>
        <v>762.23281000000009</v>
      </c>
      <c r="G55" s="268">
        <f>+[3]R!G86</f>
        <v>781.25132999999994</v>
      </c>
      <c r="H55" s="268">
        <f>+[3]R!H86</f>
        <v>727.45101999999997</v>
      </c>
      <c r="I55" s="268">
        <f>+[3]R!I86</f>
        <v>777.43704000000002</v>
      </c>
      <c r="J55" s="268">
        <f>+[3]R!J86</f>
        <v>813.25525000000005</v>
      </c>
      <c r="K55" s="268">
        <f>+[3]R!K86</f>
        <v>834.22503000000006</v>
      </c>
      <c r="L55" s="268">
        <f>+[3]R!L86</f>
        <v>745.3210600000001</v>
      </c>
      <c r="M55" s="268">
        <f>+[3]R!M86</f>
        <v>753.79178000000002</v>
      </c>
      <c r="N55" s="268">
        <f>+[3]R!N86</f>
        <v>727.35005000000001</v>
      </c>
      <c r="O55" s="268">
        <f>+[3]R!O86</f>
        <v>870.89962000000003</v>
      </c>
      <c r="P55" s="306">
        <f t="shared" si="6"/>
        <v>9525.5065399999985</v>
      </c>
      <c r="Q55" s="327"/>
    </row>
    <row r="56" spans="3:19">
      <c r="C56" s="307" t="s">
        <v>59</v>
      </c>
      <c r="D56" s="268">
        <f>+[3]R!D87</f>
        <v>1250.1948200000002</v>
      </c>
      <c r="E56" s="268">
        <f>+[3]R!E87</f>
        <v>1296.8951900000002</v>
      </c>
      <c r="F56" s="268">
        <f>+[3]R!F87</f>
        <v>1538.02656</v>
      </c>
      <c r="G56" s="268">
        <f>+[3]R!G87</f>
        <v>1415.5393599999998</v>
      </c>
      <c r="H56" s="268">
        <f>+[3]R!H87</f>
        <v>1485.8012699999999</v>
      </c>
      <c r="I56" s="268">
        <f>+[3]R!I87</f>
        <v>1414.58845</v>
      </c>
      <c r="J56" s="268">
        <f>+[3]R!J87</f>
        <v>1065.0295599999999</v>
      </c>
      <c r="K56" s="268">
        <f>+[3]R!K87</f>
        <v>1126.5349699999999</v>
      </c>
      <c r="L56" s="268">
        <f>+[3]R!L87</f>
        <v>1136.2583100000002</v>
      </c>
      <c r="M56" s="268">
        <f>+[3]R!M87</f>
        <v>1171.77207</v>
      </c>
      <c r="N56" s="268">
        <f>+[3]R!N87</f>
        <v>1257.7506600000002</v>
      </c>
      <c r="O56" s="268">
        <f>+[3]R!O87</f>
        <v>1136.33806</v>
      </c>
      <c r="P56" s="306">
        <f t="shared" si="6"/>
        <v>15294.72928</v>
      </c>
      <c r="Q56" s="327"/>
    </row>
    <row r="57" spans="3:19">
      <c r="C57" s="307" t="s">
        <v>94</v>
      </c>
      <c r="D57" s="268">
        <f>+[3]R!D88</f>
        <v>326.54276999999996</v>
      </c>
      <c r="E57" s="268">
        <f>+[3]R!E88</f>
        <v>305.84465</v>
      </c>
      <c r="F57" s="268">
        <f>+[3]R!F88</f>
        <v>333.80289999999997</v>
      </c>
      <c r="G57" s="268">
        <f>+[3]R!G88</f>
        <v>352.56890000000004</v>
      </c>
      <c r="H57" s="268">
        <f>+[3]R!H88</f>
        <v>405.13867999999997</v>
      </c>
      <c r="I57" s="268">
        <f>+[3]R!I88</f>
        <v>415.89987000000002</v>
      </c>
      <c r="J57" s="268">
        <f>+[3]R!J88</f>
        <v>387.98727000000002</v>
      </c>
      <c r="K57" s="268">
        <f>+[3]R!K88</f>
        <v>370.30984000000001</v>
      </c>
      <c r="L57" s="268">
        <f>+[3]R!L88</f>
        <v>362.33556999999996</v>
      </c>
      <c r="M57" s="268">
        <f>+[3]R!M88</f>
        <v>331.83856999999995</v>
      </c>
      <c r="N57" s="268">
        <f>+[3]R!N88</f>
        <v>328.59697</v>
      </c>
      <c r="O57" s="268">
        <f>+[3]R!O88</f>
        <v>338.16287</v>
      </c>
      <c r="P57" s="306">
        <f t="shared" si="6"/>
        <v>4259.0288599999994</v>
      </c>
      <c r="Q57" s="277"/>
    </row>
    <row r="58" spans="3:19">
      <c r="C58" s="307" t="s">
        <v>96</v>
      </c>
      <c r="D58" s="268">
        <f>+[3]R!D89</f>
        <v>155.83989</v>
      </c>
      <c r="E58" s="268">
        <f>+[3]R!E89</f>
        <v>146.51076999999998</v>
      </c>
      <c r="F58" s="268">
        <f>+[3]R!F89</f>
        <v>158.61616000000001</v>
      </c>
      <c r="G58" s="268">
        <f>+[3]R!G89</f>
        <v>161.33157</v>
      </c>
      <c r="H58" s="268">
        <f>+[3]R!H89</f>
        <v>172.98801</v>
      </c>
      <c r="I58" s="268">
        <f>+[3]R!I89</f>
        <v>179.14108999999999</v>
      </c>
      <c r="J58" s="268">
        <f>+[3]R!J89</f>
        <v>161.71794</v>
      </c>
      <c r="K58" s="268">
        <f>+[3]R!K89</f>
        <v>188.44078999999999</v>
      </c>
      <c r="L58" s="268">
        <f>+[3]R!L89</f>
        <v>186.31517000000002</v>
      </c>
      <c r="M58" s="268">
        <f>+[3]R!M89</f>
        <v>191.99095</v>
      </c>
      <c r="N58" s="268">
        <f>+[3]R!N89</f>
        <v>183.03450999999998</v>
      </c>
      <c r="O58" s="268">
        <f>+[3]R!O89</f>
        <v>157.97319999999999</v>
      </c>
      <c r="P58" s="306">
        <f t="shared" si="6"/>
        <v>2043.9000500000002</v>
      </c>
      <c r="Q58" s="277"/>
    </row>
    <row r="59" spans="3:19">
      <c r="C59" s="307" t="s">
        <v>97</v>
      </c>
      <c r="D59" s="268">
        <f>+[3]R!D90</f>
        <v>455.35035999999997</v>
      </c>
      <c r="E59" s="268">
        <f>+[3]R!E90</f>
        <v>310.35821000000004</v>
      </c>
      <c r="F59" s="268">
        <f>+[3]R!F90</f>
        <v>327.22132999999997</v>
      </c>
      <c r="G59" s="268">
        <f>+[3]R!G90</f>
        <v>276.15980999999999</v>
      </c>
      <c r="H59" s="268">
        <f>+[3]R!H90</f>
        <v>270.01695999999998</v>
      </c>
      <c r="I59" s="268">
        <f>+[3]R!I90</f>
        <v>174.65110000000001</v>
      </c>
      <c r="J59" s="268">
        <f>+[3]R!J90</f>
        <v>246.17968999999999</v>
      </c>
      <c r="K59" s="268">
        <f>+[3]R!K90</f>
        <v>319.06682999999998</v>
      </c>
      <c r="L59" s="268">
        <f>+[3]R!L90</f>
        <v>299.87313</v>
      </c>
      <c r="M59" s="268">
        <f>+[3]R!M90</f>
        <v>209.92122000000001</v>
      </c>
      <c r="N59" s="268">
        <f>+[3]R!N90</f>
        <v>178.09720000000002</v>
      </c>
      <c r="O59" s="268">
        <f>+[3]R!O90</f>
        <v>360.18045000000001</v>
      </c>
      <c r="P59" s="306">
        <f t="shared" si="6"/>
        <v>3427.07629</v>
      </c>
      <c r="Q59" s="277"/>
    </row>
    <row r="60" spans="3:19">
      <c r="C60" s="307" t="s">
        <v>100</v>
      </c>
      <c r="D60" s="268">
        <f>+[3]R!D91</f>
        <v>949.22348999999997</v>
      </c>
      <c r="E60" s="268">
        <f>+[3]R!E91</f>
        <v>875.22761000000003</v>
      </c>
      <c r="F60" s="268">
        <f>+[3]R!F91</f>
        <v>993.53640000000019</v>
      </c>
      <c r="G60" s="268">
        <f>+[3]R!G91</f>
        <v>968.32399999999996</v>
      </c>
      <c r="H60" s="268">
        <f>+[3]R!H91</f>
        <v>1011.874</v>
      </c>
      <c r="I60" s="268">
        <f>+[3]R!I91</f>
        <v>967.86540000000002</v>
      </c>
      <c r="J60" s="268">
        <f>+[3]R!J91</f>
        <v>991.23258999999996</v>
      </c>
      <c r="K60" s="268">
        <f>+[3]R!K91</f>
        <v>938.54039000000012</v>
      </c>
      <c r="L60" s="268">
        <f>+[3]R!L91</f>
        <v>939.2178100000001</v>
      </c>
      <c r="M60" s="268">
        <f>+[3]R!M91</f>
        <v>907.04446999999993</v>
      </c>
      <c r="N60" s="268">
        <f>+[3]R!N91</f>
        <v>590.35289</v>
      </c>
      <c r="O60" s="268">
        <f>+[3]R!O91</f>
        <v>716.46336999999994</v>
      </c>
      <c r="P60" s="306">
        <f t="shared" si="6"/>
        <v>10848.90242</v>
      </c>
      <c r="Q60" s="305"/>
    </row>
    <row r="61" spans="3:19">
      <c r="C61" s="307" t="s">
        <v>101</v>
      </c>
      <c r="D61" s="268">
        <f>+[3]R!D92</f>
        <v>8.0373900000000003</v>
      </c>
      <c r="E61" s="268">
        <f>+[3]R!E92</f>
        <v>5.658030000000001</v>
      </c>
      <c r="F61" s="268">
        <f>+[3]R!F92</f>
        <v>6.6264800000000008</v>
      </c>
      <c r="G61" s="268">
        <f>+[3]R!G92</f>
        <v>8.7020499999999998</v>
      </c>
      <c r="H61" s="268">
        <f>+[3]R!H92</f>
        <v>6.6763199999999996</v>
      </c>
      <c r="I61" s="268">
        <f>+[3]R!I92</f>
        <v>6.2440899999999999</v>
      </c>
      <c r="J61" s="268">
        <f>+[3]R!J92</f>
        <v>14.25972</v>
      </c>
      <c r="K61" s="268">
        <f>+[3]R!K92</f>
        <v>17.118980000000001</v>
      </c>
      <c r="L61" s="268">
        <f>+[3]R!L92</f>
        <v>104.7196</v>
      </c>
      <c r="M61" s="268">
        <f>+[3]R!M92</f>
        <v>102.53888999999999</v>
      </c>
      <c r="N61" s="268">
        <f>+[3]R!N92</f>
        <v>156.20782</v>
      </c>
      <c r="O61" s="268">
        <f>+[3]R!O92</f>
        <v>211.30477000000002</v>
      </c>
      <c r="P61" s="306">
        <f t="shared" si="6"/>
        <v>648.09413999999992</v>
      </c>
      <c r="Q61" s="277"/>
    </row>
    <row r="62" spans="3:19">
      <c r="C62" s="307" t="s">
        <v>107</v>
      </c>
      <c r="D62" s="268">
        <f>+[3]R!D93</f>
        <v>109.0149</v>
      </c>
      <c r="E62" s="268">
        <f>+[3]R!E93</f>
        <v>100.50804000000001</v>
      </c>
      <c r="F62" s="268">
        <f>+[3]R!F93</f>
        <v>111.0795</v>
      </c>
      <c r="G62" s="268">
        <f>+[3]R!G93</f>
        <v>100.94198999999999</v>
      </c>
      <c r="H62" s="268">
        <f>+[3]R!H93</f>
        <v>101.42869999999999</v>
      </c>
      <c r="I62" s="268">
        <f>+[3]R!I93</f>
        <v>96.777100000000004</v>
      </c>
      <c r="J62" s="268">
        <f>+[3]R!J93</f>
        <v>100.4683</v>
      </c>
      <c r="K62" s="268">
        <f>+[3]R!K93</f>
        <v>103.72418</v>
      </c>
      <c r="L62" s="268">
        <f>+[3]R!L93</f>
        <v>101.05806999999999</v>
      </c>
      <c r="M62" s="268">
        <f>+[3]R!M93</f>
        <v>108.79876000000002</v>
      </c>
      <c r="N62" s="268">
        <f>+[3]R!N93</f>
        <v>110.56180999999999</v>
      </c>
      <c r="O62" s="268">
        <f>+[3]R!O93</f>
        <v>121.24518</v>
      </c>
      <c r="P62" s="306">
        <f t="shared" si="6"/>
        <v>1265.60653</v>
      </c>
      <c r="Q62" s="277"/>
    </row>
    <row r="63" spans="3:19">
      <c r="C63" s="307" t="s">
        <v>108</v>
      </c>
      <c r="D63" s="268">
        <f>+[3]R!D94</f>
        <v>24.740179999999999</v>
      </c>
      <c r="E63" s="268">
        <f>+[3]R!E94</f>
        <v>15.159700000000001</v>
      </c>
      <c r="F63" s="268">
        <f>+[3]R!F94</f>
        <v>21.625070000000001</v>
      </c>
      <c r="G63" s="268">
        <f>+[3]R!G94</f>
        <v>25.693470000000001</v>
      </c>
      <c r="H63" s="268">
        <f>+[3]R!H94</f>
        <v>25.674739999999996</v>
      </c>
      <c r="I63" s="268">
        <f>+[3]R!I94</f>
        <v>27.86429</v>
      </c>
      <c r="J63" s="268">
        <f>+[3]R!J94</f>
        <v>28.283560000000001</v>
      </c>
      <c r="K63" s="268">
        <f>+[3]R!K94</f>
        <v>27.20186</v>
      </c>
      <c r="L63" s="268">
        <f>+[3]R!L94</f>
        <v>27.04336</v>
      </c>
      <c r="M63" s="268">
        <f>+[3]R!M94</f>
        <v>26.338570000000001</v>
      </c>
      <c r="N63" s="268">
        <f>+[3]R!N94</f>
        <v>25.418759999999999</v>
      </c>
      <c r="O63" s="268">
        <f>+[3]R!O94</f>
        <v>26.67586</v>
      </c>
      <c r="P63" s="306">
        <f t="shared" si="6"/>
        <v>301.71942000000001</v>
      </c>
      <c r="Q63" s="277"/>
    </row>
    <row r="64" spans="3:19">
      <c r="C64" s="307" t="s">
        <v>111</v>
      </c>
      <c r="D64" s="268">
        <f>+[3]R!D95</f>
        <v>31.678699999999999</v>
      </c>
      <c r="E64" s="268">
        <f>+[3]R!E95</f>
        <v>32.101410000000001</v>
      </c>
      <c r="F64" s="268">
        <f>+[3]R!F95</f>
        <v>63.28387</v>
      </c>
      <c r="G64" s="268">
        <f>+[3]R!G95</f>
        <v>68.485319999999987</v>
      </c>
      <c r="H64" s="268">
        <f>+[3]R!H95</f>
        <v>73.810839999999999</v>
      </c>
      <c r="I64" s="268">
        <f>+[3]R!I95</f>
        <v>71.112679999999997</v>
      </c>
      <c r="J64" s="268">
        <f>+[3]R!J95</f>
        <v>60.603749999999998</v>
      </c>
      <c r="K64" s="268">
        <f>+[3]R!K95</f>
        <v>60.645859999999999</v>
      </c>
      <c r="L64" s="268">
        <f>+[3]R!L95</f>
        <v>78.851979999999998</v>
      </c>
      <c r="M64" s="268">
        <f>+[3]R!M95</f>
        <v>76.080169999999995</v>
      </c>
      <c r="N64" s="268">
        <f>+[3]R!N95</f>
        <v>77.762529999999998</v>
      </c>
      <c r="O64" s="268">
        <f>+[3]R!O95</f>
        <v>53.17313</v>
      </c>
      <c r="P64" s="306">
        <f t="shared" si="6"/>
        <v>747.59023999999999</v>
      </c>
      <c r="Q64" s="277"/>
    </row>
    <row r="65" spans="1:248" ht="12" thickBot="1">
      <c r="C65" s="308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309">
        <f t="shared" si="6"/>
        <v>0</v>
      </c>
      <c r="Q65" s="277"/>
    </row>
    <row r="66" spans="1:248" ht="12" thickTop="1">
      <c r="D66" s="293">
        <f t="shared" ref="D66:O66" si="18">+D34/D28</f>
        <v>4.1651617564956514E-3</v>
      </c>
      <c r="E66" s="293">
        <f t="shared" si="18"/>
        <v>4.3632539704144624E-3</v>
      </c>
      <c r="F66" s="293">
        <f t="shared" si="18"/>
        <v>3.5797956453048063E-3</v>
      </c>
      <c r="G66" s="293">
        <f t="shared" si="18"/>
        <v>4.0900919560137071E-3</v>
      </c>
      <c r="H66" s="293">
        <f t="shared" si="18"/>
        <v>4.3414986230848659E-3</v>
      </c>
      <c r="I66" s="293">
        <f t="shared" si="18"/>
        <v>4.5715397638385769E-3</v>
      </c>
      <c r="J66" s="293">
        <f t="shared" si="18"/>
        <v>4.7338616267283808E-3</v>
      </c>
      <c r="K66" s="293">
        <f t="shared" si="18"/>
        <v>4.2250611983665849E-3</v>
      </c>
      <c r="L66" s="293">
        <f t="shared" si="18"/>
        <v>3.8388372303342884E-3</v>
      </c>
      <c r="M66" s="293">
        <f t="shared" si="18"/>
        <v>3.6755228378360766E-3</v>
      </c>
      <c r="N66" s="293">
        <f t="shared" si="18"/>
        <v>3.7859482676059443E-3</v>
      </c>
      <c r="O66" s="293">
        <f t="shared" si="18"/>
        <v>3.9335403929087994E-3</v>
      </c>
    </row>
    <row r="67" spans="1:248">
      <c r="D67" s="294"/>
      <c r="E67" s="295"/>
      <c r="F67" s="294"/>
      <c r="G67" s="294"/>
      <c r="H67" s="294"/>
      <c r="L67" s="246"/>
      <c r="M67" s="246"/>
    </row>
    <row r="68" spans="1:248">
      <c r="C68" s="221" t="s">
        <v>92</v>
      </c>
      <c r="D68" s="294"/>
      <c r="E68" s="295"/>
      <c r="F68" s="294"/>
      <c r="G68" s="294"/>
      <c r="H68" s="294"/>
      <c r="L68" s="246"/>
      <c r="M68" s="246"/>
    </row>
    <row r="69" spans="1:248" s="231" customFormat="1">
      <c r="A69" s="221"/>
      <c r="B69" s="221"/>
      <c r="C69" s="221"/>
      <c r="D69" s="106">
        <f t="shared" ref="D69:O69" si="19">D40-D41</f>
        <v>72820.257639999996</v>
      </c>
      <c r="E69" s="106">
        <f t="shared" si="19"/>
        <v>68233.735260000001</v>
      </c>
      <c r="F69" s="106">
        <f t="shared" si="19"/>
        <v>75084.151780000015</v>
      </c>
      <c r="G69" s="106">
        <f t="shared" si="19"/>
        <v>69143.00619</v>
      </c>
      <c r="H69" s="106">
        <f t="shared" si="19"/>
        <v>68527.837330000009</v>
      </c>
      <c r="I69" s="106">
        <f t="shared" si="19"/>
        <v>65142.231019999999</v>
      </c>
      <c r="J69" s="106">
        <f t="shared" si="19"/>
        <v>65405.761770000012</v>
      </c>
      <c r="K69" s="106">
        <f t="shared" si="19"/>
        <v>67218.990690000006</v>
      </c>
      <c r="L69" s="106">
        <f t="shared" si="19"/>
        <v>67461.474960000007</v>
      </c>
      <c r="M69" s="106">
        <f t="shared" si="19"/>
        <v>69562.038489999992</v>
      </c>
      <c r="N69" s="106">
        <f t="shared" si="19"/>
        <v>70658.362660000013</v>
      </c>
      <c r="O69" s="106">
        <f t="shared" si="19"/>
        <v>74592.576149999994</v>
      </c>
    </row>
    <row r="70" spans="1:248"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  <c r="BW70" s="231"/>
      <c r="BX70" s="231"/>
      <c r="BY70" s="231"/>
      <c r="BZ70" s="231"/>
      <c r="CA70" s="231"/>
      <c r="CB70" s="231"/>
      <c r="CC70" s="231"/>
      <c r="CD70" s="231"/>
      <c r="CE70" s="231"/>
      <c r="CF70" s="231"/>
      <c r="CG70" s="231"/>
      <c r="CH70" s="231"/>
      <c r="CI70" s="231"/>
      <c r="CJ70" s="231"/>
      <c r="CK70" s="231"/>
      <c r="CL70" s="231"/>
      <c r="CM70" s="231"/>
      <c r="CN70" s="231"/>
      <c r="CO70" s="231"/>
      <c r="CP70" s="231"/>
      <c r="CQ70" s="231"/>
      <c r="CR70" s="231"/>
      <c r="CS70" s="231"/>
      <c r="CT70" s="231"/>
      <c r="CU70" s="231"/>
      <c r="CV70" s="231"/>
      <c r="CW70" s="231"/>
      <c r="CX70" s="231"/>
      <c r="CY70" s="231"/>
      <c r="CZ70" s="231"/>
      <c r="DA70" s="231"/>
      <c r="DB70" s="231"/>
      <c r="DC70" s="231"/>
      <c r="DD70" s="231"/>
      <c r="DE70" s="231"/>
      <c r="DF70" s="231"/>
      <c r="DG70" s="231"/>
      <c r="DH70" s="231"/>
      <c r="DI70" s="231"/>
      <c r="DJ70" s="231"/>
      <c r="DK70" s="231"/>
      <c r="DL70" s="231"/>
      <c r="DM70" s="231"/>
      <c r="DN70" s="231"/>
      <c r="DO70" s="231"/>
      <c r="DP70" s="231"/>
      <c r="DQ70" s="231"/>
      <c r="DR70" s="231"/>
      <c r="DS70" s="231"/>
      <c r="DT70" s="231"/>
      <c r="DU70" s="231"/>
      <c r="DV70" s="231"/>
      <c r="DW70" s="231"/>
      <c r="DX70" s="231"/>
      <c r="DY70" s="231"/>
      <c r="DZ70" s="231"/>
      <c r="EA70" s="231"/>
      <c r="EB70" s="231"/>
      <c r="EC70" s="231"/>
      <c r="ED70" s="231"/>
      <c r="EE70" s="231"/>
      <c r="EF70" s="231"/>
      <c r="EG70" s="231"/>
      <c r="EH70" s="231"/>
      <c r="EI70" s="231"/>
      <c r="EJ70" s="231"/>
      <c r="EK70" s="231"/>
      <c r="EL70" s="231"/>
      <c r="EM70" s="231"/>
      <c r="EN70" s="231"/>
      <c r="EO70" s="231"/>
      <c r="EP70" s="231"/>
      <c r="EQ70" s="231"/>
      <c r="ER70" s="231"/>
      <c r="ES70" s="231"/>
      <c r="ET70" s="231"/>
      <c r="EU70" s="231"/>
      <c r="EV70" s="231"/>
      <c r="EW70" s="231"/>
      <c r="EX70" s="231"/>
      <c r="EY70" s="231"/>
      <c r="EZ70" s="231"/>
      <c r="FA70" s="231"/>
      <c r="FB70" s="231"/>
      <c r="FC70" s="231"/>
      <c r="FD70" s="231"/>
      <c r="FE70" s="231"/>
      <c r="FF70" s="231"/>
      <c r="FG70" s="231"/>
      <c r="FH70" s="231"/>
      <c r="FI70" s="231"/>
      <c r="FJ70" s="231"/>
      <c r="FK70" s="231"/>
      <c r="FL70" s="231"/>
      <c r="FM70" s="231"/>
      <c r="FN70" s="231"/>
      <c r="FO70" s="231"/>
      <c r="FP70" s="231"/>
      <c r="FQ70" s="231"/>
      <c r="FR70" s="231"/>
      <c r="FS70" s="231"/>
      <c r="FT70" s="231"/>
      <c r="FU70" s="231"/>
      <c r="FV70" s="231"/>
      <c r="FW70" s="231"/>
      <c r="FX70" s="231"/>
      <c r="FY70" s="231"/>
      <c r="FZ70" s="231"/>
      <c r="GA70" s="231"/>
      <c r="GB70" s="231"/>
      <c r="GC70" s="231"/>
      <c r="GD70" s="231"/>
      <c r="GE70" s="231"/>
      <c r="GF70" s="231"/>
      <c r="GG70" s="231"/>
      <c r="GH70" s="231"/>
      <c r="GI70" s="231"/>
      <c r="GJ70" s="231"/>
      <c r="GK70" s="231"/>
      <c r="GL70" s="231"/>
      <c r="GM70" s="231"/>
      <c r="GN70" s="231"/>
      <c r="GO70" s="231"/>
      <c r="GP70" s="231"/>
      <c r="GQ70" s="231"/>
      <c r="GR70" s="231"/>
      <c r="GS70" s="231"/>
      <c r="GT70" s="231"/>
      <c r="GU70" s="231"/>
      <c r="GV70" s="231"/>
      <c r="GW70" s="231"/>
      <c r="GX70" s="231"/>
      <c r="GY70" s="231"/>
      <c r="GZ70" s="231"/>
      <c r="HA70" s="231"/>
      <c r="HB70" s="231"/>
      <c r="HC70" s="231"/>
      <c r="HD70" s="231"/>
      <c r="HE70" s="231"/>
      <c r="HF70" s="231"/>
      <c r="HG70" s="231"/>
      <c r="HH70" s="231"/>
      <c r="HI70" s="231"/>
      <c r="HJ70" s="231"/>
      <c r="HK70" s="231"/>
      <c r="HL70" s="231"/>
      <c r="HM70" s="231"/>
      <c r="HN70" s="231"/>
      <c r="HO70" s="231"/>
      <c r="HP70" s="231"/>
      <c r="HQ70" s="231"/>
      <c r="HR70" s="231"/>
      <c r="HS70" s="231"/>
      <c r="HT70" s="231"/>
      <c r="HU70" s="231"/>
      <c r="HV70" s="231"/>
      <c r="HW70" s="231"/>
      <c r="HX70" s="231"/>
      <c r="HY70" s="231"/>
      <c r="HZ70" s="231"/>
      <c r="IA70" s="231"/>
      <c r="IB70" s="231"/>
      <c r="IC70" s="231"/>
      <c r="ID70" s="231"/>
      <c r="IE70" s="231"/>
      <c r="IF70" s="231"/>
      <c r="IG70" s="231"/>
      <c r="IH70" s="231"/>
      <c r="II70" s="231"/>
      <c r="IJ70" s="231"/>
      <c r="IK70" s="231"/>
      <c r="IL70" s="231"/>
      <c r="IM70" s="231"/>
      <c r="IN70" s="231"/>
    </row>
    <row r="71" spans="1:248">
      <c r="D71" s="297">
        <f t="shared" ref="D71:O71" si="20">+D39-D40</f>
        <v>0</v>
      </c>
      <c r="E71" s="297">
        <f t="shared" si="20"/>
        <v>0</v>
      </c>
      <c r="F71" s="297">
        <f t="shared" si="20"/>
        <v>0</v>
      </c>
      <c r="G71" s="297">
        <f t="shared" si="20"/>
        <v>0</v>
      </c>
      <c r="H71" s="297">
        <f t="shared" si="20"/>
        <v>0</v>
      </c>
      <c r="I71" s="297">
        <f t="shared" si="20"/>
        <v>0</v>
      </c>
      <c r="J71" s="297">
        <f t="shared" si="20"/>
        <v>0</v>
      </c>
      <c r="K71" s="297">
        <f t="shared" si="20"/>
        <v>0</v>
      </c>
      <c r="L71" s="297">
        <f t="shared" si="20"/>
        <v>0</v>
      </c>
      <c r="M71" s="297">
        <f t="shared" si="20"/>
        <v>0</v>
      </c>
      <c r="N71" s="297">
        <f t="shared" si="20"/>
        <v>-349.07765999999538</v>
      </c>
      <c r="O71" s="297">
        <f t="shared" si="20"/>
        <v>0</v>
      </c>
      <c r="P71" s="297"/>
    </row>
    <row r="72" spans="1:248">
      <c r="B72" s="278"/>
      <c r="C72" s="249"/>
      <c r="D72" s="297">
        <f t="shared" ref="D72:O72" si="21">+D71*0.4</f>
        <v>0</v>
      </c>
      <c r="E72" s="297">
        <f t="shared" si="21"/>
        <v>0</v>
      </c>
      <c r="F72" s="297">
        <f t="shared" si="21"/>
        <v>0</v>
      </c>
      <c r="G72" s="297">
        <f t="shared" si="21"/>
        <v>0</v>
      </c>
      <c r="H72" s="297">
        <f t="shared" si="21"/>
        <v>0</v>
      </c>
      <c r="I72" s="297">
        <f>+I71*0.4</f>
        <v>0</v>
      </c>
      <c r="J72" s="297">
        <f t="shared" si="21"/>
        <v>0</v>
      </c>
      <c r="K72" s="297">
        <f t="shared" si="21"/>
        <v>0</v>
      </c>
      <c r="L72" s="297">
        <f t="shared" si="21"/>
        <v>0</v>
      </c>
      <c r="M72" s="297">
        <f t="shared" si="21"/>
        <v>0</v>
      </c>
      <c r="N72" s="297">
        <f t="shared" si="21"/>
        <v>-139.63106399999816</v>
      </c>
      <c r="O72" s="297">
        <f t="shared" si="21"/>
        <v>0</v>
      </c>
      <c r="P72" s="297"/>
    </row>
    <row r="73" spans="1:248">
      <c r="B73" s="278"/>
      <c r="C73" s="249"/>
      <c r="D73" s="297">
        <f t="shared" ref="D73:O73" si="22">+D71*0.6</f>
        <v>0</v>
      </c>
      <c r="E73" s="297">
        <f t="shared" si="22"/>
        <v>0</v>
      </c>
      <c r="F73" s="297">
        <f t="shared" si="22"/>
        <v>0</v>
      </c>
      <c r="G73" s="297">
        <f t="shared" si="22"/>
        <v>0</v>
      </c>
      <c r="H73" s="297">
        <f t="shared" si="22"/>
        <v>0</v>
      </c>
      <c r="I73" s="297">
        <f>+I71*0.6</f>
        <v>0</v>
      </c>
      <c r="J73" s="297">
        <f t="shared" si="22"/>
        <v>0</v>
      </c>
      <c r="K73" s="297">
        <f t="shared" si="22"/>
        <v>0</v>
      </c>
      <c r="L73" s="297">
        <f t="shared" si="22"/>
        <v>0</v>
      </c>
      <c r="M73" s="297">
        <f t="shared" si="22"/>
        <v>0</v>
      </c>
      <c r="N73" s="297">
        <f t="shared" si="22"/>
        <v>-209.44659599999721</v>
      </c>
      <c r="O73" s="297">
        <f t="shared" si="22"/>
        <v>0</v>
      </c>
      <c r="P73" s="297"/>
    </row>
    <row r="74" spans="1:248"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7"/>
      <c r="P74" s="297"/>
    </row>
    <row r="75" spans="1:248">
      <c r="D75" s="300">
        <f t="shared" ref="D75:O75" si="23">D36/D27</f>
        <v>1.5654869815611268E-2</v>
      </c>
      <c r="E75" s="300">
        <f t="shared" si="23"/>
        <v>1.6680564744959131E-2</v>
      </c>
      <c r="F75" s="300">
        <f t="shared" si="23"/>
        <v>1.5665919192137917E-2</v>
      </c>
      <c r="G75" s="300">
        <f t="shared" si="23"/>
        <v>1.5906772165698999E-2</v>
      </c>
      <c r="H75" s="300">
        <f t="shared" si="23"/>
        <v>1.5887222054396844E-2</v>
      </c>
      <c r="I75" s="300">
        <f t="shared" si="23"/>
        <v>1.6321127350170696E-2</v>
      </c>
      <c r="J75" s="300">
        <f t="shared" si="23"/>
        <v>1.6170096653074326E-2</v>
      </c>
      <c r="K75" s="300">
        <f t="shared" si="23"/>
        <v>1.5315216052254442E-2</v>
      </c>
      <c r="L75" s="300">
        <f t="shared" si="23"/>
        <v>1.6469471603891561E-2</v>
      </c>
      <c r="M75" s="300">
        <f t="shared" si="23"/>
        <v>1.5805389955557941E-2</v>
      </c>
      <c r="N75" s="300">
        <f t="shared" si="23"/>
        <v>1.8747128468417359E-2</v>
      </c>
      <c r="O75" s="300">
        <f t="shared" si="23"/>
        <v>1.5108244437080334E-2</v>
      </c>
    </row>
    <row r="76" spans="1:248">
      <c r="D76" s="246"/>
      <c r="E76" s="246"/>
      <c r="F76" s="246"/>
      <c r="G76" s="246"/>
      <c r="H76" s="246"/>
      <c r="I76" s="246"/>
      <c r="J76" s="246"/>
      <c r="K76" s="301"/>
      <c r="L76" s="246"/>
      <c r="M76" s="246"/>
      <c r="N76" s="246"/>
      <c r="O76" s="246"/>
    </row>
    <row r="77" spans="1:248">
      <c r="D77" s="237"/>
      <c r="E77" s="237"/>
      <c r="F77" s="246"/>
      <c r="G77" s="237"/>
      <c r="H77" s="237"/>
      <c r="I77" s="237"/>
      <c r="J77" s="237"/>
      <c r="K77" s="237"/>
      <c r="L77" s="237"/>
      <c r="M77" s="237"/>
      <c r="N77" s="237"/>
      <c r="O77" s="237"/>
    </row>
    <row r="78" spans="1:248">
      <c r="D78" s="278">
        <f>+D44</f>
        <v>68609.768559999997</v>
      </c>
      <c r="E78" s="278">
        <f t="shared" ref="E78:P78" si="24">+E44</f>
        <v>64313.046679999999</v>
      </c>
      <c r="F78" s="278">
        <f t="shared" si="24"/>
        <v>70768.10070000001</v>
      </c>
      <c r="G78" s="278">
        <f t="shared" si="24"/>
        <v>64984.008390000003</v>
      </c>
      <c r="H78" s="278">
        <f t="shared" si="24"/>
        <v>64246.976790000015</v>
      </c>
      <c r="I78" s="278">
        <f t="shared" si="24"/>
        <v>61010.64991</v>
      </c>
      <c r="J78" s="278">
        <f t="shared" si="24"/>
        <v>61536.744140000003</v>
      </c>
      <c r="K78" s="278">
        <f t="shared" si="24"/>
        <v>63233.181960000002</v>
      </c>
      <c r="L78" s="278">
        <f t="shared" si="24"/>
        <v>63480.48090000001</v>
      </c>
      <c r="M78" s="278">
        <f t="shared" si="24"/>
        <v>65681.923039999994</v>
      </c>
      <c r="N78" s="278">
        <f t="shared" si="24"/>
        <v>67023.229460000017</v>
      </c>
      <c r="O78" s="278">
        <f t="shared" si="24"/>
        <v>70600.159639999998</v>
      </c>
      <c r="P78" s="278">
        <f t="shared" si="24"/>
        <v>785488.27017000003</v>
      </c>
    </row>
    <row r="79" spans="1:248">
      <c r="D79" s="277">
        <v>58564.59074</v>
      </c>
      <c r="E79" s="277">
        <v>51480.286209999991</v>
      </c>
      <c r="F79" s="277">
        <v>57181.095580000008</v>
      </c>
      <c r="G79" s="277">
        <v>53157.191729999999</v>
      </c>
      <c r="H79" s="277">
        <v>52902.225720000002</v>
      </c>
      <c r="I79" s="277">
        <v>50573.205030000012</v>
      </c>
      <c r="J79" s="277">
        <v>52218.215130000004</v>
      </c>
      <c r="K79" s="277">
        <v>53292.812889999994</v>
      </c>
      <c r="L79" s="277">
        <v>54127.697630000002</v>
      </c>
      <c r="M79" s="277">
        <v>56769.51225</v>
      </c>
      <c r="N79" s="277">
        <v>56747.454039999997</v>
      </c>
      <c r="O79" s="221">
        <v>59071.978780000005</v>
      </c>
      <c r="P79" s="221">
        <v>656086.26572999998</v>
      </c>
    </row>
    <row r="80" spans="1:248">
      <c r="D80" s="325">
        <f>+D78-D79</f>
        <v>10045.177819999997</v>
      </c>
      <c r="E80" s="325">
        <f t="shared" ref="E80:P80" si="25">+E78-E79</f>
        <v>12832.760470000008</v>
      </c>
      <c r="F80" s="325">
        <f t="shared" si="25"/>
        <v>13587.005120000002</v>
      </c>
      <c r="G80" s="325">
        <f t="shared" si="25"/>
        <v>11826.816660000004</v>
      </c>
      <c r="H80" s="325">
        <f t="shared" si="25"/>
        <v>11344.751070000013</v>
      </c>
      <c r="I80" s="325">
        <f t="shared" si="25"/>
        <v>10437.444879999988</v>
      </c>
      <c r="J80" s="325">
        <f t="shared" si="25"/>
        <v>9318.5290099999984</v>
      </c>
      <c r="K80" s="325">
        <f t="shared" si="25"/>
        <v>9940.3690700000079</v>
      </c>
      <c r="L80" s="325">
        <f t="shared" si="25"/>
        <v>9352.7832700000072</v>
      </c>
      <c r="M80" s="325">
        <f t="shared" si="25"/>
        <v>8912.4107899999944</v>
      </c>
      <c r="N80" s="325">
        <f t="shared" si="25"/>
        <v>10275.77542000002</v>
      </c>
      <c r="O80" s="325">
        <f t="shared" si="25"/>
        <v>11528.180859999993</v>
      </c>
      <c r="P80" s="325">
        <f t="shared" si="25"/>
        <v>129402.00444000005</v>
      </c>
    </row>
    <row r="81" spans="4:15"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</row>
    <row r="83" spans="4:15">
      <c r="I83" s="277"/>
      <c r="J83" s="277"/>
      <c r="K83" s="277"/>
      <c r="L83" s="277"/>
      <c r="M83" s="277"/>
      <c r="N83" s="277"/>
      <c r="O83" s="277"/>
    </row>
  </sheetData>
  <printOptions horizontalCentered="1"/>
  <pageMargins left="0.39370078740157483" right="0.39370078740157483" top="1.3779527559055118" bottom="1" header="0" footer="0"/>
  <pageSetup paperSize="9" scale="74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1066-F188-47BA-80AB-7F0EEF00735F}">
  <sheetPr codeName="Sheet18">
    <pageSetUpPr fitToPage="1"/>
  </sheetPr>
  <dimension ref="A1:IN101"/>
  <sheetViews>
    <sheetView view="pageBreakPreview" topLeftCell="A15" zoomScale="85" zoomScaleNormal="80" zoomScaleSheetLayoutView="85" workbookViewId="0">
      <selection activeCell="P64" sqref="P64"/>
    </sheetView>
  </sheetViews>
  <sheetFormatPr baseColWidth="10" defaultColWidth="9" defaultRowHeight="11.25"/>
  <cols>
    <col min="1" max="1" width="3" style="221" customWidth="1"/>
    <col min="2" max="2" width="3.85546875" style="221" customWidth="1"/>
    <col min="3" max="3" width="26.85546875" style="221" bestFit="1" customWidth="1"/>
    <col min="4" max="4" width="10.7109375" style="221" customWidth="1"/>
    <col min="5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5.7109375" style="221" customWidth="1"/>
    <col min="17" max="17" width="10.42578125" style="221" bestFit="1" customWidth="1"/>
    <col min="18" max="19" width="9.85546875" style="221" bestFit="1" customWidth="1"/>
    <col min="20" max="16384" width="9" style="221"/>
  </cols>
  <sheetData>
    <row r="1" spans="3:16" hidden="1"/>
    <row r="2" spans="3:16" hidden="1"/>
    <row r="3" spans="3:16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115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235">
        <v>1194.446903396368</v>
      </c>
      <c r="E8" s="235">
        <v>1075.6569370117188</v>
      </c>
      <c r="F8" s="236">
        <v>1137.1334897511006</v>
      </c>
      <c r="G8" s="236">
        <v>1017.4892621564865</v>
      </c>
      <c r="H8" s="236">
        <v>1178.1628006150722</v>
      </c>
      <c r="I8" s="236">
        <v>1098.1840960661016</v>
      </c>
      <c r="J8" s="236">
        <v>1145.8343172607422</v>
      </c>
      <c r="K8" s="237">
        <v>1167.1176105632783</v>
      </c>
      <c r="L8" s="268">
        <v>1173.2548820304871</v>
      </c>
      <c r="M8" s="236">
        <v>1114.9656564164161</v>
      </c>
      <c r="N8" s="236">
        <v>1096.327081031829</v>
      </c>
      <c r="O8" s="238">
        <v>1159.8508466930389</v>
      </c>
      <c r="P8" s="239">
        <f t="shared" ref="P8:P14" si="0">+SUM(D8:O8)</f>
        <v>13558.42388299264</v>
      </c>
    </row>
    <row r="9" spans="3:16">
      <c r="C9" s="234" t="s">
        <v>17</v>
      </c>
      <c r="D9" s="235">
        <v>405.86165688506117</v>
      </c>
      <c r="E9" s="235">
        <v>295.435346701622</v>
      </c>
      <c r="F9" s="236">
        <v>409.80223843860625</v>
      </c>
      <c r="G9" s="236">
        <v>382.73067823637291</v>
      </c>
      <c r="H9" s="236">
        <v>401.77536577796934</v>
      </c>
      <c r="I9" s="236">
        <v>388.1133429173949</v>
      </c>
      <c r="J9" s="236">
        <v>414.88891276741026</v>
      </c>
      <c r="K9" s="237">
        <v>411.25745244812964</v>
      </c>
      <c r="L9" s="268">
        <v>400.91844470930101</v>
      </c>
      <c r="M9" s="236">
        <v>408.92698566252744</v>
      </c>
      <c r="N9" s="236">
        <v>376.08489379756759</v>
      </c>
      <c r="O9" s="238">
        <v>415.13607842161645</v>
      </c>
      <c r="P9" s="239">
        <f t="shared" si="0"/>
        <v>4710.931396763579</v>
      </c>
    </row>
    <row r="10" spans="3:16">
      <c r="C10" s="234" t="s">
        <v>18</v>
      </c>
      <c r="D10" s="235">
        <v>3389.7700146369934</v>
      </c>
      <c r="E10" s="235">
        <v>3115.78030758667</v>
      </c>
      <c r="F10" s="236">
        <v>3268.8079862670897</v>
      </c>
      <c r="G10" s="236">
        <v>2928.5504733972548</v>
      </c>
      <c r="H10" s="236">
        <v>3360.2012943115233</v>
      </c>
      <c r="I10" s="236">
        <v>3212.2527008285524</v>
      </c>
      <c r="J10" s="236">
        <v>3321.3284190826416</v>
      </c>
      <c r="K10" s="237">
        <v>3310.2240399010702</v>
      </c>
      <c r="L10" s="268">
        <v>3351.7143675842285</v>
      </c>
      <c r="M10" s="236">
        <v>3185.7204467914698</v>
      </c>
      <c r="N10" s="236">
        <v>3158.8437534677983</v>
      </c>
      <c r="O10" s="238">
        <v>3436.8137113342286</v>
      </c>
      <c r="P10" s="239">
        <f t="shared" si="0"/>
        <v>39040.007515189522</v>
      </c>
    </row>
    <row r="11" spans="3:16">
      <c r="C11" s="234" t="s">
        <v>19</v>
      </c>
      <c r="D11" s="235">
        <v>7831.5826191015894</v>
      </c>
      <c r="E11" s="235">
        <v>8517.5072602728487</v>
      </c>
      <c r="F11" s="236">
        <v>7427.7130383838767</v>
      </c>
      <c r="G11" s="236">
        <v>6267.5325472635932</v>
      </c>
      <c r="H11" s="236">
        <v>7515.8067284860244</v>
      </c>
      <c r="I11" s="236">
        <v>7180.8027878093098</v>
      </c>
      <c r="J11" s="236">
        <v>7316.3584990890686</v>
      </c>
      <c r="K11" s="237">
        <v>7645.333382727189</v>
      </c>
      <c r="L11" s="342">
        <v>8103.8816327667237</v>
      </c>
      <c r="M11" s="236">
        <v>8294.0299638822235</v>
      </c>
      <c r="N11" s="236">
        <v>8176.4285958513847</v>
      </c>
      <c r="O11" s="238">
        <v>7624.1956758548968</v>
      </c>
      <c r="P11" s="239">
        <f t="shared" si="0"/>
        <v>91901.172731488725</v>
      </c>
    </row>
    <row r="12" spans="3:16">
      <c r="C12" s="234" t="s">
        <v>20</v>
      </c>
      <c r="D12" s="235">
        <v>47588.120200066835</v>
      </c>
      <c r="E12" s="235">
        <v>72665.762570478735</v>
      </c>
      <c r="F12" s="236">
        <v>50925.034053079129</v>
      </c>
      <c r="G12" s="236">
        <v>42144.701305800976</v>
      </c>
      <c r="H12" s="236">
        <v>46569.503439509448</v>
      </c>
      <c r="I12" s="236">
        <v>45232.516780026439</v>
      </c>
      <c r="J12" s="236">
        <v>46296.207560379968</v>
      </c>
      <c r="K12" s="237">
        <v>47257.456017541226</v>
      </c>
      <c r="L12" s="268">
        <v>49541.586102058136</v>
      </c>
      <c r="M12" s="236">
        <v>51191.305973612129</v>
      </c>
      <c r="N12" s="236">
        <v>50832.288358475802</v>
      </c>
      <c r="O12" s="238">
        <v>48076.08520096034</v>
      </c>
      <c r="P12" s="239">
        <f t="shared" si="0"/>
        <v>598320.56756198918</v>
      </c>
    </row>
    <row r="13" spans="3:16">
      <c r="C13" s="234" t="s">
        <v>21</v>
      </c>
      <c r="D13" s="235">
        <v>4710.8470431795904</v>
      </c>
      <c r="E13" s="235">
        <v>5117.8096192417725</v>
      </c>
      <c r="F13" s="236">
        <v>4216.6535799983958</v>
      </c>
      <c r="G13" s="236">
        <v>3453.4059257834406</v>
      </c>
      <c r="H13" s="236">
        <v>4297.2019033687229</v>
      </c>
      <c r="I13" s="236">
        <v>4182.5354675244835</v>
      </c>
      <c r="J13" s="236">
        <v>4093.6785486969311</v>
      </c>
      <c r="K13" s="237">
        <v>4477.7634072875981</v>
      </c>
      <c r="L13" s="268">
        <v>4808.6810268206473</v>
      </c>
      <c r="M13" s="236">
        <v>3776.149772275618</v>
      </c>
      <c r="N13" s="236">
        <v>4978.424437744141</v>
      </c>
      <c r="O13" s="238">
        <v>4392.2003757019047</v>
      </c>
      <c r="P13" s="239">
        <f t="shared" si="0"/>
        <v>52505.351107623239</v>
      </c>
    </row>
    <row r="14" spans="3:16">
      <c r="C14" s="240" t="s">
        <v>22</v>
      </c>
      <c r="D14" s="241">
        <f t="shared" ref="D14:M14" si="1">SUM(D8:D13)</f>
        <v>65120.628437266438</v>
      </c>
      <c r="E14" s="241">
        <f t="shared" si="1"/>
        <v>90787.952041293363</v>
      </c>
      <c r="F14" s="241">
        <f t="shared" si="1"/>
        <v>67385.144385918204</v>
      </c>
      <c r="G14" s="241">
        <f t="shared" si="1"/>
        <v>56194.410192638119</v>
      </c>
      <c r="H14" s="241">
        <f t="shared" si="1"/>
        <v>63322.651532068761</v>
      </c>
      <c r="I14" s="241">
        <f t="shared" si="1"/>
        <v>61294.40517517228</v>
      </c>
      <c r="J14" s="241">
        <f t="shared" si="1"/>
        <v>62588.296257276757</v>
      </c>
      <c r="K14" s="241">
        <f t="shared" si="1"/>
        <v>64269.151910468485</v>
      </c>
      <c r="L14" s="241">
        <f t="shared" si="1"/>
        <v>67380.03645596953</v>
      </c>
      <c r="M14" s="241">
        <f t="shared" si="1"/>
        <v>67971.098798640392</v>
      </c>
      <c r="N14" s="241">
        <f>SUM(N8:N13)</f>
        <v>68618.397120368521</v>
      </c>
      <c r="O14" s="242">
        <f>SUM(O8:O13)</f>
        <v>65104.281888966027</v>
      </c>
      <c r="P14" s="243">
        <f t="shared" si="0"/>
        <v>800036.45419604692</v>
      </c>
    </row>
    <row r="15" spans="3:16">
      <c r="C15" s="228" t="s">
        <v>23</v>
      </c>
      <c r="D15" s="244"/>
      <c r="E15" s="244"/>
      <c r="F15" s="245"/>
      <c r="G15" s="245"/>
      <c r="H15" s="245"/>
      <c r="I15" s="245"/>
      <c r="J15" s="245"/>
      <c r="K15" s="246"/>
      <c r="L15" s="236"/>
      <c r="M15" s="236"/>
      <c r="N15" s="236"/>
      <c r="O15" s="238"/>
      <c r="P15" s="247"/>
    </row>
    <row r="16" spans="3:16">
      <c r="C16" s="248" t="s">
        <v>24</v>
      </c>
      <c r="D16" s="235"/>
      <c r="E16" s="235"/>
      <c r="F16" s="236"/>
      <c r="G16" s="236"/>
      <c r="H16" s="236"/>
      <c r="I16" s="236"/>
      <c r="J16" s="236"/>
      <c r="K16" s="237"/>
      <c r="L16" s="236"/>
      <c r="M16" s="236"/>
      <c r="N16" s="236"/>
      <c r="O16" s="238"/>
      <c r="P16" s="239">
        <f t="shared" ref="P16:P22" si="2">+SUM(D16:O16)</f>
        <v>0</v>
      </c>
    </row>
    <row r="17" spans="3:18">
      <c r="C17" s="234" t="s">
        <v>25</v>
      </c>
      <c r="D17" s="235">
        <v>0</v>
      </c>
      <c r="E17" s="235">
        <v>33.138887374877932</v>
      </c>
      <c r="F17" s="236">
        <v>0</v>
      </c>
      <c r="G17" s="236">
        <v>2.9474824676513673</v>
      </c>
      <c r="H17" s="236">
        <v>12.471333417892456</v>
      </c>
      <c r="I17" s="236">
        <v>1.5689107131958009</v>
      </c>
      <c r="J17" s="236">
        <v>102.61160194015503</v>
      </c>
      <c r="K17" s="237">
        <v>142.29993799520219</v>
      </c>
      <c r="L17" s="236">
        <v>0</v>
      </c>
      <c r="M17" s="236">
        <v>8.2127872290611261</v>
      </c>
      <c r="N17" s="236">
        <v>0</v>
      </c>
      <c r="O17" s="238">
        <v>1.7076840209960937</v>
      </c>
      <c r="P17" s="239">
        <f t="shared" si="2"/>
        <v>304.95862515903201</v>
      </c>
    </row>
    <row r="18" spans="3:18">
      <c r="C18" s="248" t="s">
        <v>26</v>
      </c>
      <c r="D18" s="235">
        <v>0</v>
      </c>
      <c r="E18" s="235">
        <v>4.9871509927213191</v>
      </c>
      <c r="F18" s="236">
        <v>73.285687719006205</v>
      </c>
      <c r="G18" s="236">
        <v>6.3608254995346067</v>
      </c>
      <c r="H18" s="236">
        <v>21.231484866142274</v>
      </c>
      <c r="I18" s="236">
        <v>43.577772180557247</v>
      </c>
      <c r="J18" s="236">
        <v>92.302410171508797</v>
      </c>
      <c r="K18" s="237">
        <v>127.96149028582872</v>
      </c>
      <c r="L18" s="236">
        <v>0.65570556923153345</v>
      </c>
      <c r="M18" s="236">
        <v>5.4222817125320431</v>
      </c>
      <c r="N18" s="236">
        <v>39.418593207836153</v>
      </c>
      <c r="O18" s="238">
        <v>0</v>
      </c>
      <c r="P18" s="239">
        <f t="shared" si="2"/>
        <v>415.20340220489891</v>
      </c>
      <c r="Q18" s="249"/>
    </row>
    <row r="19" spans="3:18">
      <c r="C19" s="248" t="s">
        <v>27</v>
      </c>
      <c r="D19" s="235">
        <v>6.8827157974243161</v>
      </c>
      <c r="E19" s="235">
        <v>0</v>
      </c>
      <c r="F19" s="236">
        <v>13.998060337066651</v>
      </c>
      <c r="G19" s="236">
        <v>18.361243766784668</v>
      </c>
      <c r="H19" s="236">
        <v>67.286507513999936</v>
      </c>
      <c r="I19" s="236">
        <v>39.736601486206055</v>
      </c>
      <c r="J19" s="236">
        <v>262.14671113204952</v>
      </c>
      <c r="K19" s="237">
        <v>316.98266744126192</v>
      </c>
      <c r="L19" s="236">
        <v>65.404247463225971</v>
      </c>
      <c r="M19" s="236">
        <v>0</v>
      </c>
      <c r="N19" s="236">
        <v>451.20798157882689</v>
      </c>
      <c r="O19" s="238">
        <v>0</v>
      </c>
      <c r="P19" s="239">
        <f t="shared" si="2"/>
        <v>1242.0067365168459</v>
      </c>
      <c r="Q19" s="249"/>
    </row>
    <row r="20" spans="3:18">
      <c r="C20" s="250" t="s">
        <v>46</v>
      </c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7"/>
      <c r="P20" s="239">
        <f t="shared" si="2"/>
        <v>0</v>
      </c>
      <c r="Q20" s="249"/>
    </row>
    <row r="21" spans="3:18">
      <c r="C21" s="240" t="s">
        <v>28</v>
      </c>
      <c r="D21" s="241">
        <f t="shared" ref="D21:O21" si="3">SUM(D16:D20)</f>
        <v>6.8827157974243161</v>
      </c>
      <c r="E21" s="241">
        <f t="shared" si="3"/>
        <v>38.12603836759925</v>
      </c>
      <c r="F21" s="241">
        <f t="shared" si="3"/>
        <v>87.283748056072852</v>
      </c>
      <c r="G21" s="241">
        <f t="shared" si="3"/>
        <v>27.669551733970643</v>
      </c>
      <c r="H21" s="241">
        <f t="shared" si="3"/>
        <v>100.98932579803467</v>
      </c>
      <c r="I21" s="241">
        <f t="shared" si="3"/>
        <v>84.883284379959093</v>
      </c>
      <c r="J21" s="241">
        <f t="shared" si="3"/>
        <v>457.06072324371337</v>
      </c>
      <c r="K21" s="241">
        <f t="shared" si="3"/>
        <v>587.24409572229285</v>
      </c>
      <c r="L21" s="241">
        <f t="shared" si="3"/>
        <v>66.0599530324575</v>
      </c>
      <c r="M21" s="241">
        <f t="shared" si="3"/>
        <v>13.635068941593168</v>
      </c>
      <c r="N21" s="241">
        <f t="shared" si="3"/>
        <v>490.62657478666301</v>
      </c>
      <c r="O21" s="242">
        <f t="shared" si="3"/>
        <v>1.7076840209960937</v>
      </c>
      <c r="P21" s="243">
        <f t="shared" si="2"/>
        <v>1962.1687638807769</v>
      </c>
    </row>
    <row r="22" spans="3:18" ht="12" thickBot="1">
      <c r="C22" s="251" t="s">
        <v>29</v>
      </c>
      <c r="D22" s="252">
        <f t="shared" ref="D22:O22" si="4">+D14+D21</f>
        <v>65127.511153063861</v>
      </c>
      <c r="E22" s="252">
        <f t="shared" si="4"/>
        <v>90826.078079660962</v>
      </c>
      <c r="F22" s="252">
        <f t="shared" si="4"/>
        <v>67472.428133974274</v>
      </c>
      <c r="G22" s="252">
        <f t="shared" si="4"/>
        <v>56222.079744372088</v>
      </c>
      <c r="H22" s="252">
        <f t="shared" si="4"/>
        <v>63423.640857866798</v>
      </c>
      <c r="I22" s="252">
        <f t="shared" si="4"/>
        <v>61379.288459552241</v>
      </c>
      <c r="J22" s="252">
        <f t="shared" si="4"/>
        <v>63045.356980520468</v>
      </c>
      <c r="K22" s="252">
        <f t="shared" si="4"/>
        <v>64856.396006190778</v>
      </c>
      <c r="L22" s="252">
        <f t="shared" si="4"/>
        <v>67446.096409001984</v>
      </c>
      <c r="M22" s="252">
        <f t="shared" si="4"/>
        <v>67984.733867581992</v>
      </c>
      <c r="N22" s="252">
        <f t="shared" si="4"/>
        <v>69109.023695155178</v>
      </c>
      <c r="O22" s="253">
        <f t="shared" si="4"/>
        <v>65105.989572987026</v>
      </c>
      <c r="P22" s="254">
        <f t="shared" si="2"/>
        <v>801998.62295992766</v>
      </c>
    </row>
    <row r="23" spans="3:18" ht="12" thickTop="1"/>
    <row r="24" spans="3:18">
      <c r="C24" s="222" t="s">
        <v>114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18" ht="12" thickBot="1"/>
    <row r="26" spans="3:18" ht="12" thickTop="1">
      <c r="C26" s="310" t="s">
        <v>30</v>
      </c>
      <c r="D26" s="311" t="s">
        <v>2</v>
      </c>
      <c r="E26" s="311" t="s">
        <v>3</v>
      </c>
      <c r="F26" s="311" t="s">
        <v>4</v>
      </c>
      <c r="G26" s="311" t="s">
        <v>5</v>
      </c>
      <c r="H26" s="311" t="s">
        <v>6</v>
      </c>
      <c r="I26" s="311" t="s">
        <v>7</v>
      </c>
      <c r="J26" s="311" t="s">
        <v>8</v>
      </c>
      <c r="K26" s="311" t="s">
        <v>9</v>
      </c>
      <c r="L26" s="311" t="s">
        <v>10</v>
      </c>
      <c r="M26" s="311" t="s">
        <v>11</v>
      </c>
      <c r="N26" s="311" t="s">
        <v>12</v>
      </c>
      <c r="O26" s="311" t="s">
        <v>13</v>
      </c>
      <c r="P26" s="312" t="s">
        <v>14</v>
      </c>
    </row>
    <row r="27" spans="3:18">
      <c r="C27" s="313" t="s">
        <v>31</v>
      </c>
      <c r="D27" s="263">
        <f t="shared" ref="D27:O27" si="5">+D28+D29</f>
        <v>65127.511153063861</v>
      </c>
      <c r="E27" s="262">
        <f t="shared" si="5"/>
        <v>90826.078079660962</v>
      </c>
      <c r="F27" s="263">
        <f t="shared" si="5"/>
        <v>67472.428133974274</v>
      </c>
      <c r="G27" s="263">
        <f t="shared" si="5"/>
        <v>56222.079744372088</v>
      </c>
      <c r="H27" s="263">
        <f t="shared" si="5"/>
        <v>63423.640857866798</v>
      </c>
      <c r="I27" s="263">
        <f t="shared" si="5"/>
        <v>61379.288459552241</v>
      </c>
      <c r="J27" s="263">
        <f t="shared" si="5"/>
        <v>63045.356980520468</v>
      </c>
      <c r="K27" s="263">
        <f t="shared" si="5"/>
        <v>64856.396006190778</v>
      </c>
      <c r="L27" s="263">
        <f t="shared" si="5"/>
        <v>67446.096409001984</v>
      </c>
      <c r="M27" s="263">
        <f t="shared" si="5"/>
        <v>67984.733867581992</v>
      </c>
      <c r="N27" s="263">
        <f t="shared" si="5"/>
        <v>69109.023695155178</v>
      </c>
      <c r="O27" s="263">
        <f t="shared" si="5"/>
        <v>65105.989572987026</v>
      </c>
      <c r="P27" s="314">
        <f>SUM(D27:O27)</f>
        <v>801998.62295992766</v>
      </c>
    </row>
    <row r="28" spans="3:18">
      <c r="C28" s="315" t="s">
        <v>32</v>
      </c>
      <c r="D28" s="268">
        <f>+D14</f>
        <v>65120.628437266438</v>
      </c>
      <c r="E28" s="268">
        <f t="shared" ref="E28:O28" si="6">+E14</f>
        <v>90787.952041293363</v>
      </c>
      <c r="F28" s="268">
        <f t="shared" si="6"/>
        <v>67385.144385918204</v>
      </c>
      <c r="G28" s="268">
        <f t="shared" si="6"/>
        <v>56194.410192638119</v>
      </c>
      <c r="H28" s="268">
        <f t="shared" si="6"/>
        <v>63322.651532068761</v>
      </c>
      <c r="I28" s="268">
        <f t="shared" si="6"/>
        <v>61294.40517517228</v>
      </c>
      <c r="J28" s="268">
        <f t="shared" si="6"/>
        <v>62588.296257276757</v>
      </c>
      <c r="K28" s="268">
        <f t="shared" si="6"/>
        <v>64269.151910468485</v>
      </c>
      <c r="L28" s="268">
        <f t="shared" si="6"/>
        <v>67380.03645596953</v>
      </c>
      <c r="M28" s="268">
        <f t="shared" si="6"/>
        <v>67971.098798640392</v>
      </c>
      <c r="N28" s="268">
        <f t="shared" si="6"/>
        <v>68618.397120368521</v>
      </c>
      <c r="O28" s="268">
        <f t="shared" si="6"/>
        <v>65104.281888966027</v>
      </c>
      <c r="P28" s="306">
        <f t="shared" ref="P28:P63" si="7">SUM(D28:O28)</f>
        <v>800036.45419604692</v>
      </c>
    </row>
    <row r="29" spans="3:18">
      <c r="C29" s="316" t="s">
        <v>33</v>
      </c>
      <c r="D29" s="272">
        <f>+D21</f>
        <v>6.8827157974243161</v>
      </c>
      <c r="E29" s="272">
        <f t="shared" ref="E29:O29" si="8">+E21</f>
        <v>38.12603836759925</v>
      </c>
      <c r="F29" s="272">
        <f t="shared" si="8"/>
        <v>87.283748056072852</v>
      </c>
      <c r="G29" s="272">
        <f t="shared" si="8"/>
        <v>27.669551733970643</v>
      </c>
      <c r="H29" s="272">
        <f t="shared" si="8"/>
        <v>100.98932579803467</v>
      </c>
      <c r="I29" s="272">
        <f t="shared" si="8"/>
        <v>84.883284379959093</v>
      </c>
      <c r="J29" s="272">
        <f t="shared" si="8"/>
        <v>457.06072324371337</v>
      </c>
      <c r="K29" s="272">
        <f t="shared" si="8"/>
        <v>587.24409572229285</v>
      </c>
      <c r="L29" s="272">
        <f t="shared" si="8"/>
        <v>66.0599530324575</v>
      </c>
      <c r="M29" s="272">
        <f t="shared" si="8"/>
        <v>13.635068941593168</v>
      </c>
      <c r="N29" s="272">
        <f t="shared" si="8"/>
        <v>490.62657478666301</v>
      </c>
      <c r="O29" s="272">
        <f t="shared" si="8"/>
        <v>1.7076840209960937</v>
      </c>
      <c r="P29" s="317">
        <f t="shared" si="7"/>
        <v>1962.1687638807769</v>
      </c>
    </row>
    <row r="30" spans="3:18">
      <c r="C30" s="313" t="s">
        <v>34</v>
      </c>
      <c r="D30" s="263">
        <f>+SUM(D31:D33)</f>
        <v>9573.816632085196</v>
      </c>
      <c r="E30" s="263">
        <f t="shared" ref="E30:P30" si="9">+SUM(E31:E33)</f>
        <v>97.081334972381597</v>
      </c>
      <c r="F30" s="263">
        <f t="shared" si="9"/>
        <v>12694.837979280686</v>
      </c>
      <c r="G30" s="263">
        <f t="shared" si="9"/>
        <v>19430.990466902302</v>
      </c>
      <c r="H30" s="263">
        <f t="shared" si="9"/>
        <v>8770.2694640932496</v>
      </c>
      <c r="I30" s="263">
        <f t="shared" si="9"/>
        <v>6742.6728466598952</v>
      </c>
      <c r="J30" s="263">
        <f t="shared" si="9"/>
        <v>5309.11905003424</v>
      </c>
      <c r="K30" s="263">
        <f t="shared" si="9"/>
        <v>4397.4822330230272</v>
      </c>
      <c r="L30" s="263">
        <f t="shared" si="9"/>
        <v>3166.1253223296035</v>
      </c>
      <c r="M30" s="263">
        <f t="shared" si="9"/>
        <v>5015.7088530318006</v>
      </c>
      <c r="N30" s="263">
        <f t="shared" si="9"/>
        <v>3681.1081226293049</v>
      </c>
      <c r="O30" s="263">
        <f t="shared" si="9"/>
        <v>11513.490467397693</v>
      </c>
      <c r="P30" s="314">
        <f t="shared" si="9"/>
        <v>83893.084854225162</v>
      </c>
    </row>
    <row r="31" spans="3:18">
      <c r="C31" s="307" t="s">
        <v>41</v>
      </c>
      <c r="D31" s="268">
        <v>9458.2134272302301</v>
      </c>
      <c r="E31" s="268">
        <v>0</v>
      </c>
      <c r="F31" s="268">
        <v>12588.415473323799</v>
      </c>
      <c r="G31" s="268">
        <v>19330.3584669023</v>
      </c>
      <c r="H31" s="268">
        <v>8664.8681199694092</v>
      </c>
      <c r="I31" s="268">
        <v>6282.9115204877198</v>
      </c>
      <c r="J31" s="268">
        <v>4097.6484001295303</v>
      </c>
      <c r="K31" s="268">
        <v>2480.6304750415402</v>
      </c>
      <c r="L31" s="268">
        <v>0</v>
      </c>
      <c r="M31" s="268">
        <v>4739.2500568138603</v>
      </c>
      <c r="N31" s="268">
        <v>3547.73805408301</v>
      </c>
      <c r="O31" s="268">
        <v>11404.548239591601</v>
      </c>
      <c r="P31" s="306">
        <f t="shared" si="7"/>
        <v>82594.582233573004</v>
      </c>
    </row>
    <row r="32" spans="3:18">
      <c r="C32" s="307" t="s">
        <v>109</v>
      </c>
      <c r="D32" s="268">
        <v>115.60320485496521</v>
      </c>
      <c r="E32" s="268">
        <v>97.081334972381597</v>
      </c>
      <c r="F32" s="268">
        <v>106.422505956888</v>
      </c>
      <c r="G32" s="268">
        <v>100.63200000000001</v>
      </c>
      <c r="H32" s="268">
        <v>105.40134412384033</v>
      </c>
      <c r="I32" s="268">
        <v>102.86942999999999</v>
      </c>
      <c r="J32" s="268">
        <v>105.65691503335178</v>
      </c>
      <c r="K32" s="268">
        <v>105.74354135835171</v>
      </c>
      <c r="L32" s="268">
        <v>107.29324</v>
      </c>
      <c r="M32" s="268">
        <v>109.486808</v>
      </c>
      <c r="N32" s="268">
        <v>133.37006854629516</v>
      </c>
      <c r="O32" s="268">
        <v>108.94222780609131</v>
      </c>
      <c r="P32" s="306">
        <f t="shared" si="7"/>
        <v>1298.5026206521652</v>
      </c>
      <c r="R32" s="221">
        <v>1000</v>
      </c>
    </row>
    <row r="33" spans="2:19">
      <c r="C33" s="322" t="s">
        <v>125</v>
      </c>
      <c r="D33" s="272"/>
      <c r="E33" s="272"/>
      <c r="F33" s="272"/>
      <c r="G33" s="272"/>
      <c r="H33" s="272"/>
      <c r="I33" s="272">
        <v>356.89189617217562</v>
      </c>
      <c r="J33" s="272">
        <v>1105.8137348713581</v>
      </c>
      <c r="K33" s="272">
        <v>1811.1082166231351</v>
      </c>
      <c r="L33" s="272">
        <v>3058.8320823296035</v>
      </c>
      <c r="M33" s="272">
        <v>166.97198821794038</v>
      </c>
      <c r="N33" s="272">
        <v>0</v>
      </c>
      <c r="O33" s="272">
        <v>0</v>
      </c>
      <c r="P33" s="317"/>
    </row>
    <row r="34" spans="2:19">
      <c r="C34" s="313" t="s">
        <v>35</v>
      </c>
      <c r="D34" s="263">
        <f>+D35+D36</f>
        <v>299.17100705016816</v>
      </c>
      <c r="E34" s="263">
        <f t="shared" ref="E34:O34" si="10">+E35+E36</f>
        <v>295.46338826273455</v>
      </c>
      <c r="F34" s="263">
        <f t="shared" si="10"/>
        <v>313.78621108722638</v>
      </c>
      <c r="G34" s="263">
        <f t="shared" si="10"/>
        <v>288.716668166619</v>
      </c>
      <c r="H34" s="263">
        <f t="shared" si="10"/>
        <v>300.42902648006293</v>
      </c>
      <c r="I34" s="263">
        <f t="shared" si="10"/>
        <v>290.17017491981187</v>
      </c>
      <c r="J34" s="263">
        <f t="shared" si="10"/>
        <v>328.62700792843037</v>
      </c>
      <c r="K34" s="263">
        <f t="shared" si="10"/>
        <v>326.50802538125555</v>
      </c>
      <c r="L34" s="263">
        <f t="shared" si="10"/>
        <v>293.68585625632062</v>
      </c>
      <c r="M34" s="263">
        <f t="shared" si="10"/>
        <v>297.72135719783859</v>
      </c>
      <c r="N34" s="263">
        <f t="shared" si="10"/>
        <v>311.98857809760193</v>
      </c>
      <c r="O34" s="263">
        <f t="shared" si="10"/>
        <v>292.06227849067585</v>
      </c>
      <c r="P34" s="314">
        <f t="shared" si="7"/>
        <v>3638.3295793187463</v>
      </c>
    </row>
    <row r="35" spans="2:19">
      <c r="B35" s="277"/>
      <c r="C35" s="315" t="s">
        <v>32</v>
      </c>
      <c r="D35" s="268">
        <v>298.62281713165009</v>
      </c>
      <c r="E35" s="268">
        <v>294.71226654242054</v>
      </c>
      <c r="F35" s="268">
        <v>304.42833629512739</v>
      </c>
      <c r="G35" s="268">
        <v>286.94711554573126</v>
      </c>
      <c r="H35" s="268">
        <v>295.02648815475317</v>
      </c>
      <c r="I35" s="268">
        <v>288.98351613838355</v>
      </c>
      <c r="J35" s="268">
        <v>309.52549447733099</v>
      </c>
      <c r="K35" s="268">
        <v>302.46941468398609</v>
      </c>
      <c r="L35" s="268">
        <v>290.59871180136457</v>
      </c>
      <c r="M35" s="268">
        <v>296.93593515499191</v>
      </c>
      <c r="N35" s="268">
        <v>289.73421145083529</v>
      </c>
      <c r="O35" s="268">
        <v>292.04836829818623</v>
      </c>
      <c r="P35" s="306">
        <f t="shared" si="7"/>
        <v>3550.0326756747609</v>
      </c>
    </row>
    <row r="36" spans="2:19">
      <c r="B36" s="278"/>
      <c r="C36" s="316" t="s">
        <v>33</v>
      </c>
      <c r="D36" s="268">
        <v>0.54818991851806642</v>
      </c>
      <c r="E36" s="268">
        <v>0.75112172031402591</v>
      </c>
      <c r="F36" s="268">
        <v>9.3578747920990004</v>
      </c>
      <c r="G36" s="272">
        <v>1.7695526208877563</v>
      </c>
      <c r="H36" s="272">
        <v>5.4025383253097532</v>
      </c>
      <c r="I36" s="272">
        <v>1.18665878142834</v>
      </c>
      <c r="J36" s="272">
        <v>19.101513451099393</v>
      </c>
      <c r="K36" s="272">
        <v>24.038610697269441</v>
      </c>
      <c r="L36" s="272">
        <v>3.0871444549560549</v>
      </c>
      <c r="M36" s="268">
        <v>0.78542204284667971</v>
      </c>
      <c r="N36" s="272">
        <v>22.254366646766663</v>
      </c>
      <c r="O36" s="272">
        <v>1.3910192489624024E-2</v>
      </c>
      <c r="P36" s="317">
        <f t="shared" si="7"/>
        <v>88.296903643984791</v>
      </c>
    </row>
    <row r="37" spans="2:19">
      <c r="C37" s="318" t="s">
        <v>36</v>
      </c>
      <c r="D37" s="263">
        <f t="shared" ref="D37:O37" si="11">+D38+D39</f>
        <v>1157.3782180988783</v>
      </c>
      <c r="E37" s="263">
        <f t="shared" si="11"/>
        <v>1331.1175940816902</v>
      </c>
      <c r="F37" s="263">
        <f t="shared" si="11"/>
        <v>1244.4156321677292</v>
      </c>
      <c r="G37" s="282">
        <f t="shared" si="11"/>
        <v>1013.4661531077727</v>
      </c>
      <c r="H37" s="282">
        <f t="shared" si="11"/>
        <v>1083.8344454799953</v>
      </c>
      <c r="I37" s="282">
        <f t="shared" si="11"/>
        <v>1062.7660112923331</v>
      </c>
      <c r="J37" s="282">
        <f t="shared" si="11"/>
        <v>1066.2643026262667</v>
      </c>
      <c r="K37" s="282">
        <f t="shared" si="11"/>
        <v>1070.8460938325734</v>
      </c>
      <c r="L37" s="282">
        <f t="shared" si="11"/>
        <v>1114.943317297977</v>
      </c>
      <c r="M37" s="263">
        <f t="shared" si="11"/>
        <v>1108.7690134159493</v>
      </c>
      <c r="N37" s="282">
        <f t="shared" si="11"/>
        <v>1462.5365641100507</v>
      </c>
      <c r="O37" s="282">
        <f t="shared" si="11"/>
        <v>1193.1346718940331</v>
      </c>
      <c r="P37" s="326">
        <f t="shared" si="7"/>
        <v>13909.472017405249</v>
      </c>
    </row>
    <row r="38" spans="2:19">
      <c r="B38" s="278"/>
      <c r="C38" s="315" t="s">
        <v>37</v>
      </c>
      <c r="D38" s="268">
        <v>462.95128723955133</v>
      </c>
      <c r="E38" s="268">
        <v>532.44703763267614</v>
      </c>
      <c r="F38" s="268">
        <v>497.76625286709168</v>
      </c>
      <c r="G38" s="268">
        <v>405.38646124310912</v>
      </c>
      <c r="H38" s="268">
        <v>433.53377819199818</v>
      </c>
      <c r="I38" s="268">
        <v>425.10640451693325</v>
      </c>
      <c r="J38" s="268">
        <v>426.50572105050674</v>
      </c>
      <c r="K38" s="324">
        <v>428.33843753302938</v>
      </c>
      <c r="L38" s="268">
        <v>445.97732691919083</v>
      </c>
      <c r="M38" s="268">
        <v>443.50760536637972</v>
      </c>
      <c r="N38" s="268">
        <v>585.01462564402027</v>
      </c>
      <c r="O38" s="268">
        <v>477.25386875761325</v>
      </c>
      <c r="P38" s="306">
        <f t="shared" si="7"/>
        <v>5563.7888069620994</v>
      </c>
    </row>
    <row r="39" spans="2:19">
      <c r="B39" s="285"/>
      <c r="C39" s="315" t="s">
        <v>38</v>
      </c>
      <c r="D39" s="272">
        <v>694.42693085932694</v>
      </c>
      <c r="E39" s="272">
        <v>798.67055644901404</v>
      </c>
      <c r="F39" s="272">
        <v>746.64937930063752</v>
      </c>
      <c r="G39" s="268">
        <v>608.07969186466357</v>
      </c>
      <c r="H39" s="268">
        <v>650.30066728799716</v>
      </c>
      <c r="I39" s="268">
        <v>637.65960677539988</v>
      </c>
      <c r="J39" s="268">
        <v>639.75858157575999</v>
      </c>
      <c r="K39" s="343">
        <v>642.50765629954401</v>
      </c>
      <c r="L39" s="272">
        <v>668.96599037878616</v>
      </c>
      <c r="M39" s="272">
        <v>665.26140804956958</v>
      </c>
      <c r="N39" s="272">
        <v>877.52193846603041</v>
      </c>
      <c r="O39" s="272">
        <v>715.88080313641979</v>
      </c>
      <c r="P39" s="306">
        <f t="shared" si="7"/>
        <v>8345.6832104431487</v>
      </c>
    </row>
    <row r="40" spans="2:19">
      <c r="B40" s="285"/>
      <c r="C40" s="320" t="s">
        <v>39</v>
      </c>
      <c r="D40" s="302">
        <f t="shared" ref="D40:O40" si="12">+D27+D30-D34-D37</f>
        <v>73244.778560000006</v>
      </c>
      <c r="E40" s="302">
        <f t="shared" si="12"/>
        <v>89296.578432288909</v>
      </c>
      <c r="F40" s="302">
        <f t="shared" si="12"/>
        <v>78609.064270000003</v>
      </c>
      <c r="G40" s="302">
        <f t="shared" si="12"/>
        <v>74350.887390000004</v>
      </c>
      <c r="H40" s="302">
        <f t="shared" si="12"/>
        <v>70809.64684999999</v>
      </c>
      <c r="I40" s="302">
        <f t="shared" si="12"/>
        <v>66769.025119999991</v>
      </c>
      <c r="J40" s="302">
        <f t="shared" si="12"/>
        <v>66959.584720000013</v>
      </c>
      <c r="K40" s="302">
        <f t="shared" si="12"/>
        <v>67856.524119999987</v>
      </c>
      <c r="L40" s="302">
        <f t="shared" si="12"/>
        <v>69203.592557777301</v>
      </c>
      <c r="M40" s="302">
        <f t="shared" si="12"/>
        <v>71593.952350000007</v>
      </c>
      <c r="N40" s="302">
        <f t="shared" si="12"/>
        <v>71015.606675576826</v>
      </c>
      <c r="O40" s="302">
        <f t="shared" si="12"/>
        <v>75134.283090000012</v>
      </c>
      <c r="P40" s="321">
        <f t="shared" si="7"/>
        <v>874843.52413564315</v>
      </c>
    </row>
    <row r="41" spans="2:19">
      <c r="B41" s="285"/>
      <c r="C41" s="320" t="s">
        <v>40</v>
      </c>
      <c r="D41" s="302">
        <f t="shared" ref="D41:O41" si="13">+D42+D45+D55</f>
        <v>73244.778560000006</v>
      </c>
      <c r="E41" s="302">
        <f t="shared" si="13"/>
        <v>89296.578432288909</v>
      </c>
      <c r="F41" s="302">
        <f t="shared" si="13"/>
        <v>78609.064270000003</v>
      </c>
      <c r="G41" s="302">
        <f t="shared" si="13"/>
        <v>74350.887390000004</v>
      </c>
      <c r="H41" s="302">
        <f t="shared" si="13"/>
        <v>70809.64684999999</v>
      </c>
      <c r="I41" s="302">
        <f t="shared" si="13"/>
        <v>66769.025119999991</v>
      </c>
      <c r="J41" s="302">
        <f t="shared" si="13"/>
        <v>66959.584720000013</v>
      </c>
      <c r="K41" s="302">
        <f t="shared" si="13"/>
        <v>67856.524119999987</v>
      </c>
      <c r="L41" s="302">
        <f t="shared" si="13"/>
        <v>69203.592557777301</v>
      </c>
      <c r="M41" s="302">
        <f t="shared" si="13"/>
        <v>71593.952350000007</v>
      </c>
      <c r="N41" s="302">
        <f t="shared" si="13"/>
        <v>71306.930730000007</v>
      </c>
      <c r="O41" s="302">
        <f t="shared" si="13"/>
        <v>75134.283090000012</v>
      </c>
      <c r="P41" s="321">
        <f t="shared" si="7"/>
        <v>875134.84819006629</v>
      </c>
    </row>
    <row r="42" spans="2:19">
      <c r="C42" s="318" t="s">
        <v>44</v>
      </c>
      <c r="D42" s="263">
        <f t="shared" ref="D42:O42" si="14">+D43+D44</f>
        <v>0</v>
      </c>
      <c r="E42" s="263">
        <f t="shared" si="14"/>
        <v>17515.552742288914</v>
      </c>
      <c r="F42" s="263">
        <f t="shared" si="14"/>
        <v>0</v>
      </c>
      <c r="G42" s="263">
        <f t="shared" si="14"/>
        <v>0</v>
      </c>
      <c r="H42" s="263">
        <f t="shared" si="14"/>
        <v>0</v>
      </c>
      <c r="I42" s="263">
        <f t="shared" si="14"/>
        <v>0</v>
      </c>
      <c r="J42" s="263">
        <f t="shared" si="14"/>
        <v>0</v>
      </c>
      <c r="K42" s="263">
        <f t="shared" si="14"/>
        <v>0</v>
      </c>
      <c r="L42" s="263">
        <f t="shared" si="14"/>
        <v>1627.167597777312</v>
      </c>
      <c r="M42" s="263">
        <f t="shared" si="14"/>
        <v>0</v>
      </c>
      <c r="N42" s="263">
        <f t="shared" si="14"/>
        <v>0</v>
      </c>
      <c r="O42" s="263">
        <f t="shared" si="14"/>
        <v>0</v>
      </c>
      <c r="P42" s="314">
        <f t="shared" si="7"/>
        <v>19142.720340066226</v>
      </c>
    </row>
    <row r="43" spans="2:19">
      <c r="B43" s="278"/>
      <c r="C43" s="315" t="s">
        <v>41</v>
      </c>
      <c r="D43" s="268">
        <v>0</v>
      </c>
      <c r="E43" s="268">
        <v>17515.552742288914</v>
      </c>
      <c r="F43" s="268">
        <v>0</v>
      </c>
      <c r="G43" s="268"/>
      <c r="H43" s="268"/>
      <c r="I43" s="268"/>
      <c r="J43" s="268"/>
      <c r="K43" s="268"/>
      <c r="L43" s="268">
        <v>1627.167597777312</v>
      </c>
      <c r="M43" s="268"/>
      <c r="N43" s="268"/>
      <c r="O43" s="268"/>
      <c r="P43" s="306">
        <f t="shared" si="7"/>
        <v>19142.720340066226</v>
      </c>
      <c r="Q43" s="246"/>
    </row>
    <row r="44" spans="2:19" hidden="1">
      <c r="C44" s="315" t="s">
        <v>45</v>
      </c>
      <c r="D44" s="268">
        <v>0</v>
      </c>
      <c r="E44" s="268">
        <v>0</v>
      </c>
      <c r="F44" s="268">
        <v>0</v>
      </c>
      <c r="G44" s="268">
        <v>0</v>
      </c>
      <c r="H44" s="268">
        <v>0</v>
      </c>
      <c r="I44" s="268">
        <v>0</v>
      </c>
      <c r="J44" s="268">
        <v>0</v>
      </c>
      <c r="K44" s="268">
        <v>0</v>
      </c>
      <c r="L44" s="268">
        <v>0</v>
      </c>
      <c r="M44" s="268">
        <v>0</v>
      </c>
      <c r="N44" s="268">
        <v>0</v>
      </c>
      <c r="O44" s="268"/>
      <c r="P44" s="306">
        <f t="shared" si="7"/>
        <v>0</v>
      </c>
      <c r="Q44" s="246"/>
    </row>
    <row r="45" spans="2:19">
      <c r="C45" s="318" t="s">
        <v>42</v>
      </c>
      <c r="D45" s="282">
        <f>SUM(D46:D54)</f>
        <v>70265.84408000001</v>
      </c>
      <c r="E45" s="282">
        <f t="shared" ref="E45:P45" si="15">SUM(E46:E54)</f>
        <v>68824.18041999999</v>
      </c>
      <c r="F45" s="282">
        <f t="shared" si="15"/>
        <v>74795.81839</v>
      </c>
      <c r="G45" s="282">
        <f t="shared" si="15"/>
        <v>70802.376780000006</v>
      </c>
      <c r="H45" s="282">
        <f t="shared" si="15"/>
        <v>67560.889919999987</v>
      </c>
      <c r="I45" s="282">
        <f t="shared" si="15"/>
        <v>63592.109869999993</v>
      </c>
      <c r="J45" s="282">
        <f t="shared" si="15"/>
        <v>63626.607660000009</v>
      </c>
      <c r="K45" s="282">
        <f t="shared" si="15"/>
        <v>64583.558229999988</v>
      </c>
      <c r="L45" s="282">
        <f>SUM(L46:L54)</f>
        <v>64417.886640000004</v>
      </c>
      <c r="M45" s="282">
        <f t="shared" si="15"/>
        <v>68568.773080000014</v>
      </c>
      <c r="N45" s="282">
        <f t="shared" si="15"/>
        <v>68235.949870000011</v>
      </c>
      <c r="O45" s="282">
        <f t="shared" si="15"/>
        <v>71905.196070000005</v>
      </c>
      <c r="P45" s="319">
        <f t="shared" si="15"/>
        <v>817179.19100999995</v>
      </c>
      <c r="R45" s="278"/>
    </row>
    <row r="46" spans="2:19">
      <c r="C46" s="315" t="s">
        <v>47</v>
      </c>
      <c r="D46" s="268">
        <v>13427.34605</v>
      </c>
      <c r="E46" s="288">
        <v>13039.36074</v>
      </c>
      <c r="F46" s="268">
        <v>14759.360280000001</v>
      </c>
      <c r="G46" s="268">
        <v>13952.175620000002</v>
      </c>
      <c r="H46" s="268">
        <v>13445.43397</v>
      </c>
      <c r="I46" s="268">
        <v>12856.727449999998</v>
      </c>
      <c r="J46" s="304">
        <v>12955.244969999998</v>
      </c>
      <c r="K46" s="303">
        <v>13016.54048</v>
      </c>
      <c r="L46" s="268">
        <v>12542.09663</v>
      </c>
      <c r="M46" s="268">
        <v>13030.403560000002</v>
      </c>
      <c r="N46" s="289">
        <f>(+[4]data!P471)/1000</f>
        <v>12769.243130000001</v>
      </c>
      <c r="O46" s="268">
        <v>13331.536660000002</v>
      </c>
      <c r="P46" s="306">
        <f t="shared" si="7"/>
        <v>159125.46953999999</v>
      </c>
      <c r="Q46" s="277"/>
      <c r="R46" s="277">
        <v>1000</v>
      </c>
      <c r="S46" s="278"/>
    </row>
    <row r="47" spans="2:19">
      <c r="C47" s="315" t="s">
        <v>48</v>
      </c>
      <c r="D47" s="268">
        <v>39296.824160000011</v>
      </c>
      <c r="E47" s="288">
        <v>38154.599739999998</v>
      </c>
      <c r="F47" s="268">
        <v>42948.224179999997</v>
      </c>
      <c r="G47" s="268">
        <v>40504.014620000002</v>
      </c>
      <c r="H47" s="268">
        <v>38673.84270999999</v>
      </c>
      <c r="I47" s="268">
        <v>36966.374959999994</v>
      </c>
      <c r="J47" s="304">
        <v>37346.941200000001</v>
      </c>
      <c r="K47" s="268">
        <v>37909.891969999997</v>
      </c>
      <c r="L47" s="268">
        <v>36608.341479999995</v>
      </c>
      <c r="M47" s="268">
        <v>37966.702900000004</v>
      </c>
      <c r="N47" s="289">
        <f>(+[4]data!P472)/1000</f>
        <v>37423.299489999998</v>
      </c>
      <c r="O47" s="268">
        <v>39186.988730000005</v>
      </c>
      <c r="P47" s="306">
        <f t="shared" si="7"/>
        <v>462986.04613999999</v>
      </c>
      <c r="Q47" s="277"/>
      <c r="R47" s="277"/>
      <c r="S47" s="278"/>
    </row>
    <row r="48" spans="2:19">
      <c r="C48" s="315" t="s">
        <v>50</v>
      </c>
      <c r="D48" s="268">
        <v>1344.8065899999999</v>
      </c>
      <c r="E48" s="288">
        <v>1265.3734099999999</v>
      </c>
      <c r="F48" s="268">
        <v>1420.8438900000001</v>
      </c>
      <c r="G48" s="268">
        <v>1318.3841199999999</v>
      </c>
      <c r="H48" s="268">
        <v>1283.7631099999999</v>
      </c>
      <c r="I48" s="268">
        <v>1210.84232</v>
      </c>
      <c r="J48" s="304">
        <v>1245.7672399999999</v>
      </c>
      <c r="K48" s="268">
        <v>1276.59214</v>
      </c>
      <c r="L48" s="268">
        <v>1253.2445299999999</v>
      </c>
      <c r="M48" s="268">
        <v>1315.5748299999998</v>
      </c>
      <c r="N48" s="289">
        <f>(+[4]data!P473)/1000</f>
        <v>1282.38229</v>
      </c>
      <c r="O48" s="268">
        <v>1365.85331</v>
      </c>
      <c r="P48" s="306">
        <f t="shared" si="7"/>
        <v>15583.42778</v>
      </c>
      <c r="Q48" s="277"/>
      <c r="R48" s="277"/>
      <c r="S48" s="278"/>
    </row>
    <row r="49" spans="3:19">
      <c r="C49" s="315" t="s">
        <v>51</v>
      </c>
      <c r="D49" s="268">
        <v>1146.24668</v>
      </c>
      <c r="E49" s="288">
        <v>1022.1494999999999</v>
      </c>
      <c r="F49" s="268">
        <v>1212.9829399999999</v>
      </c>
      <c r="G49" s="268">
        <v>1186.7863600000001</v>
      </c>
      <c r="H49" s="303">
        <v>1307.1130000000001</v>
      </c>
      <c r="I49" s="268">
        <v>1324.2823299999998</v>
      </c>
      <c r="J49" s="304">
        <v>1379.5385000000001</v>
      </c>
      <c r="K49" s="268">
        <v>1484.4670300000002</v>
      </c>
      <c r="L49" s="268">
        <v>1433.3341</v>
      </c>
      <c r="M49" s="303">
        <v>1511.9386100000002</v>
      </c>
      <c r="N49" s="289">
        <f>(+[4]data!P474)/1000</f>
        <v>1394.7144700000001</v>
      </c>
      <c r="O49" s="268">
        <v>1406.5033399999998</v>
      </c>
      <c r="P49" s="306">
        <f t="shared" si="7"/>
        <v>15810.056859999999</v>
      </c>
      <c r="Q49" s="277"/>
      <c r="R49" s="277"/>
      <c r="S49" s="278"/>
    </row>
    <row r="50" spans="3:19">
      <c r="C50" s="315" t="s">
        <v>52</v>
      </c>
      <c r="D50" s="268">
        <v>926.32087000000001</v>
      </c>
      <c r="E50" s="288">
        <v>944.37787000000003</v>
      </c>
      <c r="F50" s="268">
        <v>905.22297000000003</v>
      </c>
      <c r="G50" s="268">
        <v>892.08468000000005</v>
      </c>
      <c r="H50" s="268">
        <v>943.93249000000003</v>
      </c>
      <c r="I50" s="303">
        <v>967.08954000000006</v>
      </c>
      <c r="J50" s="304">
        <v>1020.90273</v>
      </c>
      <c r="K50" s="268">
        <v>987.67155999999989</v>
      </c>
      <c r="L50" s="268">
        <v>1011.4385100000001</v>
      </c>
      <c r="M50" s="268">
        <v>1003.32954</v>
      </c>
      <c r="N50" s="289">
        <f>(+[4]data!P475)/1000</f>
        <v>974.17967999999996</v>
      </c>
      <c r="O50" s="268">
        <v>990.05799999999999</v>
      </c>
      <c r="P50" s="306">
        <f t="shared" si="7"/>
        <v>11566.60844</v>
      </c>
      <c r="Q50" s="277"/>
      <c r="R50" s="277"/>
      <c r="S50" s="278"/>
    </row>
    <row r="51" spans="3:19">
      <c r="C51" s="315" t="s">
        <v>90</v>
      </c>
      <c r="D51" s="268">
        <v>1525.4092700000001</v>
      </c>
      <c r="E51" s="288">
        <v>1392.96001</v>
      </c>
      <c r="F51" s="268">
        <v>1576.3481000000002</v>
      </c>
      <c r="G51" s="268">
        <v>1506.5699299999999</v>
      </c>
      <c r="H51" s="268">
        <v>1562.3032499999999</v>
      </c>
      <c r="I51" s="268">
        <v>1496.4276900000002</v>
      </c>
      <c r="J51" s="304">
        <v>1549.0649800000001</v>
      </c>
      <c r="K51" s="268">
        <v>1565.34996</v>
      </c>
      <c r="L51" s="303">
        <v>1542.5404799999999</v>
      </c>
      <c r="M51" s="268">
        <v>1609.5419000000002</v>
      </c>
      <c r="N51" s="289">
        <f>(+[4]data!P476)/1000</f>
        <v>1556.3025600000001</v>
      </c>
      <c r="O51" s="268">
        <v>1600.3020800000002</v>
      </c>
      <c r="P51" s="306">
        <f t="shared" si="7"/>
        <v>18483.120210000001</v>
      </c>
      <c r="Q51" s="277"/>
      <c r="R51" s="277"/>
      <c r="S51" s="278"/>
    </row>
    <row r="52" spans="3:19">
      <c r="C52" s="315" t="s">
        <v>53</v>
      </c>
      <c r="D52" s="268">
        <v>2264.2511800000002</v>
      </c>
      <c r="E52" s="288">
        <v>2239.4047800000003</v>
      </c>
      <c r="F52" s="304">
        <v>2087.5134200000002</v>
      </c>
      <c r="G52" s="268">
        <v>2074.7222900000002</v>
      </c>
      <c r="H52" s="268">
        <v>1976.1279400000001</v>
      </c>
      <c r="I52" s="268">
        <v>2082.7864500000001</v>
      </c>
      <c r="J52" s="304">
        <v>2066.3829999999998</v>
      </c>
      <c r="K52" s="268">
        <v>2033.1524799999997</v>
      </c>
      <c r="L52" s="268">
        <v>2210.1755800000001</v>
      </c>
      <c r="M52" s="268">
        <v>2060.9217699999999</v>
      </c>
      <c r="N52" s="289">
        <f>(+[4]data!P477)/1000</f>
        <v>2244.9339799999998</v>
      </c>
      <c r="O52" s="268">
        <v>2299.3111399999998</v>
      </c>
      <c r="P52" s="306">
        <f t="shared" si="7"/>
        <v>25639.684009999997</v>
      </c>
      <c r="Q52" s="277"/>
      <c r="R52" s="277"/>
      <c r="S52" s="278"/>
    </row>
    <row r="53" spans="3:19">
      <c r="C53" s="315" t="s">
        <v>54</v>
      </c>
      <c r="D53" s="268">
        <v>58.937689999999996</v>
      </c>
      <c r="E53" s="288">
        <v>53.618740000000003</v>
      </c>
      <c r="F53" s="268">
        <v>60.526299999999999</v>
      </c>
      <c r="G53" s="268">
        <v>60.733779999999996</v>
      </c>
      <c r="H53" s="268">
        <v>64.190339999999992</v>
      </c>
      <c r="I53" s="268">
        <v>61.253020000000006</v>
      </c>
      <c r="J53" s="304">
        <v>61.851119999999995</v>
      </c>
      <c r="K53" s="268">
        <v>59.965820000000001</v>
      </c>
      <c r="L53" s="268">
        <v>61.704800000000006</v>
      </c>
      <c r="M53" s="268">
        <v>58.55189</v>
      </c>
      <c r="N53" s="289">
        <f>(+[4]data!P478)/1000</f>
        <v>59.871970000000005</v>
      </c>
      <c r="O53" s="268">
        <v>62.565679999999993</v>
      </c>
      <c r="P53" s="306">
        <f t="shared" si="7"/>
        <v>723.77115000000003</v>
      </c>
      <c r="Q53" s="277"/>
      <c r="R53" s="277"/>
      <c r="S53" s="278"/>
    </row>
    <row r="54" spans="3:19">
      <c r="C54" s="307" t="s">
        <v>93</v>
      </c>
      <c r="D54" s="268">
        <v>10275.701590000001</v>
      </c>
      <c r="E54" s="268">
        <v>10712.33563</v>
      </c>
      <c r="F54" s="268">
        <v>9824.7963099999979</v>
      </c>
      <c r="G54" s="268">
        <v>9306.9053799999983</v>
      </c>
      <c r="H54" s="268">
        <v>8304.1831099999999</v>
      </c>
      <c r="I54" s="268">
        <v>6626.3261100000009</v>
      </c>
      <c r="J54" s="304">
        <v>6000.91392</v>
      </c>
      <c r="K54" s="268">
        <v>6249.9267899999995</v>
      </c>
      <c r="L54" s="268">
        <v>7755.0105300000014</v>
      </c>
      <c r="M54" s="268">
        <v>10011.808079999999</v>
      </c>
      <c r="N54" s="289">
        <f>(+[4]data!P479)/1000</f>
        <v>10531.022300000001</v>
      </c>
      <c r="O54" s="268">
        <v>11662.07713</v>
      </c>
      <c r="P54" s="306">
        <f t="shared" si="7"/>
        <v>107261.00688</v>
      </c>
      <c r="Q54" s="277">
        <f>+I54-I33</f>
        <v>6269.4342138278253</v>
      </c>
      <c r="R54" s="277"/>
      <c r="S54" s="278"/>
    </row>
    <row r="55" spans="3:19">
      <c r="C55" s="318" t="s">
        <v>43</v>
      </c>
      <c r="D55" s="282">
        <f>+SUM(D56:D64)</f>
        <v>2978.9344799999999</v>
      </c>
      <c r="E55" s="282">
        <f t="shared" ref="E55:P55" si="16">+SUM(E56:E64)</f>
        <v>2956.8452699999998</v>
      </c>
      <c r="F55" s="282">
        <f t="shared" si="16"/>
        <v>3813.2458800000009</v>
      </c>
      <c r="G55" s="282">
        <f t="shared" si="16"/>
        <v>3548.5106100000007</v>
      </c>
      <c r="H55" s="282">
        <f t="shared" si="16"/>
        <v>3248.7569299999996</v>
      </c>
      <c r="I55" s="282">
        <f t="shared" si="16"/>
        <v>3176.91525</v>
      </c>
      <c r="J55" s="282">
        <f t="shared" si="16"/>
        <v>3332.9770599999997</v>
      </c>
      <c r="K55" s="282">
        <f t="shared" si="16"/>
        <v>3272.9658900000004</v>
      </c>
      <c r="L55" s="282">
        <f t="shared" si="16"/>
        <v>3158.5383199999997</v>
      </c>
      <c r="M55" s="282">
        <f t="shared" si="16"/>
        <v>3025.1792699999996</v>
      </c>
      <c r="N55" s="282">
        <f t="shared" si="16"/>
        <v>3070.9808600000006</v>
      </c>
      <c r="O55" s="282">
        <f t="shared" si="16"/>
        <v>3229.0870200000004</v>
      </c>
      <c r="P55" s="319">
        <f t="shared" si="16"/>
        <v>38812.936840000009</v>
      </c>
      <c r="Q55" s="277"/>
    </row>
    <row r="56" spans="3:19">
      <c r="C56" s="307" t="s">
        <v>116</v>
      </c>
      <c r="D56" s="268">
        <v>677.47176000000002</v>
      </c>
      <c r="E56" s="268">
        <v>767.50485000000003</v>
      </c>
      <c r="F56" s="268">
        <v>829.14429000000007</v>
      </c>
      <c r="G56" s="268">
        <v>836.82286999999997</v>
      </c>
      <c r="H56" s="268">
        <v>834.08973000000003</v>
      </c>
      <c r="I56" s="268">
        <v>833.65360999999996</v>
      </c>
      <c r="J56" s="268">
        <v>876.35623999999996</v>
      </c>
      <c r="K56" s="268">
        <v>889.58629000000008</v>
      </c>
      <c r="L56" s="268">
        <v>913.15360999999996</v>
      </c>
      <c r="M56" s="268">
        <v>898.97691999999995</v>
      </c>
      <c r="N56" s="268">
        <f>(+[4]data!P481)/1000</f>
        <v>836.08719000000008</v>
      </c>
      <c r="O56" s="268">
        <v>911.86063999999999</v>
      </c>
      <c r="P56" s="306">
        <f t="shared" si="7"/>
        <v>10104.708000000002</v>
      </c>
      <c r="Q56" s="327"/>
    </row>
    <row r="57" spans="3:19">
      <c r="C57" s="307" t="s">
        <v>117</v>
      </c>
      <c r="D57" s="268">
        <v>1228.1913099999999</v>
      </c>
      <c r="E57" s="268">
        <v>1265.87141</v>
      </c>
      <c r="F57" s="268">
        <v>1502.36112</v>
      </c>
      <c r="G57" s="268">
        <v>1368.29414</v>
      </c>
      <c r="H57" s="268">
        <v>1535.16184</v>
      </c>
      <c r="I57" s="268">
        <v>1503.2411700000002</v>
      </c>
      <c r="J57" s="268">
        <v>1342.9428399999999</v>
      </c>
      <c r="K57" s="268">
        <v>1374.1956700000001</v>
      </c>
      <c r="L57" s="268">
        <v>1241.9371799999999</v>
      </c>
      <c r="M57" s="268">
        <v>1266.76225</v>
      </c>
      <c r="N57" s="268">
        <f>(+[4]data!P482)/1000</f>
        <v>1225.4291499999999</v>
      </c>
      <c r="O57" s="268">
        <v>1213.04501</v>
      </c>
      <c r="P57" s="306">
        <f t="shared" si="7"/>
        <v>16067.43309</v>
      </c>
      <c r="Q57" s="327"/>
    </row>
    <row r="58" spans="3:19">
      <c r="C58" s="307" t="s">
        <v>118</v>
      </c>
      <c r="D58" s="268">
        <v>340.96833999999996</v>
      </c>
      <c r="E58" s="268">
        <v>336.96891000000005</v>
      </c>
      <c r="F58" s="268">
        <v>381.86814000000004</v>
      </c>
      <c r="G58" s="268">
        <v>326.54090000000002</v>
      </c>
      <c r="H58" s="268">
        <v>344.31170999999995</v>
      </c>
      <c r="I58" s="268">
        <v>329.43844000000001</v>
      </c>
      <c r="J58" s="268">
        <v>287.94920000000002</v>
      </c>
      <c r="K58" s="268">
        <v>310.73048999999997</v>
      </c>
      <c r="L58" s="268">
        <v>279.82731000000001</v>
      </c>
      <c r="M58" s="268">
        <v>237.47207</v>
      </c>
      <c r="N58" s="268">
        <f>(+[4]data!P483)/1000</f>
        <v>222.09534999999997</v>
      </c>
      <c r="O58" s="268">
        <v>217.28502</v>
      </c>
      <c r="P58" s="306">
        <f t="shared" si="7"/>
        <v>3615.4558799999995</v>
      </c>
      <c r="Q58" s="277"/>
    </row>
    <row r="59" spans="3:19">
      <c r="C59" s="307" t="s">
        <v>119</v>
      </c>
      <c r="D59" s="268">
        <v>155.24303</v>
      </c>
      <c r="E59" s="268">
        <v>110.90398</v>
      </c>
      <c r="F59" s="268">
        <v>219.61247</v>
      </c>
      <c r="G59" s="268">
        <v>168.09259</v>
      </c>
      <c r="H59" s="268">
        <v>170.59325000000001</v>
      </c>
      <c r="I59" s="268">
        <v>172.46011999999999</v>
      </c>
      <c r="J59" s="268">
        <v>182.66249000000002</v>
      </c>
      <c r="K59" s="268">
        <v>179.32479999999998</v>
      </c>
      <c r="L59" s="268">
        <v>199.76873999999998</v>
      </c>
      <c r="M59" s="268">
        <v>189.13123999999999</v>
      </c>
      <c r="N59" s="268">
        <f>(+[4]data!P484)/1000</f>
        <v>191.87626999999998</v>
      </c>
      <c r="O59" s="268">
        <v>166.47946999999999</v>
      </c>
      <c r="P59" s="306">
        <f t="shared" si="7"/>
        <v>2106.1484499999997</v>
      </c>
      <c r="Q59" s="277"/>
    </row>
    <row r="60" spans="3:19">
      <c r="C60" s="307" t="s">
        <v>120</v>
      </c>
      <c r="D60" s="268">
        <v>366.77878999999996</v>
      </c>
      <c r="E60" s="268">
        <v>289.03528</v>
      </c>
      <c r="F60" s="268">
        <v>375.86326000000003</v>
      </c>
      <c r="G60" s="268">
        <v>201.73451</v>
      </c>
      <c r="H60" s="268">
        <v>150.31779</v>
      </c>
      <c r="I60" s="268">
        <v>133.32876000000002</v>
      </c>
      <c r="J60" s="268">
        <v>222.03219000000001</v>
      </c>
      <c r="K60" s="268">
        <v>322.31870000000004</v>
      </c>
      <c r="L60" s="268">
        <v>314.07557000000003</v>
      </c>
      <c r="M60" s="268">
        <v>225.04586</v>
      </c>
      <c r="N60" s="268">
        <f>(+[4]data!P485)/1000</f>
        <v>395.52991000000003</v>
      </c>
      <c r="O60" s="268">
        <v>519.62180999999998</v>
      </c>
      <c r="P60" s="306">
        <f t="shared" si="7"/>
        <v>3515.6824300000003</v>
      </c>
      <c r="Q60" s="277"/>
    </row>
    <row r="61" spans="3:19">
      <c r="C61" s="307" t="s">
        <v>121</v>
      </c>
      <c r="D61" s="268">
        <v>125.49854000000001</v>
      </c>
      <c r="E61" s="268">
        <v>120.55781</v>
      </c>
      <c r="F61" s="268">
        <v>132.04901000000001</v>
      </c>
      <c r="G61" s="268">
        <v>122.82846000000001</v>
      </c>
      <c r="H61" s="268">
        <v>115.29908999999999</v>
      </c>
      <c r="I61" s="268">
        <v>108.43941000000001</v>
      </c>
      <c r="J61" s="268">
        <v>113.29915</v>
      </c>
      <c r="K61" s="268">
        <v>115.08609000000001</v>
      </c>
      <c r="L61" s="268">
        <v>114.10804</v>
      </c>
      <c r="M61" s="268">
        <v>131.88057000000001</v>
      </c>
      <c r="N61" s="268">
        <f>(+[4]data!P486)/1000</f>
        <v>129.44985</v>
      </c>
      <c r="O61" s="268">
        <v>143.40530999999999</v>
      </c>
      <c r="P61" s="306">
        <f t="shared" si="7"/>
        <v>1471.9013300000001</v>
      </c>
      <c r="Q61" s="277"/>
    </row>
    <row r="62" spans="3:19">
      <c r="C62" s="307" t="s">
        <v>109</v>
      </c>
      <c r="D62" s="268">
        <v>28.102029999999999</v>
      </c>
      <c r="E62" s="268">
        <v>16.739630000000002</v>
      </c>
      <c r="F62" s="268">
        <v>17.859639999999999</v>
      </c>
      <c r="G62" s="268">
        <v>18.89</v>
      </c>
      <c r="H62" s="268">
        <v>19.18608</v>
      </c>
      <c r="I62" s="268">
        <v>19.430589999999999</v>
      </c>
      <c r="J62" s="268">
        <v>24.393000000000001</v>
      </c>
      <c r="K62" s="268">
        <v>25.370169999999998</v>
      </c>
      <c r="L62" s="268">
        <v>24.115359999999999</v>
      </c>
      <c r="M62" s="268">
        <v>3.1042799999999997</v>
      </c>
      <c r="N62" s="268">
        <f>(+[4]data!P487)/1000</f>
        <v>0</v>
      </c>
      <c r="O62" s="268">
        <v>0</v>
      </c>
      <c r="P62" s="306">
        <f t="shared" si="7"/>
        <v>197.19078000000002</v>
      </c>
      <c r="Q62" s="277"/>
    </row>
    <row r="63" spans="3:19">
      <c r="C63" s="307" t="s">
        <v>122</v>
      </c>
      <c r="D63" s="268">
        <v>56.680680000000002</v>
      </c>
      <c r="E63" s="268">
        <v>49.263400000000004</v>
      </c>
      <c r="F63" s="268">
        <v>70.648040000000009</v>
      </c>
      <c r="G63" s="268">
        <v>70.81271000000001</v>
      </c>
      <c r="H63" s="268">
        <v>78.738720000000001</v>
      </c>
      <c r="I63" s="268">
        <v>76.9101</v>
      </c>
      <c r="J63" s="268">
        <v>62.973009999999995</v>
      </c>
      <c r="K63" s="268">
        <v>56.353679999999997</v>
      </c>
      <c r="L63" s="268">
        <v>71.552509999999998</v>
      </c>
      <c r="M63" s="268">
        <v>72.806080000000009</v>
      </c>
      <c r="N63" s="268">
        <f>(+[4]data!P488)/1000</f>
        <v>70.513139999999993</v>
      </c>
      <c r="O63" s="268">
        <v>57.389760000000003</v>
      </c>
      <c r="P63" s="306">
        <f t="shared" si="7"/>
        <v>794.64183000000003</v>
      </c>
      <c r="Q63" s="277"/>
    </row>
    <row r="64" spans="3:19" ht="12" thickBot="1">
      <c r="C64" s="308" t="s">
        <v>123</v>
      </c>
      <c r="D64" s="292"/>
      <c r="E64" s="292">
        <v>0</v>
      </c>
      <c r="F64" s="292">
        <v>283.83991000000003</v>
      </c>
      <c r="G64" s="292">
        <v>434.49443000000008</v>
      </c>
      <c r="H64" s="292">
        <v>1.0587200000000001</v>
      </c>
      <c r="I64" s="292">
        <v>1.3050000000000001E-2</v>
      </c>
      <c r="J64" s="292">
        <v>220.36894000000001</v>
      </c>
      <c r="K64" s="292">
        <v>0</v>
      </c>
      <c r="L64" s="292">
        <v>0</v>
      </c>
      <c r="M64" s="292">
        <v>0</v>
      </c>
      <c r="N64" s="292">
        <f>(+[4]data!P489)/1000</f>
        <v>0</v>
      </c>
      <c r="O64" s="292">
        <v>0</v>
      </c>
      <c r="P64" s="309">
        <f>SUM(D64:O64)</f>
        <v>939.77505000000019</v>
      </c>
      <c r="Q64" s="277"/>
    </row>
    <row r="65" spans="1:248" ht="12" thickTop="1">
      <c r="D65" s="293">
        <f t="shared" ref="D65:O65" si="17">+D35/D28</f>
        <v>4.5856869673689743E-3</v>
      </c>
      <c r="E65" s="293">
        <f t="shared" si="17"/>
        <v>3.2461605302912403E-3</v>
      </c>
      <c r="F65" s="293">
        <f t="shared" si="17"/>
        <v>4.5177366475858622E-3</v>
      </c>
      <c r="G65" s="293">
        <f t="shared" si="17"/>
        <v>5.1063284508558373E-3</v>
      </c>
      <c r="H65" s="293">
        <f t="shared" si="17"/>
        <v>4.6590987745568687E-3</v>
      </c>
      <c r="I65" s="293">
        <f t="shared" si="17"/>
        <v>4.7146801622840176E-3</v>
      </c>
      <c r="J65" s="293">
        <f t="shared" si="17"/>
        <v>4.9454213165507658E-3</v>
      </c>
      <c r="K65" s="293">
        <f t="shared" si="17"/>
        <v>4.7062922987586263E-3</v>
      </c>
      <c r="L65" s="293">
        <f t="shared" si="17"/>
        <v>4.3128310266092023E-3</v>
      </c>
      <c r="M65" s="293">
        <f t="shared" si="17"/>
        <v>4.3685616446284582E-3</v>
      </c>
      <c r="N65" s="293">
        <f t="shared" si="17"/>
        <v>4.2223984180596846E-3</v>
      </c>
      <c r="O65" s="293">
        <f t="shared" si="17"/>
        <v>4.4858549979288386E-3</v>
      </c>
    </row>
    <row r="66" spans="1:248">
      <c r="D66" s="294"/>
      <c r="E66" s="295"/>
      <c r="F66" s="294"/>
      <c r="G66" s="294"/>
      <c r="H66" s="294"/>
      <c r="L66" s="246"/>
      <c r="M66" s="246"/>
    </row>
    <row r="67" spans="1:248">
      <c r="C67" s="221" t="s">
        <v>92</v>
      </c>
      <c r="D67" s="294"/>
      <c r="E67" s="295"/>
      <c r="F67" s="294"/>
      <c r="G67" s="294"/>
      <c r="H67" s="294"/>
      <c r="L67" s="246"/>
      <c r="M67" s="246"/>
    </row>
    <row r="68" spans="1:248" s="231" customFormat="1">
      <c r="A68" s="221"/>
      <c r="B68" s="221"/>
      <c r="C68" s="221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</row>
    <row r="69" spans="1:248"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  <c r="BW69" s="231"/>
      <c r="BX69" s="231"/>
      <c r="BY69" s="231"/>
      <c r="BZ69" s="231"/>
      <c r="CA69" s="231"/>
      <c r="CB69" s="231"/>
      <c r="CC69" s="231"/>
      <c r="CD69" s="231"/>
      <c r="CE69" s="231"/>
      <c r="CF69" s="231"/>
      <c r="CG69" s="231"/>
      <c r="CH69" s="231"/>
      <c r="CI69" s="231"/>
      <c r="CJ69" s="231"/>
      <c r="CK69" s="231"/>
      <c r="CL69" s="231"/>
      <c r="CM69" s="231"/>
      <c r="CN69" s="231"/>
      <c r="CO69" s="231"/>
      <c r="CP69" s="231"/>
      <c r="CQ69" s="231"/>
      <c r="CR69" s="231"/>
      <c r="CS69" s="231"/>
      <c r="CT69" s="231"/>
      <c r="CU69" s="231"/>
      <c r="CV69" s="231"/>
      <c r="CW69" s="231"/>
      <c r="CX69" s="231"/>
      <c r="CY69" s="231"/>
      <c r="CZ69" s="231"/>
      <c r="DA69" s="231"/>
      <c r="DB69" s="231"/>
      <c r="DC69" s="231"/>
      <c r="DD69" s="231"/>
      <c r="DE69" s="231"/>
      <c r="DF69" s="231"/>
      <c r="DG69" s="231"/>
      <c r="DH69" s="231"/>
      <c r="DI69" s="231"/>
      <c r="DJ69" s="231"/>
      <c r="DK69" s="231"/>
      <c r="DL69" s="231"/>
      <c r="DM69" s="231"/>
      <c r="DN69" s="231"/>
      <c r="DO69" s="231"/>
      <c r="DP69" s="231"/>
      <c r="DQ69" s="231"/>
      <c r="DR69" s="231"/>
      <c r="DS69" s="231"/>
      <c r="DT69" s="231"/>
      <c r="DU69" s="231"/>
      <c r="DV69" s="231"/>
      <c r="DW69" s="231"/>
      <c r="DX69" s="231"/>
      <c r="DY69" s="231"/>
      <c r="DZ69" s="231"/>
      <c r="EA69" s="231"/>
      <c r="EB69" s="231"/>
      <c r="EC69" s="231"/>
      <c r="ED69" s="231"/>
      <c r="EE69" s="231"/>
      <c r="EF69" s="231"/>
      <c r="EG69" s="231"/>
      <c r="EH69" s="231"/>
      <c r="EI69" s="231"/>
      <c r="EJ69" s="231"/>
      <c r="EK69" s="231"/>
      <c r="EL69" s="231"/>
      <c r="EM69" s="231"/>
      <c r="EN69" s="231"/>
      <c r="EO69" s="231"/>
      <c r="EP69" s="231"/>
      <c r="EQ69" s="231"/>
      <c r="ER69" s="231"/>
      <c r="ES69" s="231"/>
      <c r="ET69" s="231"/>
      <c r="EU69" s="231"/>
      <c r="EV69" s="231"/>
      <c r="EW69" s="231"/>
      <c r="EX69" s="231"/>
      <c r="EY69" s="231"/>
      <c r="EZ69" s="231"/>
      <c r="FA69" s="231"/>
      <c r="FB69" s="231"/>
      <c r="FC69" s="231"/>
      <c r="FD69" s="231"/>
      <c r="FE69" s="231"/>
      <c r="FF69" s="231"/>
      <c r="FG69" s="231"/>
      <c r="FH69" s="231"/>
      <c r="FI69" s="231"/>
      <c r="FJ69" s="231"/>
      <c r="FK69" s="231"/>
      <c r="FL69" s="231"/>
      <c r="FM69" s="231"/>
      <c r="FN69" s="231"/>
      <c r="FO69" s="231"/>
      <c r="FP69" s="231"/>
      <c r="FQ69" s="231"/>
      <c r="FR69" s="231"/>
      <c r="FS69" s="231"/>
      <c r="FT69" s="231"/>
      <c r="FU69" s="231"/>
      <c r="FV69" s="231"/>
      <c r="FW69" s="231"/>
      <c r="FX69" s="231"/>
      <c r="FY69" s="231"/>
      <c r="FZ69" s="231"/>
      <c r="GA69" s="231"/>
      <c r="GB69" s="231"/>
      <c r="GC69" s="231"/>
      <c r="GD69" s="231"/>
      <c r="GE69" s="231"/>
      <c r="GF69" s="231"/>
      <c r="GG69" s="231"/>
      <c r="GH69" s="231"/>
      <c r="GI69" s="231"/>
      <c r="GJ69" s="231"/>
      <c r="GK69" s="231"/>
      <c r="GL69" s="231"/>
      <c r="GM69" s="231"/>
      <c r="GN69" s="231"/>
      <c r="GO69" s="231"/>
      <c r="GP69" s="231"/>
      <c r="GQ69" s="231"/>
      <c r="GR69" s="231"/>
      <c r="GS69" s="231"/>
      <c r="GT69" s="231"/>
      <c r="GU69" s="231"/>
      <c r="GV69" s="231"/>
      <c r="GW69" s="231"/>
      <c r="GX69" s="231"/>
      <c r="GY69" s="231"/>
      <c r="GZ69" s="231"/>
      <c r="HA69" s="231"/>
      <c r="HB69" s="231"/>
      <c r="HC69" s="231"/>
      <c r="HD69" s="231"/>
      <c r="HE69" s="231"/>
      <c r="HF69" s="231"/>
      <c r="HG69" s="231"/>
      <c r="HH69" s="231"/>
      <c r="HI69" s="231"/>
      <c r="HJ69" s="231"/>
      <c r="HK69" s="231"/>
      <c r="HL69" s="231"/>
      <c r="HM69" s="231"/>
      <c r="HN69" s="231"/>
      <c r="HO69" s="231"/>
      <c r="HP69" s="231"/>
      <c r="HQ69" s="231"/>
      <c r="HR69" s="231"/>
      <c r="HS69" s="231"/>
      <c r="HT69" s="231"/>
      <c r="HU69" s="231"/>
      <c r="HV69" s="231"/>
      <c r="HW69" s="231"/>
      <c r="HX69" s="231"/>
      <c r="HY69" s="231"/>
      <c r="HZ69" s="231"/>
      <c r="IA69" s="231"/>
      <c r="IB69" s="231"/>
      <c r="IC69" s="231"/>
      <c r="ID69" s="231"/>
      <c r="IE69" s="231"/>
      <c r="IF69" s="231"/>
      <c r="IG69" s="231"/>
      <c r="IH69" s="231"/>
      <c r="II69" s="231"/>
      <c r="IJ69" s="231"/>
      <c r="IK69" s="231"/>
      <c r="IL69" s="231"/>
      <c r="IM69" s="231"/>
      <c r="IN69" s="231"/>
    </row>
    <row r="70" spans="1:248">
      <c r="D70" s="297">
        <f t="shared" ref="D70:O70" si="18">+D40-D41</f>
        <v>0</v>
      </c>
      <c r="E70" s="297">
        <f t="shared" si="18"/>
        <v>0</v>
      </c>
      <c r="F70" s="297">
        <f t="shared" si="18"/>
        <v>0</v>
      </c>
      <c r="G70" s="297">
        <f t="shared" si="18"/>
        <v>0</v>
      </c>
      <c r="H70" s="297">
        <f t="shared" si="18"/>
        <v>0</v>
      </c>
      <c r="I70" s="297">
        <f t="shared" si="18"/>
        <v>0</v>
      </c>
      <c r="J70" s="297">
        <f t="shared" si="18"/>
        <v>0</v>
      </c>
      <c r="K70" s="297">
        <f t="shared" si="18"/>
        <v>0</v>
      </c>
      <c r="L70" s="297">
        <f t="shared" si="18"/>
        <v>0</v>
      </c>
      <c r="M70" s="297">
        <f t="shared" si="18"/>
        <v>0</v>
      </c>
      <c r="N70" s="297">
        <f t="shared" si="18"/>
        <v>-291.32405442318122</v>
      </c>
      <c r="O70" s="297">
        <f t="shared" si="18"/>
        <v>0</v>
      </c>
      <c r="P70" s="297"/>
    </row>
    <row r="71" spans="1:248">
      <c r="B71" s="278"/>
      <c r="C71" s="249"/>
      <c r="D71" s="297">
        <f t="shared" ref="D71:O71" si="19">+D70*0.4</f>
        <v>0</v>
      </c>
      <c r="E71" s="297">
        <f t="shared" si="19"/>
        <v>0</v>
      </c>
      <c r="F71" s="297">
        <f t="shared" si="19"/>
        <v>0</v>
      </c>
      <c r="G71" s="297">
        <f t="shared" si="19"/>
        <v>0</v>
      </c>
      <c r="H71" s="297">
        <f t="shared" si="19"/>
        <v>0</v>
      </c>
      <c r="I71" s="297">
        <f>+I70*0.4</f>
        <v>0</v>
      </c>
      <c r="J71" s="297">
        <f t="shared" si="19"/>
        <v>0</v>
      </c>
      <c r="K71" s="297">
        <f t="shared" si="19"/>
        <v>0</v>
      </c>
      <c r="L71" s="297">
        <f t="shared" si="19"/>
        <v>0</v>
      </c>
      <c r="M71" s="297">
        <f t="shared" si="19"/>
        <v>0</v>
      </c>
      <c r="N71" s="297">
        <f t="shared" si="19"/>
        <v>-116.5296217692725</v>
      </c>
      <c r="O71" s="297">
        <f t="shared" si="19"/>
        <v>0</v>
      </c>
      <c r="P71" s="297"/>
    </row>
    <row r="72" spans="1:248">
      <c r="B72" s="278"/>
      <c r="C72" s="249">
        <v>1000</v>
      </c>
      <c r="D72" s="297">
        <f t="shared" ref="D72:O72" si="20">+D70*0.6</f>
        <v>0</v>
      </c>
      <c r="E72" s="297">
        <f t="shared" si="20"/>
        <v>0</v>
      </c>
      <c r="F72" s="297">
        <f t="shared" si="20"/>
        <v>0</v>
      </c>
      <c r="G72" s="297">
        <f t="shared" si="20"/>
        <v>0</v>
      </c>
      <c r="H72" s="297">
        <f t="shared" si="20"/>
        <v>0</v>
      </c>
      <c r="I72" s="297">
        <f>+I70*0.6</f>
        <v>0</v>
      </c>
      <c r="J72" s="297">
        <f t="shared" si="20"/>
        <v>0</v>
      </c>
      <c r="K72" s="297">
        <f t="shared" si="20"/>
        <v>0</v>
      </c>
      <c r="L72" s="297">
        <f t="shared" si="20"/>
        <v>0</v>
      </c>
      <c r="M72" s="297">
        <f t="shared" si="20"/>
        <v>0</v>
      </c>
      <c r="N72" s="297">
        <f t="shared" si="20"/>
        <v>-174.79443265390873</v>
      </c>
      <c r="O72" s="297">
        <f t="shared" si="20"/>
        <v>0</v>
      </c>
      <c r="P72" s="297"/>
    </row>
    <row r="73" spans="1:248"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7"/>
      <c r="P73" s="297"/>
    </row>
    <row r="74" spans="1:248">
      <c r="D74" s="300">
        <f t="shared" ref="D74:O74" si="21">D37/D27</f>
        <v>1.7770957274550029E-2</v>
      </c>
      <c r="E74" s="300">
        <f t="shared" si="21"/>
        <v>1.4655676235565351E-2</v>
      </c>
      <c r="F74" s="300">
        <f t="shared" si="21"/>
        <v>1.8443320724975225E-2</v>
      </c>
      <c r="G74" s="300">
        <f t="shared" si="21"/>
        <v>1.8026123503715141E-2</v>
      </c>
      <c r="H74" s="300">
        <f t="shared" si="21"/>
        <v>1.7088808381544706E-2</v>
      </c>
      <c r="I74" s="300">
        <f t="shared" si="21"/>
        <v>1.7314733323972552E-2</v>
      </c>
      <c r="J74" s="300">
        <f t="shared" si="21"/>
        <v>1.6912653900202631E-2</v>
      </c>
      <c r="K74" s="300">
        <f t="shared" si="21"/>
        <v>1.6511032986328091E-2</v>
      </c>
      <c r="L74" s="300">
        <f t="shared" si="21"/>
        <v>1.6530879867929116E-2</v>
      </c>
      <c r="M74" s="300">
        <f t="shared" si="21"/>
        <v>1.6309088089916865E-2</v>
      </c>
      <c r="N74" s="300">
        <f t="shared" si="21"/>
        <v>2.1162743819988016E-2</v>
      </c>
      <c r="O74" s="300">
        <f t="shared" si="21"/>
        <v>1.8326035434212552E-2</v>
      </c>
    </row>
    <row r="75" spans="1:248">
      <c r="D75" s="246"/>
      <c r="E75" s="246"/>
      <c r="F75" s="246"/>
      <c r="G75" s="246"/>
      <c r="H75" s="246"/>
      <c r="I75" s="246"/>
      <c r="J75" s="246"/>
      <c r="K75" s="301"/>
      <c r="L75" s="246"/>
      <c r="M75" s="246"/>
      <c r="N75" s="246"/>
      <c r="O75" s="246"/>
    </row>
    <row r="76" spans="1:248" ht="12" thickBot="1">
      <c r="D76" s="237"/>
      <c r="E76" s="237"/>
      <c r="F76" s="246"/>
      <c r="G76" s="237"/>
      <c r="H76" s="237"/>
      <c r="I76" s="237"/>
      <c r="J76" s="237"/>
      <c r="K76" s="237"/>
      <c r="L76" s="237"/>
      <c r="M76" s="237"/>
      <c r="N76" s="237"/>
      <c r="O76" s="237"/>
    </row>
    <row r="77" spans="1:248" ht="12" thickTop="1">
      <c r="C77" s="320" t="s">
        <v>40</v>
      </c>
      <c r="D77" s="337"/>
      <c r="E77" s="338">
        <f t="shared" ref="E77:E99" si="22">+E41/D41-1</f>
        <v>0.21915282137333159</v>
      </c>
      <c r="F77" s="339"/>
      <c r="G77" s="339"/>
      <c r="H77" s="339"/>
      <c r="I77" s="339"/>
      <c r="J77" s="339"/>
      <c r="K77" s="339"/>
      <c r="L77" s="339"/>
      <c r="M77" s="339"/>
      <c r="N77" s="339"/>
      <c r="O77" s="339"/>
      <c r="P77" s="340"/>
    </row>
    <row r="78" spans="1:248">
      <c r="C78" s="318" t="s">
        <v>44</v>
      </c>
      <c r="D78" s="336"/>
      <c r="E78" s="330" t="e">
        <f t="shared" si="22"/>
        <v>#DIV/0!</v>
      </c>
      <c r="F78" s="329"/>
      <c r="G78" s="329"/>
      <c r="H78" s="329"/>
      <c r="I78" s="329"/>
      <c r="J78" s="329"/>
      <c r="K78" s="329"/>
      <c r="L78" s="329"/>
      <c r="M78" s="329"/>
      <c r="N78" s="329"/>
      <c r="O78" s="329"/>
      <c r="P78" s="331"/>
    </row>
    <row r="79" spans="1:248">
      <c r="C79" s="315" t="s">
        <v>41</v>
      </c>
      <c r="D79" s="336"/>
      <c r="E79" s="330" t="e">
        <f t="shared" si="22"/>
        <v>#DIV/0!</v>
      </c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31"/>
    </row>
    <row r="80" spans="1:248">
      <c r="C80" s="315"/>
      <c r="D80" s="336"/>
      <c r="E80" s="330" t="e">
        <f t="shared" si="22"/>
        <v>#DIV/0!</v>
      </c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31"/>
    </row>
    <row r="81" spans="3:16">
      <c r="C81" s="318" t="s">
        <v>42</v>
      </c>
      <c r="D81" s="336"/>
      <c r="E81" s="330">
        <f t="shared" si="22"/>
        <v>-2.0517275197870499E-2</v>
      </c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31"/>
    </row>
    <row r="82" spans="3:16">
      <c r="C82" s="315" t="s">
        <v>47</v>
      </c>
      <c r="D82" s="336"/>
      <c r="E82" s="330">
        <f t="shared" si="22"/>
        <v>-2.889515981454871E-2</v>
      </c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31"/>
    </row>
    <row r="83" spans="3:16">
      <c r="C83" s="315" t="s">
        <v>48</v>
      </c>
      <c r="D83" s="325"/>
      <c r="E83" s="330">
        <f t="shared" si="22"/>
        <v>-2.9066583481386687E-2</v>
      </c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32"/>
    </row>
    <row r="84" spans="3:16">
      <c r="C84" s="315" t="s">
        <v>50</v>
      </c>
      <c r="D84" s="278"/>
      <c r="E84" s="330">
        <f t="shared" si="22"/>
        <v>-5.9066620130111103E-2</v>
      </c>
      <c r="F84" s="278"/>
      <c r="G84" s="278"/>
      <c r="H84" s="278"/>
      <c r="I84" s="278"/>
      <c r="J84" s="278"/>
      <c r="K84" s="278"/>
      <c r="L84" s="278"/>
      <c r="M84" s="278"/>
      <c r="N84" s="278"/>
      <c r="P84" s="331"/>
    </row>
    <row r="85" spans="3:16">
      <c r="C85" s="315" t="s">
        <v>51</v>
      </c>
      <c r="E85" s="330">
        <f t="shared" si="22"/>
        <v>-0.108263938439499</v>
      </c>
      <c r="P85" s="331"/>
    </row>
    <row r="86" spans="3:16">
      <c r="C86" s="315" t="s">
        <v>52</v>
      </c>
      <c r="E86" s="330">
        <f t="shared" si="22"/>
        <v>1.9493245358921829E-2</v>
      </c>
      <c r="I86" s="329"/>
      <c r="J86" s="329"/>
      <c r="K86" s="329"/>
      <c r="L86" s="329"/>
      <c r="M86" s="329"/>
      <c r="N86" s="329"/>
      <c r="O86" s="329"/>
      <c r="P86" s="331"/>
    </row>
    <row r="87" spans="3:16">
      <c r="C87" s="315" t="s">
        <v>90</v>
      </c>
      <c r="E87" s="330">
        <f t="shared" si="22"/>
        <v>-8.6828671232606403E-2</v>
      </c>
      <c r="P87" s="331"/>
    </row>
    <row r="88" spans="3:16">
      <c r="C88" s="315" t="s">
        <v>53</v>
      </c>
      <c r="E88" s="330">
        <f t="shared" si="22"/>
        <v>-1.0973340864064318E-2</v>
      </c>
      <c r="P88" s="331"/>
    </row>
    <row r="89" spans="3:16">
      <c r="C89" s="315" t="s">
        <v>54</v>
      </c>
      <c r="E89" s="330">
        <f t="shared" si="22"/>
        <v>-9.0247004930121832E-2</v>
      </c>
      <c r="P89" s="331"/>
    </row>
    <row r="90" spans="3:16">
      <c r="C90" s="307" t="s">
        <v>93</v>
      </c>
      <c r="E90" s="330">
        <f t="shared" si="22"/>
        <v>4.2491895679893865E-2</v>
      </c>
      <c r="P90" s="331"/>
    </row>
    <row r="91" spans="3:16">
      <c r="C91" s="318" t="s">
        <v>43</v>
      </c>
      <c r="E91" s="330">
        <f t="shared" si="22"/>
        <v>-7.4151379119959948E-3</v>
      </c>
      <c r="P91" s="331"/>
    </row>
    <row r="92" spans="3:16">
      <c r="C92" s="307" t="s">
        <v>116</v>
      </c>
      <c r="E92" s="330">
        <f t="shared" si="22"/>
        <v>0.13289570918793725</v>
      </c>
      <c r="P92" s="331"/>
    </row>
    <row r="93" spans="3:16">
      <c r="C93" s="307" t="s">
        <v>117</v>
      </c>
      <c r="E93" s="330">
        <f t="shared" si="22"/>
        <v>3.0679340989637982E-2</v>
      </c>
      <c r="P93" s="331"/>
    </row>
    <row r="94" spans="3:16">
      <c r="C94" s="307" t="s">
        <v>118</v>
      </c>
      <c r="E94" s="330">
        <f t="shared" si="22"/>
        <v>-1.1729622756177061E-2</v>
      </c>
      <c r="P94" s="331"/>
    </row>
    <row r="95" spans="3:16">
      <c r="C95" s="307" t="s">
        <v>119</v>
      </c>
      <c r="E95" s="330">
        <f t="shared" si="22"/>
        <v>-0.28561056815239949</v>
      </c>
      <c r="P95" s="331"/>
    </row>
    <row r="96" spans="3:16">
      <c r="C96" s="307" t="s">
        <v>120</v>
      </c>
      <c r="E96" s="330">
        <f t="shared" si="22"/>
        <v>-0.21196293820588685</v>
      </c>
      <c r="P96" s="331"/>
    </row>
    <row r="97" spans="3:16">
      <c r="C97" s="307" t="s">
        <v>121</v>
      </c>
      <c r="E97" s="330">
        <f t="shared" si="22"/>
        <v>-3.9368824529751545E-2</v>
      </c>
      <c r="P97" s="331"/>
    </row>
    <row r="98" spans="3:16">
      <c r="C98" s="307" t="s">
        <v>109</v>
      </c>
      <c r="E98" s="330">
        <f t="shared" si="22"/>
        <v>-0.40432666252224481</v>
      </c>
      <c r="P98" s="331"/>
    </row>
    <row r="99" spans="3:16">
      <c r="C99" s="307" t="s">
        <v>122</v>
      </c>
      <c r="E99" s="330">
        <f t="shared" si="22"/>
        <v>-0.13086081536071903</v>
      </c>
      <c r="P99" s="331"/>
    </row>
    <row r="100" spans="3:16" ht="12" thickBot="1">
      <c r="C100" s="308" t="s">
        <v>123</v>
      </c>
      <c r="D100" s="333"/>
      <c r="E100" s="334"/>
      <c r="F100" s="333"/>
      <c r="G100" s="333"/>
      <c r="H100" s="333"/>
      <c r="I100" s="333"/>
      <c r="J100" s="333"/>
      <c r="K100" s="333"/>
      <c r="L100" s="333"/>
      <c r="M100" s="333"/>
      <c r="N100" s="333"/>
      <c r="O100" s="333"/>
      <c r="P100" s="335"/>
    </row>
    <row r="101" spans="3:16" ht="12" thickTop="1">
      <c r="E101" s="277"/>
    </row>
  </sheetData>
  <printOptions horizontalCentered="1"/>
  <pageMargins left="0.39370078740157483" right="0.39370078740157483" top="1.3779527559055118" bottom="1" header="0" footer="0"/>
  <pageSetup paperSize="9" scale="77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FFFD-1872-47FF-81FA-D533532655BB}">
  <sheetPr codeName="Sheet19">
    <pageSetUpPr fitToPage="1"/>
  </sheetPr>
  <dimension ref="A1:IN102"/>
  <sheetViews>
    <sheetView view="pageBreakPreview" topLeftCell="A24" zoomScale="115" zoomScaleNormal="80" zoomScaleSheetLayoutView="115" zoomScalePageLayoutView="85" workbookViewId="0">
      <selection activeCell="L39" sqref="L39"/>
    </sheetView>
  </sheetViews>
  <sheetFormatPr baseColWidth="10" defaultColWidth="9" defaultRowHeight="11.25"/>
  <cols>
    <col min="1" max="1" width="3" style="221" customWidth="1"/>
    <col min="2" max="2" width="3.85546875" style="221" customWidth="1"/>
    <col min="3" max="3" width="26.85546875" style="221" bestFit="1" customWidth="1"/>
    <col min="4" max="4" width="10.7109375" style="221" customWidth="1"/>
    <col min="5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5.7109375" style="221" customWidth="1"/>
    <col min="17" max="17" width="10.42578125" style="221" bestFit="1" customWidth="1"/>
    <col min="18" max="19" width="9.85546875" style="221" bestFit="1" customWidth="1"/>
    <col min="20" max="16384" width="9" style="221"/>
  </cols>
  <sheetData>
    <row r="1" spans="3:23" hidden="1"/>
    <row r="2" spans="3:23" hidden="1"/>
    <row r="3" spans="3:23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23">
      <c r="C4" s="222" t="s">
        <v>115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23" ht="12" thickBot="1"/>
    <row r="6" spans="3:23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23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23">
      <c r="C8" s="234" t="s">
        <v>16</v>
      </c>
      <c r="D8" s="235">
        <v>1194.446903396368</v>
      </c>
      <c r="E8" s="235">
        <v>1075.6569370117188</v>
      </c>
      <c r="F8" s="236">
        <v>1137.1334897511006</v>
      </c>
      <c r="G8" s="236">
        <v>1017.4892621564865</v>
      </c>
      <c r="H8" s="236">
        <v>1178.1628006150722</v>
      </c>
      <c r="I8" s="236">
        <v>1098.1840960661016</v>
      </c>
      <c r="J8" s="268">
        <v>1145.8343172607422</v>
      </c>
      <c r="K8" s="341">
        <v>1167.1176105632783</v>
      </c>
      <c r="L8" s="268">
        <v>1173.2548820304871</v>
      </c>
      <c r="M8" s="268">
        <v>1114.9656564164161</v>
      </c>
      <c r="N8" s="268">
        <v>1096.327081031829</v>
      </c>
      <c r="O8" s="275">
        <v>1159.8508466930389</v>
      </c>
      <c r="P8" s="239">
        <f t="shared" ref="P8:P14" si="0">+SUM(D8:O8)</f>
        <v>13558.42388299264</v>
      </c>
    </row>
    <row r="9" spans="3:23">
      <c r="C9" s="234" t="s">
        <v>17</v>
      </c>
      <c r="D9" s="235">
        <v>405.86165688506117</v>
      </c>
      <c r="E9" s="235">
        <v>295.435346701622</v>
      </c>
      <c r="F9" s="236">
        <v>409.80223843860625</v>
      </c>
      <c r="G9" s="236">
        <v>382.73067823637291</v>
      </c>
      <c r="H9" s="236">
        <v>401.77536577796934</v>
      </c>
      <c r="I9" s="236">
        <v>388.1133429173949</v>
      </c>
      <c r="J9" s="268">
        <v>414.88891276741026</v>
      </c>
      <c r="K9" s="341">
        <v>411.25745244812964</v>
      </c>
      <c r="L9" s="268">
        <v>400.91844470930101</v>
      </c>
      <c r="M9" s="268">
        <v>408.92698566252744</v>
      </c>
      <c r="N9" s="268">
        <v>376.08489379756759</v>
      </c>
      <c r="O9" s="275">
        <v>415.13607842161645</v>
      </c>
      <c r="P9" s="239">
        <f t="shared" si="0"/>
        <v>4710.931396763579</v>
      </c>
    </row>
    <row r="10" spans="3:23">
      <c r="C10" s="234" t="s">
        <v>18</v>
      </c>
      <c r="D10" s="235">
        <v>3389.7700146369934</v>
      </c>
      <c r="E10" s="235">
        <v>3115.78030758667</v>
      </c>
      <c r="F10" s="236">
        <v>3268.8079862670897</v>
      </c>
      <c r="G10" s="236">
        <v>2928.5504733972548</v>
      </c>
      <c r="H10" s="236">
        <v>3360.2012943115233</v>
      </c>
      <c r="I10" s="236">
        <v>3212.2527008285524</v>
      </c>
      <c r="J10" s="268">
        <v>3321.3284190826416</v>
      </c>
      <c r="K10" s="341">
        <v>3310.2240399010702</v>
      </c>
      <c r="L10" s="268">
        <v>3351.7143675842285</v>
      </c>
      <c r="M10" s="268">
        <v>3185.7204467914698</v>
      </c>
      <c r="N10" s="268">
        <v>3158.8437534677983</v>
      </c>
      <c r="O10" s="268">
        <v>3436.8137113342286</v>
      </c>
      <c r="P10" s="239">
        <f t="shared" si="0"/>
        <v>39040.007515189522</v>
      </c>
    </row>
    <row r="11" spans="3:23">
      <c r="C11" s="234" t="s">
        <v>19</v>
      </c>
      <c r="D11" s="235">
        <v>7831.5826191015894</v>
      </c>
      <c r="E11" s="235">
        <v>8517.5072602728487</v>
      </c>
      <c r="F11" s="236">
        <v>7427.7130383838767</v>
      </c>
      <c r="G11" s="236">
        <v>6267.5325472635932</v>
      </c>
      <c r="H11" s="236">
        <v>7515.8067284860244</v>
      </c>
      <c r="I11" s="236">
        <v>7180.8027878093098</v>
      </c>
      <c r="J11" s="342">
        <v>7316.3584990890686</v>
      </c>
      <c r="K11" s="342">
        <v>7645.333382727189</v>
      </c>
      <c r="L11" s="342">
        <v>8103.8816327667237</v>
      </c>
      <c r="M11" s="268">
        <v>8294.0299638822235</v>
      </c>
      <c r="N11" s="268">
        <v>8176.4285958513847</v>
      </c>
      <c r="O11" s="268">
        <v>7624.1956758548968</v>
      </c>
      <c r="P11" s="239">
        <f t="shared" si="0"/>
        <v>91901.172731488725</v>
      </c>
    </row>
    <row r="12" spans="3:23">
      <c r="C12" s="234" t="s">
        <v>20</v>
      </c>
      <c r="D12" s="235">
        <v>47588.120200066835</v>
      </c>
      <c r="E12" s="235">
        <v>72665.762570478735</v>
      </c>
      <c r="F12" s="236">
        <v>50925.034053079129</v>
      </c>
      <c r="G12" s="236">
        <v>42144.701305800976</v>
      </c>
      <c r="H12" s="236">
        <v>46569.503439509448</v>
      </c>
      <c r="I12" s="236">
        <v>45232.516780026439</v>
      </c>
      <c r="J12" s="268">
        <v>46296.207560379968</v>
      </c>
      <c r="K12" s="341">
        <v>47257.456017541226</v>
      </c>
      <c r="L12" s="268">
        <v>49541.586102058136</v>
      </c>
      <c r="M12" s="268">
        <v>51191.305973612129</v>
      </c>
      <c r="N12" s="268">
        <v>50832.288358475802</v>
      </c>
      <c r="O12" s="268">
        <v>48076.08520096034</v>
      </c>
      <c r="P12" s="239">
        <f t="shared" si="0"/>
        <v>598320.56756198918</v>
      </c>
      <c r="S12" s="221">
        <f>+J12/(24*31)</f>
        <v>62.226085430618234</v>
      </c>
      <c r="T12" s="221">
        <f>+K12/(24*31)</f>
        <v>63.518086045082292</v>
      </c>
      <c r="U12" s="221">
        <f>+L12/(24*30)</f>
        <v>68.807758475080746</v>
      </c>
      <c r="V12" s="221">
        <f>+U14-U12</f>
        <v>24.775625491543607</v>
      </c>
      <c r="W12" s="221">
        <f>+SUM(L8:L11,L13)/(24*30)</f>
        <v>24.775625491543593</v>
      </c>
    </row>
    <row r="13" spans="3:23">
      <c r="C13" s="234" t="s">
        <v>21</v>
      </c>
      <c r="D13" s="235">
        <v>4710.8470431795904</v>
      </c>
      <c r="E13" s="235">
        <v>5117.8096192417725</v>
      </c>
      <c r="F13" s="236">
        <v>4216.6535799983958</v>
      </c>
      <c r="G13" s="236">
        <v>3453.4059257834406</v>
      </c>
      <c r="H13" s="236">
        <v>4297.2019033687229</v>
      </c>
      <c r="I13" s="236">
        <v>4182.5354675244835</v>
      </c>
      <c r="J13" s="268">
        <v>4093.6785486969311</v>
      </c>
      <c r="K13" s="341">
        <v>4477.7634072875981</v>
      </c>
      <c r="L13" s="268">
        <v>4808.6810268206473</v>
      </c>
      <c r="M13" s="268">
        <v>3776.149772275618</v>
      </c>
      <c r="N13" s="268">
        <v>4978.424437744141</v>
      </c>
      <c r="O13" s="268">
        <v>4392.2003757019047</v>
      </c>
      <c r="P13" s="239">
        <f t="shared" si="0"/>
        <v>52505.351107623239</v>
      </c>
    </row>
    <row r="14" spans="3:23">
      <c r="C14" s="240" t="s">
        <v>22</v>
      </c>
      <c r="D14" s="241">
        <f t="shared" ref="D14:M14" si="1">SUM(D8:D13)</f>
        <v>65120.628437266438</v>
      </c>
      <c r="E14" s="241">
        <f t="shared" si="1"/>
        <v>90787.952041293363</v>
      </c>
      <c r="F14" s="241">
        <f t="shared" si="1"/>
        <v>67385.144385918204</v>
      </c>
      <c r="G14" s="241">
        <f t="shared" si="1"/>
        <v>56194.410192638119</v>
      </c>
      <c r="H14" s="241">
        <f t="shared" si="1"/>
        <v>63322.651532068761</v>
      </c>
      <c r="I14" s="241">
        <f t="shared" si="1"/>
        <v>61294.40517517228</v>
      </c>
      <c r="J14" s="241">
        <f t="shared" si="1"/>
        <v>62588.296257276757</v>
      </c>
      <c r="K14" s="241">
        <f t="shared" si="1"/>
        <v>64269.151910468485</v>
      </c>
      <c r="L14" s="241">
        <f t="shared" si="1"/>
        <v>67380.03645596953</v>
      </c>
      <c r="M14" s="241">
        <f t="shared" si="1"/>
        <v>67971.098798640392</v>
      </c>
      <c r="N14" s="241">
        <f>SUM(N8:N13)</f>
        <v>68618.397120368521</v>
      </c>
      <c r="O14" s="242">
        <f>SUM(O8:O13)</f>
        <v>65104.281888966027</v>
      </c>
      <c r="P14" s="243">
        <f t="shared" si="0"/>
        <v>800036.45419604692</v>
      </c>
      <c r="S14" s="221">
        <f>+J14/(24*31)</f>
        <v>84.124054109242948</v>
      </c>
      <c r="T14" s="221">
        <f>+K14/(24*31)</f>
        <v>86.383268696866239</v>
      </c>
      <c r="U14" s="221">
        <f>+L14/(24*30)</f>
        <v>93.583383966624353</v>
      </c>
    </row>
    <row r="15" spans="3:23">
      <c r="C15" s="228" t="s">
        <v>23</v>
      </c>
      <c r="D15" s="244"/>
      <c r="E15" s="244"/>
      <c r="F15" s="245"/>
      <c r="G15" s="245"/>
      <c r="H15" s="245"/>
      <c r="I15" s="245"/>
      <c r="J15" s="245"/>
      <c r="K15" s="246"/>
      <c r="L15" s="236"/>
      <c r="M15" s="236"/>
      <c r="N15" s="236"/>
      <c r="O15" s="238"/>
      <c r="P15" s="247"/>
    </row>
    <row r="16" spans="3:23">
      <c r="C16" s="248" t="s">
        <v>24</v>
      </c>
      <c r="D16" s="235"/>
      <c r="E16" s="235"/>
      <c r="F16" s="236"/>
      <c r="G16" s="236"/>
      <c r="H16" s="236"/>
      <c r="I16" s="236"/>
      <c r="J16" s="236"/>
      <c r="K16" s="237"/>
      <c r="L16" s="236"/>
      <c r="M16" s="236"/>
      <c r="N16" s="236"/>
      <c r="O16" s="238"/>
      <c r="P16" s="239">
        <f t="shared" ref="P16:P22" si="2">+SUM(D16:O16)</f>
        <v>0</v>
      </c>
    </row>
    <row r="17" spans="3:18">
      <c r="C17" s="234" t="s">
        <v>25</v>
      </c>
      <c r="D17" s="235">
        <v>0</v>
      </c>
      <c r="E17" s="235">
        <v>33.138887374877932</v>
      </c>
      <c r="F17" s="236">
        <v>0</v>
      </c>
      <c r="G17" s="236">
        <v>2.9474824676513673</v>
      </c>
      <c r="H17" s="236">
        <v>12.471333417892456</v>
      </c>
      <c r="I17" s="236">
        <v>1.5689107131958009</v>
      </c>
      <c r="J17" s="236">
        <v>102.61160194015503</v>
      </c>
      <c r="K17" s="237">
        <v>127.96149028582872</v>
      </c>
      <c r="L17" s="236">
        <v>0</v>
      </c>
      <c r="M17" s="236">
        <v>8.2127872290611261</v>
      </c>
      <c r="N17" s="236">
        <v>0</v>
      </c>
      <c r="O17" s="238">
        <v>1.7076840209960937</v>
      </c>
      <c r="P17" s="239">
        <f t="shared" si="2"/>
        <v>290.62017744965857</v>
      </c>
    </row>
    <row r="18" spans="3:18">
      <c r="C18" s="248" t="s">
        <v>26</v>
      </c>
      <c r="D18" s="235">
        <v>0</v>
      </c>
      <c r="E18" s="235">
        <v>4.9871509927213191</v>
      </c>
      <c r="F18" s="236">
        <v>73.285687719006205</v>
      </c>
      <c r="G18" s="236">
        <v>6.3608254995346067</v>
      </c>
      <c r="H18" s="236">
        <v>21.231484866142274</v>
      </c>
      <c r="I18" s="236">
        <v>43.577772180557247</v>
      </c>
      <c r="J18" s="236">
        <v>92.302410171508797</v>
      </c>
      <c r="K18" s="237">
        <v>142.29993799520219</v>
      </c>
      <c r="L18" s="236">
        <v>0.65570556923153345</v>
      </c>
      <c r="M18" s="236">
        <v>5.4222817125320431</v>
      </c>
      <c r="N18" s="236">
        <v>39.418593207836153</v>
      </c>
      <c r="O18" s="238">
        <v>0</v>
      </c>
      <c r="P18" s="239">
        <f t="shared" si="2"/>
        <v>429.54184991427235</v>
      </c>
      <c r="Q18" s="249"/>
    </row>
    <row r="19" spans="3:18">
      <c r="C19" s="248" t="s">
        <v>27</v>
      </c>
      <c r="D19" s="235">
        <v>6.8827157974243161</v>
      </c>
      <c r="E19" s="235">
        <v>0</v>
      </c>
      <c r="F19" s="236">
        <v>13.998060337066651</v>
      </c>
      <c r="G19" s="236">
        <v>18.361243766784668</v>
      </c>
      <c r="H19" s="236">
        <v>67.286507513999936</v>
      </c>
      <c r="I19" s="236">
        <v>39.736601486206055</v>
      </c>
      <c r="J19" s="236">
        <v>262.14671113204952</v>
      </c>
      <c r="K19" s="237">
        <v>316.98266744126192</v>
      </c>
      <c r="L19" s="236">
        <v>65.404247463225971</v>
      </c>
      <c r="M19" s="236">
        <v>0</v>
      </c>
      <c r="N19" s="236">
        <v>451.20798157882689</v>
      </c>
      <c r="O19" s="238">
        <v>0</v>
      </c>
      <c r="P19" s="239">
        <f t="shared" si="2"/>
        <v>1242.0067365168459</v>
      </c>
      <c r="Q19" s="249"/>
    </row>
    <row r="20" spans="3:18">
      <c r="C20" s="250" t="s">
        <v>46</v>
      </c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7"/>
      <c r="P20" s="239">
        <f t="shared" si="2"/>
        <v>0</v>
      </c>
      <c r="Q20" s="249"/>
    </row>
    <row r="21" spans="3:18">
      <c r="C21" s="240" t="s">
        <v>28</v>
      </c>
      <c r="D21" s="241">
        <f t="shared" ref="D21:O21" si="3">SUM(D16:D20)</f>
        <v>6.8827157974243161</v>
      </c>
      <c r="E21" s="241">
        <f t="shared" si="3"/>
        <v>38.12603836759925</v>
      </c>
      <c r="F21" s="241">
        <f t="shared" si="3"/>
        <v>87.283748056072852</v>
      </c>
      <c r="G21" s="241">
        <f t="shared" si="3"/>
        <v>27.669551733970643</v>
      </c>
      <c r="H21" s="241">
        <f t="shared" si="3"/>
        <v>100.98932579803467</v>
      </c>
      <c r="I21" s="241">
        <f t="shared" si="3"/>
        <v>84.883284379959093</v>
      </c>
      <c r="J21" s="241">
        <f t="shared" si="3"/>
        <v>457.06072324371337</v>
      </c>
      <c r="K21" s="241">
        <f t="shared" si="3"/>
        <v>587.24409572229285</v>
      </c>
      <c r="L21" s="241">
        <f t="shared" si="3"/>
        <v>66.0599530324575</v>
      </c>
      <c r="M21" s="241">
        <f t="shared" si="3"/>
        <v>13.635068941593168</v>
      </c>
      <c r="N21" s="241">
        <f t="shared" si="3"/>
        <v>490.62657478666301</v>
      </c>
      <c r="O21" s="242">
        <f t="shared" si="3"/>
        <v>1.7076840209960937</v>
      </c>
      <c r="P21" s="243">
        <f t="shared" si="2"/>
        <v>1962.1687638807769</v>
      </c>
    </row>
    <row r="22" spans="3:18" ht="12" thickBot="1">
      <c r="C22" s="251" t="s">
        <v>29</v>
      </c>
      <c r="D22" s="252">
        <f t="shared" ref="D22:O22" si="4">+D14+D21</f>
        <v>65127.511153063861</v>
      </c>
      <c r="E22" s="252">
        <f t="shared" si="4"/>
        <v>90826.078079660962</v>
      </c>
      <c r="F22" s="252">
        <f t="shared" si="4"/>
        <v>67472.428133974274</v>
      </c>
      <c r="G22" s="252">
        <f t="shared" si="4"/>
        <v>56222.079744372088</v>
      </c>
      <c r="H22" s="252">
        <f t="shared" si="4"/>
        <v>63423.640857866798</v>
      </c>
      <c r="I22" s="252">
        <f t="shared" si="4"/>
        <v>61379.288459552241</v>
      </c>
      <c r="J22" s="252">
        <f t="shared" si="4"/>
        <v>63045.356980520468</v>
      </c>
      <c r="K22" s="252">
        <f t="shared" si="4"/>
        <v>64856.396006190778</v>
      </c>
      <c r="L22" s="252">
        <f t="shared" si="4"/>
        <v>67446.096409001984</v>
      </c>
      <c r="M22" s="252">
        <f t="shared" si="4"/>
        <v>67984.733867581992</v>
      </c>
      <c r="N22" s="252">
        <f t="shared" si="4"/>
        <v>69109.023695155178</v>
      </c>
      <c r="O22" s="253">
        <f t="shared" si="4"/>
        <v>65105.989572987026</v>
      </c>
      <c r="P22" s="254">
        <f t="shared" si="2"/>
        <v>801998.62295992766</v>
      </c>
    </row>
    <row r="23" spans="3:18" ht="12" thickTop="1"/>
    <row r="24" spans="3:18">
      <c r="C24" s="222" t="s">
        <v>114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18" ht="12" thickBot="1"/>
    <row r="26" spans="3:18" ht="12" thickTop="1">
      <c r="C26" s="310" t="s">
        <v>30</v>
      </c>
      <c r="D26" s="311" t="s">
        <v>2</v>
      </c>
      <c r="E26" s="311" t="s">
        <v>3</v>
      </c>
      <c r="F26" s="311" t="s">
        <v>4</v>
      </c>
      <c r="G26" s="311" t="s">
        <v>5</v>
      </c>
      <c r="H26" s="311" t="s">
        <v>6</v>
      </c>
      <c r="I26" s="311" t="s">
        <v>7</v>
      </c>
      <c r="J26" s="311" t="s">
        <v>8</v>
      </c>
      <c r="K26" s="311" t="s">
        <v>9</v>
      </c>
      <c r="L26" s="311" t="s">
        <v>10</v>
      </c>
      <c r="M26" s="311" t="s">
        <v>11</v>
      </c>
      <c r="N26" s="311" t="s">
        <v>12</v>
      </c>
      <c r="O26" s="311" t="s">
        <v>13</v>
      </c>
      <c r="P26" s="312" t="s">
        <v>14</v>
      </c>
    </row>
    <row r="27" spans="3:18">
      <c r="C27" s="313" t="s">
        <v>31</v>
      </c>
      <c r="D27" s="263">
        <f t="shared" ref="D27:O27" si="5">+D28+D29</f>
        <v>65127.511153063861</v>
      </c>
      <c r="E27" s="262">
        <f t="shared" si="5"/>
        <v>90826.078079660962</v>
      </c>
      <c r="F27" s="263">
        <f t="shared" si="5"/>
        <v>67472.428133974274</v>
      </c>
      <c r="G27" s="263">
        <f t="shared" si="5"/>
        <v>56222.079744372088</v>
      </c>
      <c r="H27" s="263">
        <f t="shared" si="5"/>
        <v>63423.640857866798</v>
      </c>
      <c r="I27" s="263">
        <f t="shared" si="5"/>
        <v>61379.288459552241</v>
      </c>
      <c r="J27" s="263">
        <f t="shared" si="5"/>
        <v>63045.356980520468</v>
      </c>
      <c r="K27" s="263">
        <f t="shared" si="5"/>
        <v>64856.396006190778</v>
      </c>
      <c r="L27" s="263">
        <f t="shared" si="5"/>
        <v>67446.096409001984</v>
      </c>
      <c r="M27" s="263">
        <f t="shared" si="5"/>
        <v>67984.733867581992</v>
      </c>
      <c r="N27" s="263">
        <f t="shared" si="5"/>
        <v>69109.023695155178</v>
      </c>
      <c r="O27" s="263">
        <f t="shared" si="5"/>
        <v>65105.989572987026</v>
      </c>
      <c r="P27" s="314">
        <f>SUM(D27:O27)</f>
        <v>801998.62295992766</v>
      </c>
      <c r="R27" s="249">
        <f t="shared" ref="R27:R65" si="6">+SUM(D27:L27)</f>
        <v>599798.87582420348</v>
      </c>
    </row>
    <row r="28" spans="3:18">
      <c r="C28" s="315" t="s">
        <v>32</v>
      </c>
      <c r="D28" s="268">
        <f>+D14</f>
        <v>65120.628437266438</v>
      </c>
      <c r="E28" s="268">
        <f t="shared" ref="E28:O28" si="7">+E14</f>
        <v>90787.952041293363</v>
      </c>
      <c r="F28" s="268">
        <f t="shared" si="7"/>
        <v>67385.144385918204</v>
      </c>
      <c r="G28" s="268">
        <f t="shared" si="7"/>
        <v>56194.410192638119</v>
      </c>
      <c r="H28" s="268">
        <f t="shared" si="7"/>
        <v>63322.651532068761</v>
      </c>
      <c r="I28" s="268">
        <f t="shared" si="7"/>
        <v>61294.40517517228</v>
      </c>
      <c r="J28" s="268">
        <f t="shared" si="7"/>
        <v>62588.296257276757</v>
      </c>
      <c r="K28" s="268">
        <f t="shared" si="7"/>
        <v>64269.151910468485</v>
      </c>
      <c r="L28" s="268">
        <f t="shared" si="7"/>
        <v>67380.03645596953</v>
      </c>
      <c r="M28" s="268">
        <f t="shared" si="7"/>
        <v>67971.098798640392</v>
      </c>
      <c r="N28" s="268">
        <f t="shared" si="7"/>
        <v>68618.397120368521</v>
      </c>
      <c r="O28" s="268">
        <f t="shared" si="7"/>
        <v>65104.281888966027</v>
      </c>
      <c r="P28" s="306">
        <f t="shared" ref="P28:P64" si="8">SUM(D28:O28)</f>
        <v>800036.45419604692</v>
      </c>
      <c r="R28" s="249">
        <f t="shared" si="6"/>
        <v>598342.67638807197</v>
      </c>
    </row>
    <row r="29" spans="3:18">
      <c r="C29" s="316" t="s">
        <v>33</v>
      </c>
      <c r="D29" s="272">
        <f>+D21</f>
        <v>6.8827157974243161</v>
      </c>
      <c r="E29" s="272">
        <f t="shared" ref="E29:O29" si="9">+E21</f>
        <v>38.12603836759925</v>
      </c>
      <c r="F29" s="272">
        <f t="shared" si="9"/>
        <v>87.283748056072852</v>
      </c>
      <c r="G29" s="272">
        <f t="shared" si="9"/>
        <v>27.669551733970643</v>
      </c>
      <c r="H29" s="272">
        <f t="shared" si="9"/>
        <v>100.98932579803467</v>
      </c>
      <c r="I29" s="272">
        <f t="shared" si="9"/>
        <v>84.883284379959093</v>
      </c>
      <c r="J29" s="272">
        <f t="shared" si="9"/>
        <v>457.06072324371337</v>
      </c>
      <c r="K29" s="272">
        <f t="shared" si="9"/>
        <v>587.24409572229285</v>
      </c>
      <c r="L29" s="272">
        <f t="shared" si="9"/>
        <v>66.0599530324575</v>
      </c>
      <c r="M29" s="272">
        <f t="shared" si="9"/>
        <v>13.635068941593168</v>
      </c>
      <c r="N29" s="272">
        <f t="shared" si="9"/>
        <v>490.62657478666301</v>
      </c>
      <c r="O29" s="272">
        <f t="shared" si="9"/>
        <v>1.7076840209960937</v>
      </c>
      <c r="P29" s="317">
        <f t="shared" si="8"/>
        <v>1962.1687638807769</v>
      </c>
      <c r="R29" s="249">
        <f t="shared" si="6"/>
        <v>1456.1994361315246</v>
      </c>
    </row>
    <row r="30" spans="3:18">
      <c r="C30" s="313" t="s">
        <v>34</v>
      </c>
      <c r="D30" s="263">
        <f>+SUM(D31:D33)</f>
        <v>9573.816632085196</v>
      </c>
      <c r="E30" s="263">
        <f t="shared" ref="E30:P30" si="10">+SUM(E31:E33)</f>
        <v>97.081334972381597</v>
      </c>
      <c r="F30" s="263">
        <f t="shared" si="10"/>
        <v>12694.837979280686</v>
      </c>
      <c r="G30" s="263">
        <f t="shared" si="10"/>
        <v>19430.990466902302</v>
      </c>
      <c r="H30" s="263">
        <f t="shared" si="10"/>
        <v>8770.2694640932496</v>
      </c>
      <c r="I30" s="263">
        <f t="shared" si="10"/>
        <v>6742.6802883768278</v>
      </c>
      <c r="J30" s="263">
        <f t="shared" si="10"/>
        <v>5309.11905003424</v>
      </c>
      <c r="K30" s="263">
        <f t="shared" si="10"/>
        <v>4397.4822330230272</v>
      </c>
      <c r="L30" s="263">
        <f t="shared" si="10"/>
        <v>3166.1253223296035</v>
      </c>
      <c r="M30" s="263">
        <f t="shared" si="10"/>
        <v>5015.7088530318006</v>
      </c>
      <c r="N30" s="263">
        <f t="shared" si="10"/>
        <v>3681.1081226293049</v>
      </c>
      <c r="O30" s="263">
        <f t="shared" si="10"/>
        <v>11378.424916820091</v>
      </c>
      <c r="P30" s="314">
        <f t="shared" si="10"/>
        <v>90257.644663578714</v>
      </c>
      <c r="R30" s="249">
        <f t="shared" si="6"/>
        <v>70182.402771097521</v>
      </c>
    </row>
    <row r="31" spans="3:18">
      <c r="C31" s="307" t="s">
        <v>41</v>
      </c>
      <c r="D31" s="268">
        <v>9458.2134272302301</v>
      </c>
      <c r="E31" s="268">
        <v>0</v>
      </c>
      <c r="F31" s="268">
        <v>12588.415473323799</v>
      </c>
      <c r="G31" s="268">
        <v>19330.3584669023</v>
      </c>
      <c r="H31" s="268">
        <v>8664.8681199694092</v>
      </c>
      <c r="I31" s="268">
        <v>6282.9115204877198</v>
      </c>
      <c r="J31" s="268">
        <v>4097.6484001295303</v>
      </c>
      <c r="K31" s="268">
        <v>2480.6304750415402</v>
      </c>
      <c r="L31" s="268">
        <v>0</v>
      </c>
      <c r="M31" s="268">
        <v>4739.2500568138603</v>
      </c>
      <c r="N31" s="268">
        <v>3547.73805408301</v>
      </c>
      <c r="O31" s="268">
        <v>11269.482689013999</v>
      </c>
      <c r="P31" s="306">
        <f t="shared" si="8"/>
        <v>82459.516682995396</v>
      </c>
      <c r="Q31" s="305"/>
      <c r="R31" s="249">
        <f t="shared" si="6"/>
        <v>62903.045883084531</v>
      </c>
    </row>
    <row r="32" spans="3:18">
      <c r="C32" s="307" t="s">
        <v>109</v>
      </c>
      <c r="D32" s="268">
        <v>115.60320485496521</v>
      </c>
      <c r="E32" s="268">
        <v>97.081334972381597</v>
      </c>
      <c r="F32" s="268">
        <v>106.422505956888</v>
      </c>
      <c r="G32" s="268">
        <v>100.63200000000001</v>
      </c>
      <c r="H32" s="268">
        <v>105.40134412384033</v>
      </c>
      <c r="I32" s="268">
        <v>102.86942999999999</v>
      </c>
      <c r="J32" s="268">
        <v>105.65691503335178</v>
      </c>
      <c r="K32" s="268">
        <v>105.74354135835171</v>
      </c>
      <c r="L32" s="268">
        <v>107.29324</v>
      </c>
      <c r="M32" s="268">
        <v>109.486808</v>
      </c>
      <c r="N32" s="268">
        <v>133.37006854629516</v>
      </c>
      <c r="O32" s="268">
        <v>108.94222780609131</v>
      </c>
      <c r="P32" s="306">
        <f t="shared" si="8"/>
        <v>1298.5026206521652</v>
      </c>
      <c r="R32" s="249">
        <f t="shared" si="6"/>
        <v>946.70351629977858</v>
      </c>
    </row>
    <row r="33" spans="2:20">
      <c r="C33" s="322" t="s">
        <v>125</v>
      </c>
      <c r="D33" s="272"/>
      <c r="E33" s="272"/>
      <c r="F33" s="272"/>
      <c r="G33" s="272"/>
      <c r="H33" s="272"/>
      <c r="I33" s="272">
        <v>356.89933788910827</v>
      </c>
      <c r="J33" s="272">
        <v>1105.8137348713581</v>
      </c>
      <c r="K33" s="272">
        <v>1811.1082166231351</v>
      </c>
      <c r="L33" s="272">
        <v>3058.8320823296035</v>
      </c>
      <c r="M33" s="272">
        <v>166.97198821794038</v>
      </c>
      <c r="N33" s="272">
        <v>0</v>
      </c>
      <c r="O33" s="272">
        <v>0</v>
      </c>
      <c r="P33" s="317">
        <f>SUM(D33:O33)</f>
        <v>6499.6253599311458</v>
      </c>
      <c r="R33" s="249">
        <f t="shared" si="6"/>
        <v>6332.6533717132052</v>
      </c>
    </row>
    <row r="34" spans="2:20">
      <c r="C34" s="313" t="s">
        <v>35</v>
      </c>
      <c r="D34" s="263">
        <f>+D35+D36</f>
        <v>299.17100705016816</v>
      </c>
      <c r="E34" s="263">
        <f t="shared" ref="E34:O34" si="11">+E35+E36</f>
        <v>295.46338826273455</v>
      </c>
      <c r="F34" s="263">
        <f t="shared" si="11"/>
        <v>313.78621108722638</v>
      </c>
      <c r="G34" s="263">
        <f t="shared" si="11"/>
        <v>288.716668166619</v>
      </c>
      <c r="H34" s="263">
        <f t="shared" si="11"/>
        <v>300.42902648006293</v>
      </c>
      <c r="I34" s="263">
        <f t="shared" si="11"/>
        <v>290.17017491981187</v>
      </c>
      <c r="J34" s="263">
        <f t="shared" si="11"/>
        <v>290.17017491981187</v>
      </c>
      <c r="K34" s="263">
        <f t="shared" si="11"/>
        <v>326.50802538125555</v>
      </c>
      <c r="L34" s="263">
        <f>+L35+L36</f>
        <v>293.68585625632062</v>
      </c>
      <c r="M34" s="263">
        <f t="shared" si="11"/>
        <v>297.72135719783859</v>
      </c>
      <c r="N34" s="356">
        <f t="shared" si="11"/>
        <v>311.98857809760193</v>
      </c>
      <c r="O34" s="263">
        <f t="shared" si="11"/>
        <v>292.06227849067585</v>
      </c>
      <c r="P34" s="314">
        <f t="shared" si="8"/>
        <v>3599.8727463101277</v>
      </c>
      <c r="R34" s="249">
        <f t="shared" si="6"/>
        <v>2698.1005325240112</v>
      </c>
      <c r="S34" s="278"/>
      <c r="T34" s="305"/>
    </row>
    <row r="35" spans="2:20">
      <c r="B35" s="277"/>
      <c r="C35" s="315" t="s">
        <v>32</v>
      </c>
      <c r="D35" s="268">
        <v>298.62281713165009</v>
      </c>
      <c r="E35" s="268">
        <v>294.71226654242054</v>
      </c>
      <c r="F35" s="268">
        <v>304.42833629512739</v>
      </c>
      <c r="G35" s="268">
        <v>286.94711554573126</v>
      </c>
      <c r="H35" s="268">
        <v>295.02648815475317</v>
      </c>
      <c r="I35" s="268">
        <v>288.98351613838355</v>
      </c>
      <c r="J35" s="268">
        <v>288.98351613838355</v>
      </c>
      <c r="K35" s="268">
        <v>302.46941468398609</v>
      </c>
      <c r="L35" s="268">
        <v>290.59871180136457</v>
      </c>
      <c r="M35" s="268">
        <v>296.93593515499191</v>
      </c>
      <c r="N35" s="268">
        <v>289.73421145083529</v>
      </c>
      <c r="O35" s="268">
        <v>292.04836829818623</v>
      </c>
      <c r="P35" s="306">
        <f t="shared" si="8"/>
        <v>3529.4906973358134</v>
      </c>
      <c r="R35" s="249">
        <f t="shared" si="6"/>
        <v>2650.7721824318</v>
      </c>
      <c r="T35" s="305"/>
    </row>
    <row r="36" spans="2:20">
      <c r="B36" s="278"/>
      <c r="C36" s="316" t="s">
        <v>33</v>
      </c>
      <c r="D36" s="268">
        <v>0.54818991851806642</v>
      </c>
      <c r="E36" s="268">
        <v>0.75112172031402591</v>
      </c>
      <c r="F36" s="268">
        <v>9.3578747920990004</v>
      </c>
      <c r="G36" s="272">
        <v>1.7695526208877563</v>
      </c>
      <c r="H36" s="272">
        <v>5.4025383253097532</v>
      </c>
      <c r="I36" s="272">
        <v>1.18665878142834</v>
      </c>
      <c r="J36" s="272">
        <v>1.1866587814283369</v>
      </c>
      <c r="K36" s="272">
        <v>24.038610697269441</v>
      </c>
      <c r="L36" s="272">
        <v>3.0871444549560549</v>
      </c>
      <c r="M36" s="268">
        <v>0.78542204284667971</v>
      </c>
      <c r="N36" s="272">
        <v>22.254366646766663</v>
      </c>
      <c r="O36" s="272">
        <v>1.3910192489624024E-2</v>
      </c>
      <c r="P36" s="317">
        <f t="shared" si="8"/>
        <v>70.382048974313733</v>
      </c>
      <c r="R36" s="249">
        <f t="shared" si="6"/>
        <v>47.328350092210776</v>
      </c>
      <c r="T36" s="358"/>
    </row>
    <row r="37" spans="2:20">
      <c r="C37" s="318" t="s">
        <v>36</v>
      </c>
      <c r="D37" s="263">
        <f t="shared" ref="D37:O37" si="12">+D38+D39</f>
        <v>1157.3782180988783</v>
      </c>
      <c r="E37" s="263">
        <f t="shared" si="12"/>
        <v>1331.1175940816902</v>
      </c>
      <c r="F37" s="263">
        <f t="shared" si="12"/>
        <v>1247.2028521677275</v>
      </c>
      <c r="G37" s="282">
        <f t="shared" si="12"/>
        <v>1016.2171131077775</v>
      </c>
      <c r="H37" s="282">
        <f t="shared" si="12"/>
        <v>1085.4990854800126</v>
      </c>
      <c r="I37" s="282">
        <f t="shared" si="12"/>
        <v>1062.7734530092712</v>
      </c>
      <c r="J37" s="282">
        <f t="shared" si="12"/>
        <v>1110.4137156348879</v>
      </c>
      <c r="K37" s="282">
        <f t="shared" si="12"/>
        <v>1059.3423138325597</v>
      </c>
      <c r="L37" s="282">
        <f t="shared" si="12"/>
        <v>1120.3616372979595</v>
      </c>
      <c r="M37" s="263">
        <f t="shared" si="12"/>
        <v>1106.148853415958</v>
      </c>
      <c r="N37" s="357">
        <f t="shared" si="12"/>
        <v>1171.2125096868695</v>
      </c>
      <c r="O37" s="282">
        <f t="shared" si="12"/>
        <v>1129.9652113164484</v>
      </c>
      <c r="P37" s="326">
        <f t="shared" si="8"/>
        <v>13597.63255713004</v>
      </c>
      <c r="R37" s="249">
        <f t="shared" si="6"/>
        <v>10190.305982710765</v>
      </c>
    </row>
    <row r="38" spans="2:20">
      <c r="B38" s="278"/>
      <c r="C38" s="315" t="s">
        <v>37</v>
      </c>
      <c r="D38" s="268">
        <v>462.95128723955133</v>
      </c>
      <c r="E38" s="268">
        <v>532.44703763267614</v>
      </c>
      <c r="F38" s="268">
        <v>498.88114086709106</v>
      </c>
      <c r="G38" s="268">
        <v>406.48684524311102</v>
      </c>
      <c r="H38" s="268">
        <v>434.19963419200508</v>
      </c>
      <c r="I38" s="268">
        <v>425.10938120370849</v>
      </c>
      <c r="J38" s="268">
        <v>444.16548625395518</v>
      </c>
      <c r="K38" s="268">
        <v>423.73692553302391</v>
      </c>
      <c r="L38" s="268">
        <v>448.14465491918384</v>
      </c>
      <c r="M38" s="268">
        <v>442.45954136638323</v>
      </c>
      <c r="N38" s="268">
        <v>468.4850038747478</v>
      </c>
      <c r="O38" s="268">
        <v>451.98608452657936</v>
      </c>
      <c r="P38" s="306">
        <f t="shared" si="8"/>
        <v>5439.0530228520165</v>
      </c>
      <c r="R38" s="249">
        <f t="shared" si="6"/>
        <v>4076.1223930843062</v>
      </c>
    </row>
    <row r="39" spans="2:20">
      <c r="B39" s="285"/>
      <c r="C39" s="315" t="s">
        <v>38</v>
      </c>
      <c r="D39" s="272">
        <v>694.42693085932694</v>
      </c>
      <c r="E39" s="272">
        <v>798.67055644901404</v>
      </c>
      <c r="F39" s="272">
        <v>748.32171130063648</v>
      </c>
      <c r="G39" s="268">
        <v>609.73026786466653</v>
      </c>
      <c r="H39" s="268">
        <v>651.2994512880075</v>
      </c>
      <c r="I39" s="268">
        <v>637.66407180556268</v>
      </c>
      <c r="J39" s="268">
        <v>666.24822938093268</v>
      </c>
      <c r="K39" s="272">
        <v>635.60538829953578</v>
      </c>
      <c r="L39" s="272">
        <v>672.2169823787757</v>
      </c>
      <c r="M39" s="272">
        <v>663.68931204957482</v>
      </c>
      <c r="N39" s="272">
        <v>702.72750581212165</v>
      </c>
      <c r="O39" s="272">
        <v>677.97912678986904</v>
      </c>
      <c r="P39" s="306">
        <f t="shared" si="8"/>
        <v>8158.5795342780229</v>
      </c>
      <c r="R39" s="249">
        <f t="shared" si="6"/>
        <v>6114.1835896264574</v>
      </c>
    </row>
    <row r="40" spans="2:20">
      <c r="B40" s="285"/>
      <c r="C40" s="320" t="s">
        <v>39</v>
      </c>
      <c r="D40" s="302">
        <f t="shared" ref="D40:O40" si="13">+D27+D30-D34-D37</f>
        <v>73244.778560000006</v>
      </c>
      <c r="E40" s="302">
        <f t="shared" si="13"/>
        <v>89296.578432288909</v>
      </c>
      <c r="F40" s="302">
        <f t="shared" si="13"/>
        <v>78606.277050000004</v>
      </c>
      <c r="G40" s="302">
        <f t="shared" si="13"/>
        <v>74348.136429999999</v>
      </c>
      <c r="H40" s="302">
        <f t="shared" si="13"/>
        <v>70807.982209999973</v>
      </c>
      <c r="I40" s="302">
        <f t="shared" si="13"/>
        <v>66769.025119999991</v>
      </c>
      <c r="J40" s="302">
        <f t="shared" si="13"/>
        <v>66953.892140000011</v>
      </c>
      <c r="K40" s="302">
        <f t="shared" si="13"/>
        <v>67868.027900000001</v>
      </c>
      <c r="L40" s="302">
        <f t="shared" si="13"/>
        <v>69198.174237777319</v>
      </c>
      <c r="M40" s="302">
        <f t="shared" si="13"/>
        <v>71596.572509999998</v>
      </c>
      <c r="N40" s="302">
        <f t="shared" si="13"/>
        <v>71306.930730000007</v>
      </c>
      <c r="O40" s="302">
        <f t="shared" si="13"/>
        <v>75062.387000000002</v>
      </c>
      <c r="P40" s="321">
        <f t="shared" si="8"/>
        <v>875058.76232006622</v>
      </c>
      <c r="R40" s="249">
        <f t="shared" si="6"/>
        <v>657092.87208006624</v>
      </c>
    </row>
    <row r="41" spans="2:20">
      <c r="B41" s="285"/>
      <c r="C41" s="320" t="s">
        <v>40</v>
      </c>
      <c r="D41" s="302">
        <f>+D42+D45+D56+D54</f>
        <v>73244.778560000006</v>
      </c>
      <c r="E41" s="302">
        <f t="shared" ref="E41:P41" si="14">+E42+E45+E56+E54</f>
        <v>89296.578432288909</v>
      </c>
      <c r="F41" s="302">
        <f t="shared" si="14"/>
        <v>78606.277050000004</v>
      </c>
      <c r="G41" s="302">
        <f t="shared" si="14"/>
        <v>74348.136429999999</v>
      </c>
      <c r="H41" s="302">
        <f t="shared" si="14"/>
        <v>70807.982209999973</v>
      </c>
      <c r="I41" s="302">
        <f t="shared" si="14"/>
        <v>66769.025119999991</v>
      </c>
      <c r="J41" s="302">
        <f t="shared" si="14"/>
        <v>66953.892140000011</v>
      </c>
      <c r="K41" s="302">
        <f t="shared" si="14"/>
        <v>67868.027900000001</v>
      </c>
      <c r="L41" s="302">
        <f t="shared" si="14"/>
        <v>69198.174237777319</v>
      </c>
      <c r="M41" s="302">
        <f t="shared" si="14"/>
        <v>71596.572509999998</v>
      </c>
      <c r="N41" s="302">
        <f t="shared" si="14"/>
        <v>71306.930730000007</v>
      </c>
      <c r="O41" s="302">
        <f t="shared" si="14"/>
        <v>75062.387000000002</v>
      </c>
      <c r="P41" s="321">
        <f t="shared" si="14"/>
        <v>875058.7623200661</v>
      </c>
      <c r="R41" s="249">
        <f t="shared" si="6"/>
        <v>657092.87208006624</v>
      </c>
    </row>
    <row r="42" spans="2:20">
      <c r="C42" s="318" t="s">
        <v>44</v>
      </c>
      <c r="D42" s="263">
        <f t="shared" ref="D42:O42" si="15">+D43+D44</f>
        <v>0</v>
      </c>
      <c r="E42" s="263">
        <f t="shared" si="15"/>
        <v>17515.552742288914</v>
      </c>
      <c r="F42" s="263">
        <f t="shared" si="15"/>
        <v>0</v>
      </c>
      <c r="G42" s="263">
        <f t="shared" si="15"/>
        <v>0</v>
      </c>
      <c r="H42" s="263">
        <f t="shared" si="15"/>
        <v>0</v>
      </c>
      <c r="I42" s="263">
        <f t="shared" si="15"/>
        <v>0</v>
      </c>
      <c r="J42" s="263">
        <f t="shared" si="15"/>
        <v>0</v>
      </c>
      <c r="K42" s="263">
        <f t="shared" si="15"/>
        <v>0</v>
      </c>
      <c r="L42" s="263">
        <f t="shared" si="15"/>
        <v>1627.167597777312</v>
      </c>
      <c r="M42" s="263">
        <f t="shared" si="15"/>
        <v>0</v>
      </c>
      <c r="N42" s="263">
        <f t="shared" si="15"/>
        <v>0</v>
      </c>
      <c r="O42" s="263">
        <f t="shared" si="15"/>
        <v>0</v>
      </c>
      <c r="P42" s="314">
        <f t="shared" si="8"/>
        <v>19142.720340066226</v>
      </c>
      <c r="R42" s="249">
        <f t="shared" si="6"/>
        <v>19142.720340066226</v>
      </c>
    </row>
    <row r="43" spans="2:20">
      <c r="B43" s="278"/>
      <c r="C43" s="315" t="s">
        <v>41</v>
      </c>
      <c r="D43" s="268">
        <v>0</v>
      </c>
      <c r="E43" s="268">
        <v>17515.552742288914</v>
      </c>
      <c r="F43" s="268">
        <v>0</v>
      </c>
      <c r="G43" s="268"/>
      <c r="H43" s="268"/>
      <c r="I43" s="268"/>
      <c r="J43" s="268"/>
      <c r="K43" s="268"/>
      <c r="L43" s="268">
        <v>1627.167597777312</v>
      </c>
      <c r="M43" s="268"/>
      <c r="N43" s="268"/>
      <c r="O43" s="268"/>
      <c r="P43" s="306">
        <f t="shared" si="8"/>
        <v>19142.720340066226</v>
      </c>
      <c r="Q43" s="246"/>
      <c r="R43" s="249">
        <f t="shared" si="6"/>
        <v>19142.720340066226</v>
      </c>
    </row>
    <row r="44" spans="2:20" hidden="1">
      <c r="C44" s="315" t="s">
        <v>45</v>
      </c>
      <c r="D44" s="268">
        <v>0</v>
      </c>
      <c r="E44" s="268">
        <v>0</v>
      </c>
      <c r="F44" s="268">
        <v>0</v>
      </c>
      <c r="G44" s="268">
        <v>0</v>
      </c>
      <c r="H44" s="268">
        <v>0</v>
      </c>
      <c r="I44" s="268">
        <v>0</v>
      </c>
      <c r="J44" s="268">
        <v>0</v>
      </c>
      <c r="K44" s="268">
        <v>0</v>
      </c>
      <c r="L44" s="268">
        <v>0</v>
      </c>
      <c r="M44" s="268">
        <v>0</v>
      </c>
      <c r="N44" s="268">
        <v>0</v>
      </c>
      <c r="O44" s="268"/>
      <c r="P44" s="306">
        <f t="shared" si="8"/>
        <v>0</v>
      </c>
      <c r="Q44" s="246"/>
      <c r="R44" s="249">
        <f t="shared" si="6"/>
        <v>0</v>
      </c>
    </row>
    <row r="45" spans="2:20">
      <c r="C45" s="318" t="s">
        <v>42</v>
      </c>
      <c r="D45" s="282">
        <f>SUM(D46:D53)</f>
        <v>59990.142490000013</v>
      </c>
      <c r="E45" s="282">
        <f t="shared" ref="E45:P45" si="16">SUM(E46:E53)</f>
        <v>58111.844789999988</v>
      </c>
      <c r="F45" s="282">
        <f t="shared" si="16"/>
        <v>64968.234860000004</v>
      </c>
      <c r="G45" s="282">
        <f t="shared" si="16"/>
        <v>61492.720439999997</v>
      </c>
      <c r="H45" s="282">
        <f t="shared" si="16"/>
        <v>59255.042169999979</v>
      </c>
      <c r="I45" s="282">
        <f>SUM(I46:I53)</f>
        <v>56965.783759999991</v>
      </c>
      <c r="J45" s="282">
        <f>SUM(J46:J53)</f>
        <v>57620.001160000007</v>
      </c>
      <c r="K45" s="282">
        <f>SUM(K46:K53)</f>
        <v>58345.135219999996</v>
      </c>
      <c r="L45" s="282">
        <f>SUM(L46:L53)</f>
        <v>56647.425040000002</v>
      </c>
      <c r="M45" s="282">
        <f t="shared" si="16"/>
        <v>58559.585160000002</v>
      </c>
      <c r="N45" s="282">
        <f>SUM(N46:N53)</f>
        <v>57704.927570000007</v>
      </c>
      <c r="O45" s="282">
        <f t="shared" si="16"/>
        <v>60171.222849999998</v>
      </c>
      <c r="P45" s="282">
        <f t="shared" si="16"/>
        <v>709832.06550999987</v>
      </c>
      <c r="R45" s="249">
        <f t="shared" si="6"/>
        <v>533396.32993000001</v>
      </c>
    </row>
    <row r="46" spans="2:20">
      <c r="C46" s="315" t="s">
        <v>47</v>
      </c>
      <c r="D46" s="268">
        <f>+[5]R!D75</f>
        <v>13427.34605</v>
      </c>
      <c r="E46" s="288">
        <f>+[5]R!E75</f>
        <v>13039.36074</v>
      </c>
      <c r="F46" s="268">
        <f>+[5]R!F75</f>
        <v>14759.360280000001</v>
      </c>
      <c r="G46" s="268">
        <f>+[5]R!G75</f>
        <v>13952.175620000002</v>
      </c>
      <c r="H46" s="268">
        <f>+[5]R!H75</f>
        <v>13445.504289999999</v>
      </c>
      <c r="I46" s="268">
        <f>+[5]R!I75</f>
        <v>12856.727449999998</v>
      </c>
      <c r="J46" s="268">
        <f>+[5]R!J75</f>
        <v>12949.702940000001</v>
      </c>
      <c r="K46" s="268">
        <f>+[5]R!K75</f>
        <v>13028.044260000002</v>
      </c>
      <c r="L46" s="268">
        <f>+[5]R!L75</f>
        <v>12526.696699999999</v>
      </c>
      <c r="M46" s="268">
        <f>+[5]R!M75</f>
        <v>13033.023720000001</v>
      </c>
      <c r="N46" s="268">
        <f>+[5]R!N75</f>
        <v>12769.243130000001</v>
      </c>
      <c r="O46" s="268">
        <f>+[5]R!O75</f>
        <v>13331.536660000002</v>
      </c>
      <c r="P46" s="306">
        <f t="shared" si="8"/>
        <v>159118.72184000001</v>
      </c>
      <c r="Q46" s="277"/>
      <c r="R46" s="249">
        <f t="shared" si="6"/>
        <v>119984.91833000001</v>
      </c>
      <c r="S46" s="278"/>
    </row>
    <row r="47" spans="2:20">
      <c r="C47" s="315" t="s">
        <v>48</v>
      </c>
      <c r="D47" s="268">
        <f>+[5]R!D76</f>
        <v>39296.824160000011</v>
      </c>
      <c r="E47" s="288">
        <f>+[5]R!E76</f>
        <v>38154.599739999998</v>
      </c>
      <c r="F47" s="268">
        <f>+[5]R!F76</f>
        <v>42948.224179999997</v>
      </c>
      <c r="G47" s="268">
        <f>+[5]R!G76</f>
        <v>40501.263659999997</v>
      </c>
      <c r="H47" s="268">
        <f>+[5]R!H76</f>
        <v>38673.84270999999</v>
      </c>
      <c r="I47" s="268">
        <f>+[5]R!I76</f>
        <v>36966.374959999994</v>
      </c>
      <c r="J47" s="268">
        <f>+[5]R!J76</f>
        <v>37346.790649999995</v>
      </c>
      <c r="K47" s="268">
        <f>+[5]R!K76</f>
        <v>37909.891969999997</v>
      </c>
      <c r="L47" s="268">
        <f>+[5]R!L76</f>
        <v>36608.341479999995</v>
      </c>
      <c r="M47" s="268">
        <f>+[5]R!M76</f>
        <v>37966.702900000004</v>
      </c>
      <c r="N47" s="268">
        <f>+[5]R!N76</f>
        <v>37423.299489999998</v>
      </c>
      <c r="O47" s="268">
        <f>+[5]R!O76</f>
        <v>39186.988729999997</v>
      </c>
      <c r="P47" s="306">
        <f t="shared" si="8"/>
        <v>462983.14463</v>
      </c>
      <c r="Q47" s="277"/>
      <c r="R47" s="249">
        <f t="shared" si="6"/>
        <v>348406.15350999997</v>
      </c>
      <c r="S47" s="278"/>
    </row>
    <row r="48" spans="2:20">
      <c r="C48" s="315" t="s">
        <v>50</v>
      </c>
      <c r="D48" s="268">
        <f>+[5]R!D77</f>
        <v>1344.8065899999999</v>
      </c>
      <c r="E48" s="288">
        <f>+[5]R!E77</f>
        <v>1265.3734099999999</v>
      </c>
      <c r="F48" s="268">
        <f>+[5]R!F77</f>
        <v>1420.8438900000001</v>
      </c>
      <c r="G48" s="268">
        <f>+[5]R!G77</f>
        <v>1318.3841199999999</v>
      </c>
      <c r="H48" s="268">
        <f>+[5]R!H77</f>
        <v>1283.7631099999999</v>
      </c>
      <c r="I48" s="268">
        <f>+[5]R!I77</f>
        <v>1210.84232</v>
      </c>
      <c r="J48" s="268">
        <f>+[5]R!J77</f>
        <v>1245.7672399999999</v>
      </c>
      <c r="K48" s="268">
        <f>+[5]R!K77</f>
        <v>1276.59214</v>
      </c>
      <c r="L48" s="268">
        <f>+[5]R!L77</f>
        <v>1253.2445299999999</v>
      </c>
      <c r="M48" s="268">
        <f>+[5]R!M77</f>
        <v>1315.5748299999998</v>
      </c>
      <c r="N48" s="268">
        <f>+[5]R!N77</f>
        <v>1282.38229</v>
      </c>
      <c r="O48" s="268">
        <f>+[5]R!O77</f>
        <v>1365.85331</v>
      </c>
      <c r="P48" s="306">
        <f t="shared" si="8"/>
        <v>15583.42778</v>
      </c>
      <c r="Q48" s="277"/>
      <c r="R48" s="249">
        <f t="shared" si="6"/>
        <v>11619.61735</v>
      </c>
      <c r="S48" s="278"/>
    </row>
    <row r="49" spans="3:19">
      <c r="C49" s="315" t="s">
        <v>51</v>
      </c>
      <c r="D49" s="268">
        <f>+[5]R!D78</f>
        <v>1146.24668</v>
      </c>
      <c r="E49" s="288">
        <f>+[5]R!E78</f>
        <v>1022.1494999999999</v>
      </c>
      <c r="F49" s="268">
        <f>+[5]R!F78</f>
        <v>1212.9829399999999</v>
      </c>
      <c r="G49" s="268">
        <f>+[5]R!G78</f>
        <v>1186.7863600000001</v>
      </c>
      <c r="H49" s="268">
        <f>+[5]R!H78</f>
        <v>1307.1130000000001</v>
      </c>
      <c r="I49" s="268">
        <f>+[5]R!I78</f>
        <v>1324.2823299999998</v>
      </c>
      <c r="J49" s="268">
        <f>+[5]R!J78</f>
        <v>1379.5385000000001</v>
      </c>
      <c r="K49" s="268">
        <f>+[5]R!K78</f>
        <v>1484.4670300000002</v>
      </c>
      <c r="L49" s="268">
        <f>+[5]R!L78</f>
        <v>1433.3341</v>
      </c>
      <c r="M49" s="268">
        <f>+[5]R!M78</f>
        <v>1511.9386100000002</v>
      </c>
      <c r="N49" s="268">
        <f>+[5]R!N78</f>
        <v>1394.7144700000001</v>
      </c>
      <c r="O49" s="268">
        <f>+[5]R!O78</f>
        <v>1321.34968</v>
      </c>
      <c r="P49" s="306">
        <f t="shared" si="8"/>
        <v>15724.903199999999</v>
      </c>
      <c r="Q49" s="277"/>
      <c r="R49" s="249">
        <f t="shared" si="6"/>
        <v>11496.900439999999</v>
      </c>
      <c r="S49" s="278"/>
    </row>
    <row r="50" spans="3:19">
      <c r="C50" s="315" t="s">
        <v>52</v>
      </c>
      <c r="D50" s="268">
        <f>+[5]R!D79</f>
        <v>926.32087000000001</v>
      </c>
      <c r="E50" s="288">
        <f>+[5]R!E79</f>
        <v>944.37787000000003</v>
      </c>
      <c r="F50" s="268">
        <f>+[5]R!F79</f>
        <v>905.22297000000003</v>
      </c>
      <c r="G50" s="268">
        <f>+[5]R!G79</f>
        <v>892.08468000000005</v>
      </c>
      <c r="H50" s="268">
        <f>+[5]R!H79</f>
        <v>942.19753000000003</v>
      </c>
      <c r="I50" s="268">
        <f>+[5]R!I79</f>
        <v>967.08954000000006</v>
      </c>
      <c r="J50" s="268">
        <f>+[5]R!J79</f>
        <v>1020.90273</v>
      </c>
      <c r="K50" s="268">
        <f>+[5]R!K79</f>
        <v>987.67155999999989</v>
      </c>
      <c r="L50" s="268">
        <f>+[5]R!L79</f>
        <v>1011.38737</v>
      </c>
      <c r="M50" s="268">
        <f>+[5]R!M79</f>
        <v>1003.32954</v>
      </c>
      <c r="N50" s="268">
        <f>+[5]R!N79</f>
        <v>974.17967999999996</v>
      </c>
      <c r="O50" s="268">
        <f>+[5]R!O79</f>
        <v>981.18863999999996</v>
      </c>
      <c r="P50" s="306">
        <f t="shared" si="8"/>
        <v>11555.95298</v>
      </c>
      <c r="Q50" s="277"/>
      <c r="R50" s="249">
        <f t="shared" si="6"/>
        <v>8597.2551199999998</v>
      </c>
      <c r="S50" s="278"/>
    </row>
    <row r="51" spans="3:19">
      <c r="C51" s="315" t="s">
        <v>90</v>
      </c>
      <c r="D51" s="268">
        <f>+[5]R!D80</f>
        <v>1525.4092700000001</v>
      </c>
      <c r="E51" s="288">
        <f>+[5]R!E80</f>
        <v>1392.96001</v>
      </c>
      <c r="F51" s="268">
        <f>+[5]R!F80</f>
        <v>1573.56088</v>
      </c>
      <c r="G51" s="268">
        <f>+[5]R!G80</f>
        <v>1506.5699299999999</v>
      </c>
      <c r="H51" s="268">
        <f>+[5]R!H80</f>
        <v>1562.3032499999999</v>
      </c>
      <c r="I51" s="268">
        <f>+[5]R!I80</f>
        <v>1496.4276900000002</v>
      </c>
      <c r="J51" s="268">
        <f>+[5]R!J80</f>
        <v>1549.0649800000001</v>
      </c>
      <c r="K51" s="268">
        <f>+[5]R!K80</f>
        <v>1565.34996</v>
      </c>
      <c r="L51" s="268">
        <f>+[5]R!L80</f>
        <v>1542.5404799999999</v>
      </c>
      <c r="M51" s="268">
        <f>+[5]R!M80</f>
        <v>1609.5419000000002</v>
      </c>
      <c r="N51" s="268">
        <f>+[5]R!N80</f>
        <v>1556.3025600000001</v>
      </c>
      <c r="O51" s="268">
        <f>+[5]R!O80</f>
        <v>1626.2078000000001</v>
      </c>
      <c r="P51" s="306">
        <f t="shared" si="8"/>
        <v>18506.238709999998</v>
      </c>
      <c r="Q51" s="277"/>
      <c r="R51" s="249">
        <f t="shared" si="6"/>
        <v>13714.186449999997</v>
      </c>
      <c r="S51" s="278"/>
    </row>
    <row r="52" spans="3:19">
      <c r="C52" s="315" t="s">
        <v>53</v>
      </c>
      <c r="D52" s="268">
        <f>+[5]R!D81</f>
        <v>2264.2511800000002</v>
      </c>
      <c r="E52" s="288">
        <f>+[5]R!E81</f>
        <v>2239.4047800000003</v>
      </c>
      <c r="F52" s="304">
        <f>+[5]R!F81</f>
        <v>2087.5134200000002</v>
      </c>
      <c r="G52" s="268">
        <f>+[5]R!G81</f>
        <v>2074.7222900000002</v>
      </c>
      <c r="H52" s="268">
        <f>+[5]R!H81</f>
        <v>1976.1279400000001</v>
      </c>
      <c r="I52" s="268">
        <f>+[5]R!I81</f>
        <v>2082.7864500000001</v>
      </c>
      <c r="J52" s="268">
        <f>+[5]R!J81</f>
        <v>2066.3829999999998</v>
      </c>
      <c r="K52" s="268">
        <f>+[5]R!K81</f>
        <v>2033.1524799999997</v>
      </c>
      <c r="L52" s="268">
        <f>+[5]R!L81</f>
        <v>2210.1755800000001</v>
      </c>
      <c r="M52" s="268">
        <f>+[5]R!M81</f>
        <v>2060.9217699999999</v>
      </c>
      <c r="N52" s="268">
        <f>+[5]R!N81</f>
        <v>2244.9339799999998</v>
      </c>
      <c r="O52" s="268">
        <f>+[5]R!O81</f>
        <v>2299.3111399999998</v>
      </c>
      <c r="P52" s="306">
        <f t="shared" si="8"/>
        <v>25639.684009999997</v>
      </c>
      <c r="Q52" s="277"/>
      <c r="R52" s="249">
        <f t="shared" si="6"/>
        <v>19034.51712</v>
      </c>
      <c r="S52" s="278"/>
    </row>
    <row r="53" spans="3:19">
      <c r="C53" s="315" t="s">
        <v>54</v>
      </c>
      <c r="D53" s="268">
        <f>+[5]R!D82</f>
        <v>58.937689999999996</v>
      </c>
      <c r="E53" s="288">
        <f>+[5]R!E82</f>
        <v>53.618740000000003</v>
      </c>
      <c r="F53" s="268">
        <f>+[5]R!F82</f>
        <v>60.526299999999999</v>
      </c>
      <c r="G53" s="268">
        <f>+[5]R!G82</f>
        <v>60.733779999999996</v>
      </c>
      <c r="H53" s="268">
        <f>+[5]R!H82</f>
        <v>64.190339999999992</v>
      </c>
      <c r="I53" s="268">
        <f>+[5]R!I82</f>
        <v>61.253020000000006</v>
      </c>
      <c r="J53" s="268">
        <f>+[5]R!J82</f>
        <v>61.851119999999995</v>
      </c>
      <c r="K53" s="268">
        <f>+[5]R!K82</f>
        <v>59.965820000000001</v>
      </c>
      <c r="L53" s="268">
        <f>+[5]R!L82</f>
        <v>61.704800000000006</v>
      </c>
      <c r="M53" s="268">
        <f>+[5]R!M82</f>
        <v>58.55189</v>
      </c>
      <c r="N53" s="268">
        <f>+[5]R!N82</f>
        <v>59.871970000000005</v>
      </c>
      <c r="O53" s="268">
        <f>+[5]R!O82</f>
        <v>58.78689</v>
      </c>
      <c r="P53" s="306">
        <f t="shared" si="8"/>
        <v>719.99235999999996</v>
      </c>
      <c r="Q53" s="277"/>
      <c r="R53" s="249">
        <f t="shared" si="6"/>
        <v>542.78161</v>
      </c>
      <c r="S53" s="278"/>
    </row>
    <row r="54" spans="3:19">
      <c r="C54" s="318" t="s">
        <v>124</v>
      </c>
      <c r="D54" s="282">
        <f>+SUM(D55)</f>
        <v>10275.701590000001</v>
      </c>
      <c r="E54" s="282">
        <f t="shared" ref="E54:P54" si="17">+SUM(E55)</f>
        <v>10712.33563</v>
      </c>
      <c r="F54" s="282">
        <f t="shared" si="17"/>
        <v>9824.7963100000015</v>
      </c>
      <c r="G54" s="282">
        <f t="shared" si="17"/>
        <v>9306.9053800000002</v>
      </c>
      <c r="H54" s="282">
        <f t="shared" si="17"/>
        <v>8304.1831099999999</v>
      </c>
      <c r="I54" s="282">
        <f t="shared" si="17"/>
        <v>6626.3261100000009</v>
      </c>
      <c r="J54" s="282">
        <f t="shared" si="17"/>
        <v>6000.91392</v>
      </c>
      <c r="K54" s="282">
        <f t="shared" si="17"/>
        <v>6249.9267899999995</v>
      </c>
      <c r="L54" s="282">
        <f t="shared" si="17"/>
        <v>7765.0432799999999</v>
      </c>
      <c r="M54" s="282">
        <f t="shared" si="17"/>
        <v>10011.808079999999</v>
      </c>
      <c r="N54" s="282">
        <f t="shared" si="17"/>
        <v>10531.022300000001</v>
      </c>
      <c r="O54" s="282">
        <f t="shared" si="17"/>
        <v>11662.07713</v>
      </c>
      <c r="P54" s="282">
        <f t="shared" si="17"/>
        <v>107271.03963</v>
      </c>
      <c r="Q54" s="277"/>
      <c r="R54" s="249">
        <f t="shared" si="6"/>
        <v>75066.132119999995</v>
      </c>
      <c r="S54" s="278"/>
    </row>
    <row r="55" spans="3:19">
      <c r="C55" s="307" t="s">
        <v>93</v>
      </c>
      <c r="D55" s="268">
        <f>+[5]R!D83</f>
        <v>10275.701590000001</v>
      </c>
      <c r="E55" s="268">
        <f>+[5]R!E83</f>
        <v>10712.33563</v>
      </c>
      <c r="F55" s="268">
        <f>+[5]R!F83</f>
        <v>9824.7963100000015</v>
      </c>
      <c r="G55" s="268">
        <f>+[5]R!G83</f>
        <v>9306.9053800000002</v>
      </c>
      <c r="H55" s="268">
        <f>+[5]R!H83</f>
        <v>8304.1831099999999</v>
      </c>
      <c r="I55" s="268">
        <f>+[5]R!I83</f>
        <v>6626.3261100000009</v>
      </c>
      <c r="J55" s="268">
        <f>+[5]R!J83</f>
        <v>6000.91392</v>
      </c>
      <c r="K55" s="268">
        <f>+[5]R!K83</f>
        <v>6249.9267899999995</v>
      </c>
      <c r="L55" s="268">
        <f>+[5]R!L83</f>
        <v>7765.0432799999999</v>
      </c>
      <c r="M55" s="268">
        <f>+[5]R!M83</f>
        <v>10011.808079999999</v>
      </c>
      <c r="N55" s="268">
        <f>+[5]R!N83</f>
        <v>10531.022300000001</v>
      </c>
      <c r="O55" s="268">
        <f>+[5]R!O83</f>
        <v>11662.07713</v>
      </c>
      <c r="P55" s="306">
        <f t="shared" si="8"/>
        <v>107271.03963</v>
      </c>
      <c r="Q55" s="277"/>
      <c r="R55" s="249">
        <f t="shared" si="6"/>
        <v>75066.132119999995</v>
      </c>
      <c r="S55" s="278"/>
    </row>
    <row r="56" spans="3:19">
      <c r="C56" s="318" t="s">
        <v>43</v>
      </c>
      <c r="D56" s="282">
        <f>+SUM(D57:D65)</f>
        <v>2978.9344799999999</v>
      </c>
      <c r="E56" s="282">
        <f>+SUM(E57:E65)</f>
        <v>2956.8452700000003</v>
      </c>
      <c r="F56" s="282">
        <f>+SUM(F57:F65)</f>
        <v>3813.2458800000009</v>
      </c>
      <c r="G56" s="282">
        <f>+SUM(G57:G65)</f>
        <v>3548.5106100000007</v>
      </c>
      <c r="H56" s="282">
        <f t="shared" ref="H56:M56" si="18">+SUM(H57:H65)</f>
        <v>3248.7569299999996</v>
      </c>
      <c r="I56" s="282">
        <f t="shared" si="18"/>
        <v>3176.91525</v>
      </c>
      <c r="J56" s="282">
        <f t="shared" si="18"/>
        <v>3332.9770599999997</v>
      </c>
      <c r="K56" s="282">
        <f t="shared" si="18"/>
        <v>3272.9658899999995</v>
      </c>
      <c r="L56" s="282">
        <f t="shared" si="18"/>
        <v>3158.5383199999997</v>
      </c>
      <c r="M56" s="282">
        <f t="shared" si="18"/>
        <v>3025.1792699999996</v>
      </c>
      <c r="N56" s="282">
        <f>+SUM(N57:N65)</f>
        <v>3070.9808600000006</v>
      </c>
      <c r="O56" s="282">
        <f>+SUM(O57:O65)</f>
        <v>3229.0870200000004</v>
      </c>
      <c r="P56" s="319">
        <f>+SUM(P57:P65)</f>
        <v>38812.936839999995</v>
      </c>
      <c r="Q56" s="277"/>
      <c r="R56" s="249">
        <f t="shared" si="6"/>
        <v>29487.689690000003</v>
      </c>
    </row>
    <row r="57" spans="3:19">
      <c r="C57" s="307" t="s">
        <v>116</v>
      </c>
      <c r="D57" s="268">
        <f>+[5]R!D87</f>
        <v>677.47176000000002</v>
      </c>
      <c r="E57" s="268">
        <f>+[5]R!E87</f>
        <v>767.50485000000003</v>
      </c>
      <c r="F57" s="268">
        <f>+[5]R!F87</f>
        <v>829.14429000000007</v>
      </c>
      <c r="G57" s="268">
        <f>+[5]R!G87</f>
        <v>836.82286999999997</v>
      </c>
      <c r="H57" s="268">
        <f>+[5]R!H87</f>
        <v>834.08973000000003</v>
      </c>
      <c r="I57" s="268">
        <f>+[5]R!I87</f>
        <v>833.65360999999996</v>
      </c>
      <c r="J57" s="268">
        <f>+[5]R!J87</f>
        <v>876.35623999999996</v>
      </c>
      <c r="K57" s="268">
        <f>+[5]R!K87</f>
        <v>889.58629000000008</v>
      </c>
      <c r="L57" s="268">
        <f>+[5]R!L87</f>
        <v>913.15360999999996</v>
      </c>
      <c r="M57" s="268">
        <f>+[5]R!M87</f>
        <v>898.97691999999995</v>
      </c>
      <c r="N57" s="268">
        <f>+[5]R!N87</f>
        <v>836.08719000000008</v>
      </c>
      <c r="O57" s="268">
        <f>+[5]R!O87</f>
        <v>911.86063999999999</v>
      </c>
      <c r="P57" s="306">
        <f t="shared" si="8"/>
        <v>10104.708000000002</v>
      </c>
      <c r="Q57" s="327"/>
      <c r="R57" s="249">
        <f t="shared" si="6"/>
        <v>7457.7832500000013</v>
      </c>
    </row>
    <row r="58" spans="3:19">
      <c r="C58" s="307" t="s">
        <v>117</v>
      </c>
      <c r="D58" s="268">
        <f>+[5]R!D88</f>
        <v>1228.1913099999999</v>
      </c>
      <c r="E58" s="268">
        <f>+[5]R!E88</f>
        <v>1265.8714100000002</v>
      </c>
      <c r="F58" s="268">
        <f>+[5]R!F88</f>
        <v>1502.36112</v>
      </c>
      <c r="G58" s="268">
        <f>+[5]R!G88</f>
        <v>1368.29414</v>
      </c>
      <c r="H58" s="268">
        <f>+[5]R!H88</f>
        <v>1535.16184</v>
      </c>
      <c r="I58" s="268">
        <f>+[5]R!I88</f>
        <v>1503.24117</v>
      </c>
      <c r="J58" s="268">
        <f>+[5]R!J88</f>
        <v>1342.9428399999999</v>
      </c>
      <c r="K58" s="268">
        <f>+[5]R!K88</f>
        <v>1374.1956699999998</v>
      </c>
      <c r="L58" s="268">
        <f>+[5]R!L88</f>
        <v>1241.9371799999999</v>
      </c>
      <c r="M58" s="268">
        <f>+[5]R!M88</f>
        <v>1266.76225</v>
      </c>
      <c r="N58" s="268">
        <f>+[5]R!N88</f>
        <v>1225.4291500000002</v>
      </c>
      <c r="O58" s="268">
        <f>+[5]R!O88</f>
        <v>1213.04501</v>
      </c>
      <c r="P58" s="306">
        <f t="shared" si="8"/>
        <v>16067.433089999997</v>
      </c>
      <c r="Q58" s="327"/>
      <c r="R58" s="249">
        <f t="shared" si="6"/>
        <v>12362.196679999997</v>
      </c>
    </row>
    <row r="59" spans="3:19">
      <c r="C59" s="307" t="s">
        <v>118</v>
      </c>
      <c r="D59" s="268">
        <f>+[5]R!D89</f>
        <v>340.96833999999996</v>
      </c>
      <c r="E59" s="268">
        <f>+[5]R!E89</f>
        <v>336.96891000000005</v>
      </c>
      <c r="F59" s="268">
        <f>+[5]R!F89</f>
        <v>381.86814000000004</v>
      </c>
      <c r="G59" s="268">
        <f>+[5]R!G89</f>
        <v>326.54090000000002</v>
      </c>
      <c r="H59" s="268">
        <f>+[5]R!H89</f>
        <v>344.31170999999995</v>
      </c>
      <c r="I59" s="268">
        <f>+[5]R!I89</f>
        <v>329.43844000000001</v>
      </c>
      <c r="J59" s="268">
        <f>+[5]R!J89</f>
        <v>287.94920000000002</v>
      </c>
      <c r="K59" s="268">
        <f>+[5]R!K89</f>
        <v>310.73048999999997</v>
      </c>
      <c r="L59" s="268">
        <f>+[5]R!L89</f>
        <v>279.82731000000001</v>
      </c>
      <c r="M59" s="268">
        <f>+[5]R!M89</f>
        <v>237.47207</v>
      </c>
      <c r="N59" s="268">
        <f>+[5]R!N89</f>
        <v>222.09534999999997</v>
      </c>
      <c r="O59" s="268">
        <f>+[5]R!O89</f>
        <v>217.28502</v>
      </c>
      <c r="P59" s="306">
        <f t="shared" si="8"/>
        <v>3615.4558799999995</v>
      </c>
      <c r="Q59" s="277"/>
      <c r="R59" s="249">
        <f t="shared" si="6"/>
        <v>2938.6034399999999</v>
      </c>
    </row>
    <row r="60" spans="3:19">
      <c r="C60" s="307" t="s">
        <v>119</v>
      </c>
      <c r="D60" s="268">
        <f>+[5]R!D90</f>
        <v>155.24303</v>
      </c>
      <c r="E60" s="268">
        <f>+[5]R!E90</f>
        <v>110.90398</v>
      </c>
      <c r="F60" s="268">
        <f>+[5]R!F90</f>
        <v>219.61247</v>
      </c>
      <c r="G60" s="268">
        <f>+[5]R!G90</f>
        <v>168.09259</v>
      </c>
      <c r="H60" s="268">
        <f>+[5]R!H90</f>
        <v>170.59325000000001</v>
      </c>
      <c r="I60" s="268">
        <f>+[5]R!I90</f>
        <v>172.46011999999999</v>
      </c>
      <c r="J60" s="268">
        <f>+[5]R!J90</f>
        <v>182.66249000000002</v>
      </c>
      <c r="K60" s="268">
        <f>+[5]R!K90</f>
        <v>179.32479999999998</v>
      </c>
      <c r="L60" s="268">
        <f>+[5]R!L90</f>
        <v>199.76873999999998</v>
      </c>
      <c r="M60" s="268">
        <f>+[5]R!M90</f>
        <v>189.13123999999999</v>
      </c>
      <c r="N60" s="268">
        <f>+[5]R!N90</f>
        <v>191.87626999999998</v>
      </c>
      <c r="O60" s="268">
        <f>+[5]R!O90</f>
        <v>166.47946999999999</v>
      </c>
      <c r="P60" s="306">
        <f t="shared" si="8"/>
        <v>2106.1484499999997</v>
      </c>
      <c r="Q60" s="277"/>
      <c r="R60" s="249">
        <f t="shared" si="6"/>
        <v>1558.66147</v>
      </c>
    </row>
    <row r="61" spans="3:19">
      <c r="C61" s="307" t="s">
        <v>120</v>
      </c>
      <c r="D61" s="268">
        <f>+[5]R!D91</f>
        <v>366.77878999999996</v>
      </c>
      <c r="E61" s="268">
        <f>+[5]R!E91</f>
        <v>289.03528</v>
      </c>
      <c r="F61" s="268">
        <f>+[5]R!F91</f>
        <v>375.86326000000003</v>
      </c>
      <c r="G61" s="268">
        <f>+[5]R!G91</f>
        <v>201.73451</v>
      </c>
      <c r="H61" s="268">
        <f>+[5]R!H91</f>
        <v>150.31779</v>
      </c>
      <c r="I61" s="268">
        <f>+[5]R!I91</f>
        <v>133.32876000000002</v>
      </c>
      <c r="J61" s="268">
        <f>+[5]R!J91</f>
        <v>222.03219000000001</v>
      </c>
      <c r="K61" s="268">
        <f>+[5]R!K91</f>
        <v>322.31870000000004</v>
      </c>
      <c r="L61" s="268">
        <f>+[5]R!L91</f>
        <v>314.07557000000003</v>
      </c>
      <c r="M61" s="268">
        <f>+[5]R!M91</f>
        <v>225.04586</v>
      </c>
      <c r="N61" s="268">
        <f>+[5]R!N91</f>
        <v>395.52991000000003</v>
      </c>
      <c r="O61" s="268">
        <f>+[5]R!O91</f>
        <v>519.62180999999998</v>
      </c>
      <c r="P61" s="306">
        <f t="shared" si="8"/>
        <v>3515.6824300000003</v>
      </c>
      <c r="Q61" s="277"/>
      <c r="R61" s="249">
        <f t="shared" si="6"/>
        <v>2375.4848499999998</v>
      </c>
    </row>
    <row r="62" spans="3:19">
      <c r="C62" s="307" t="s">
        <v>121</v>
      </c>
      <c r="D62" s="268">
        <f>+[5]R!D92</f>
        <v>125.49854000000001</v>
      </c>
      <c r="E62" s="268">
        <f>+[5]R!E92</f>
        <v>120.55781</v>
      </c>
      <c r="F62" s="268">
        <f>+[5]R!F92</f>
        <v>132.04901000000001</v>
      </c>
      <c r="G62" s="268">
        <f>+[5]R!G92</f>
        <v>122.82846000000001</v>
      </c>
      <c r="H62" s="268">
        <f>+[5]R!H92</f>
        <v>115.29908999999999</v>
      </c>
      <c r="I62" s="268">
        <f>+[5]R!I92</f>
        <v>108.43941000000001</v>
      </c>
      <c r="J62" s="268">
        <f>+[5]R!J92</f>
        <v>113.29915</v>
      </c>
      <c r="K62" s="268">
        <f>+[5]R!K92</f>
        <v>115.08609000000001</v>
      </c>
      <c r="L62" s="268">
        <f>+[5]R!L92</f>
        <v>114.10804</v>
      </c>
      <c r="M62" s="268">
        <f>+[5]R!M92</f>
        <v>131.88057000000001</v>
      </c>
      <c r="N62" s="268">
        <f>+[5]R!N92</f>
        <v>129.44985</v>
      </c>
      <c r="O62" s="268">
        <f>+[5]R!O92</f>
        <v>143.40530999999999</v>
      </c>
      <c r="P62" s="306">
        <f t="shared" si="8"/>
        <v>1471.9013300000001</v>
      </c>
      <c r="Q62" s="277"/>
      <c r="R62" s="249">
        <f t="shared" si="6"/>
        <v>1067.1656000000003</v>
      </c>
    </row>
    <row r="63" spans="3:19">
      <c r="C63" s="307" t="s">
        <v>109</v>
      </c>
      <c r="D63" s="268">
        <f>+[5]R!D93</f>
        <v>28.102029999999999</v>
      </c>
      <c r="E63" s="268">
        <f>+[5]R!E93</f>
        <v>16.739630000000002</v>
      </c>
      <c r="F63" s="268">
        <f>+[5]R!F93</f>
        <v>17.859639999999999</v>
      </c>
      <c r="G63" s="268">
        <f>+[5]R!G93</f>
        <v>18.89</v>
      </c>
      <c r="H63" s="268">
        <f>+[5]R!H93</f>
        <v>19.18608</v>
      </c>
      <c r="I63" s="268">
        <f>+[5]R!I93</f>
        <v>19.430589999999999</v>
      </c>
      <c r="J63" s="268">
        <f>+[5]R!J93</f>
        <v>24.393000000000001</v>
      </c>
      <c r="K63" s="268">
        <f>+[5]R!K93</f>
        <v>25.370169999999998</v>
      </c>
      <c r="L63" s="268">
        <f>+[5]R!L93</f>
        <v>24.115359999999999</v>
      </c>
      <c r="M63" s="268">
        <f>+[5]R!M93</f>
        <v>3.1042799999999997</v>
      </c>
      <c r="N63" s="268">
        <f>+[5]R!N93</f>
        <v>0</v>
      </c>
      <c r="O63" s="268">
        <f>+[5]R!O93</f>
        <v>0</v>
      </c>
      <c r="P63" s="306">
        <f t="shared" si="8"/>
        <v>197.19078000000002</v>
      </c>
      <c r="Q63" s="277"/>
      <c r="R63" s="249">
        <f t="shared" si="6"/>
        <v>194.08650000000003</v>
      </c>
    </row>
    <row r="64" spans="3:19">
      <c r="C64" s="307" t="s">
        <v>122</v>
      </c>
      <c r="D64" s="268">
        <f>+[5]R!D94</f>
        <v>56.680680000000002</v>
      </c>
      <c r="E64" s="268">
        <f>+[5]R!E94</f>
        <v>49.263400000000004</v>
      </c>
      <c r="F64" s="268">
        <f>+[5]R!F94</f>
        <v>70.648040000000009</v>
      </c>
      <c r="G64" s="268">
        <f>+[5]R!G94</f>
        <v>70.81271000000001</v>
      </c>
      <c r="H64" s="268">
        <f>+[5]R!H94</f>
        <v>78.738720000000001</v>
      </c>
      <c r="I64" s="268">
        <f>+[5]R!I94</f>
        <v>76.9101</v>
      </c>
      <c r="J64" s="268">
        <f>+[5]R!J94</f>
        <v>62.973009999999995</v>
      </c>
      <c r="K64" s="268">
        <f>+[5]R!K94</f>
        <v>56.353679999999997</v>
      </c>
      <c r="L64" s="268">
        <f>+[5]R!L94</f>
        <v>71.552509999999998</v>
      </c>
      <c r="M64" s="268">
        <f>+[5]R!M94</f>
        <v>72.806080000000009</v>
      </c>
      <c r="N64" s="268">
        <f>+[5]R!N94</f>
        <v>70.513139999999993</v>
      </c>
      <c r="O64" s="268">
        <f>+[5]R!O94</f>
        <v>57.389760000000003</v>
      </c>
      <c r="P64" s="306">
        <f t="shared" si="8"/>
        <v>794.64183000000003</v>
      </c>
      <c r="Q64" s="277"/>
      <c r="R64" s="249">
        <f t="shared" si="6"/>
        <v>593.93284999999992</v>
      </c>
    </row>
    <row r="65" spans="1:248" ht="12" thickBot="1">
      <c r="C65" s="308" t="s">
        <v>123</v>
      </c>
      <c r="D65" s="292">
        <f>+[5]R!D95</f>
        <v>0</v>
      </c>
      <c r="E65" s="292">
        <f>+[5]R!E95</f>
        <v>0</v>
      </c>
      <c r="F65" s="292">
        <f>+[5]R!F95</f>
        <v>283.83991000000003</v>
      </c>
      <c r="G65" s="292">
        <f>+[5]R!G95</f>
        <v>434.49443000000008</v>
      </c>
      <c r="H65" s="292">
        <f>+[5]R!H95</f>
        <v>1.0587200000000001</v>
      </c>
      <c r="I65" s="292">
        <f>+[5]R!I95</f>
        <v>1.3050000000000001E-2</v>
      </c>
      <c r="J65" s="292">
        <f>+[5]R!J95</f>
        <v>220.36894000000001</v>
      </c>
      <c r="K65" s="292">
        <f>+[5]R!K95</f>
        <v>0</v>
      </c>
      <c r="L65" s="292">
        <f>+[5]R!L95</f>
        <v>0</v>
      </c>
      <c r="M65" s="292">
        <f>+[5]R!M95</f>
        <v>0</v>
      </c>
      <c r="N65" s="292">
        <f>+[5]R!N95</f>
        <v>0</v>
      </c>
      <c r="O65" s="292">
        <f>+[5]R!O95</f>
        <v>0</v>
      </c>
      <c r="P65" s="309">
        <f>SUM(D65:O65)</f>
        <v>939.77505000000019</v>
      </c>
      <c r="Q65" s="277"/>
      <c r="R65" s="249">
        <f t="shared" si="6"/>
        <v>939.77505000000019</v>
      </c>
    </row>
    <row r="66" spans="1:248" ht="12" thickTop="1">
      <c r="D66" s="293">
        <f t="shared" ref="D66:O66" si="19">+D35/D28</f>
        <v>4.5856869673689743E-3</v>
      </c>
      <c r="E66" s="293">
        <f t="shared" si="19"/>
        <v>3.2461605302912403E-3</v>
      </c>
      <c r="F66" s="293">
        <f t="shared" si="19"/>
        <v>4.5177366475858622E-3</v>
      </c>
      <c r="G66" s="293">
        <f t="shared" si="19"/>
        <v>5.1063284508558373E-3</v>
      </c>
      <c r="H66" s="293">
        <f>+H35/H28</f>
        <v>4.6590987745568687E-3</v>
      </c>
      <c r="I66" s="293">
        <f>+I35/I28</f>
        <v>4.7146801622840176E-3</v>
      </c>
      <c r="J66" s="293">
        <f t="shared" si="19"/>
        <v>4.6172133357086746E-3</v>
      </c>
      <c r="K66" s="293">
        <f t="shared" si="19"/>
        <v>4.7062922987586263E-3</v>
      </c>
      <c r="L66" s="293">
        <f>+L35/L28</f>
        <v>4.3128310266092023E-3</v>
      </c>
      <c r="M66" s="293">
        <f t="shared" si="19"/>
        <v>4.3685616446284582E-3</v>
      </c>
      <c r="N66" s="293">
        <f t="shared" si="19"/>
        <v>4.2223984180596846E-3</v>
      </c>
      <c r="O66" s="293">
        <f t="shared" si="19"/>
        <v>4.4858549979288386E-3</v>
      </c>
    </row>
    <row r="67" spans="1:248">
      <c r="D67" s="294"/>
      <c r="E67" s="295"/>
      <c r="F67" s="294"/>
      <c r="G67" s="294"/>
      <c r="H67" s="294"/>
      <c r="L67" s="246"/>
      <c r="M67" s="246"/>
    </row>
    <row r="68" spans="1:248">
      <c r="C68" s="221" t="s">
        <v>92</v>
      </c>
      <c r="D68" s="294"/>
      <c r="E68" s="295"/>
      <c r="F68" s="294"/>
      <c r="G68" s="294"/>
      <c r="H68" s="294"/>
      <c r="L68" s="246"/>
      <c r="M68" s="246"/>
    </row>
    <row r="69" spans="1:248" s="231" customFormat="1">
      <c r="A69" s="221"/>
      <c r="B69" s="221"/>
      <c r="C69" s="221" t="s">
        <v>160</v>
      </c>
      <c r="D69" s="106">
        <f>+D45+D54+D56</f>
        <v>73244.778560000006</v>
      </c>
      <c r="E69" s="106">
        <f t="shared" ref="E69:O69" si="20">+E45+E54+E56</f>
        <v>71781.025689999995</v>
      </c>
      <c r="F69" s="106">
        <f t="shared" si="20"/>
        <v>78606.277050000004</v>
      </c>
      <c r="G69" s="106">
        <f t="shared" si="20"/>
        <v>74348.136429999999</v>
      </c>
      <c r="H69" s="106">
        <f t="shared" si="20"/>
        <v>70807.982209999987</v>
      </c>
      <c r="I69" s="106">
        <f t="shared" si="20"/>
        <v>66769.025119999991</v>
      </c>
      <c r="J69" s="106">
        <f t="shared" si="20"/>
        <v>66953.892140000011</v>
      </c>
      <c r="K69" s="106">
        <f t="shared" si="20"/>
        <v>67868.027899999986</v>
      </c>
      <c r="L69" s="106">
        <f t="shared" si="20"/>
        <v>67571.006640000007</v>
      </c>
      <c r="M69" s="106">
        <f t="shared" si="20"/>
        <v>71596.572509999998</v>
      </c>
      <c r="N69" s="106">
        <f t="shared" si="20"/>
        <v>71306.930730000007</v>
      </c>
      <c r="O69" s="106">
        <f t="shared" si="20"/>
        <v>75062.387000000002</v>
      </c>
    </row>
    <row r="70" spans="1:248"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  <c r="BW70" s="231"/>
      <c r="BX70" s="231"/>
      <c r="BY70" s="231"/>
      <c r="BZ70" s="231"/>
      <c r="CA70" s="231"/>
      <c r="CB70" s="231"/>
      <c r="CC70" s="231"/>
      <c r="CD70" s="231"/>
      <c r="CE70" s="231"/>
      <c r="CF70" s="231"/>
      <c r="CG70" s="231"/>
      <c r="CH70" s="231"/>
      <c r="CI70" s="231"/>
      <c r="CJ70" s="231"/>
      <c r="CK70" s="231"/>
      <c r="CL70" s="231"/>
      <c r="CM70" s="231"/>
      <c r="CN70" s="231"/>
      <c r="CO70" s="231"/>
      <c r="CP70" s="231"/>
      <c r="CQ70" s="231"/>
      <c r="CR70" s="231"/>
      <c r="CS70" s="231"/>
      <c r="CT70" s="231"/>
      <c r="CU70" s="231"/>
      <c r="CV70" s="231"/>
      <c r="CW70" s="231"/>
      <c r="CX70" s="231"/>
      <c r="CY70" s="231"/>
      <c r="CZ70" s="231"/>
      <c r="DA70" s="231"/>
      <c r="DB70" s="231"/>
      <c r="DC70" s="231"/>
      <c r="DD70" s="231"/>
      <c r="DE70" s="231"/>
      <c r="DF70" s="231"/>
      <c r="DG70" s="231"/>
      <c r="DH70" s="231"/>
      <c r="DI70" s="231"/>
      <c r="DJ70" s="231"/>
      <c r="DK70" s="231"/>
      <c r="DL70" s="231"/>
      <c r="DM70" s="231"/>
      <c r="DN70" s="231"/>
      <c r="DO70" s="231"/>
      <c r="DP70" s="231"/>
      <c r="DQ70" s="231"/>
      <c r="DR70" s="231"/>
      <c r="DS70" s="231"/>
      <c r="DT70" s="231"/>
      <c r="DU70" s="231"/>
      <c r="DV70" s="231"/>
      <c r="DW70" s="231"/>
      <c r="DX70" s="231"/>
      <c r="DY70" s="231"/>
      <c r="DZ70" s="231"/>
      <c r="EA70" s="231"/>
      <c r="EB70" s="231"/>
      <c r="EC70" s="231"/>
      <c r="ED70" s="231"/>
      <c r="EE70" s="231"/>
      <c r="EF70" s="231"/>
      <c r="EG70" s="231"/>
      <c r="EH70" s="231"/>
      <c r="EI70" s="231"/>
      <c r="EJ70" s="231"/>
      <c r="EK70" s="231"/>
      <c r="EL70" s="231"/>
      <c r="EM70" s="231"/>
      <c r="EN70" s="231"/>
      <c r="EO70" s="231"/>
      <c r="EP70" s="231"/>
      <c r="EQ70" s="231"/>
      <c r="ER70" s="231"/>
      <c r="ES70" s="231"/>
      <c r="ET70" s="231"/>
      <c r="EU70" s="231"/>
      <c r="EV70" s="231"/>
      <c r="EW70" s="231"/>
      <c r="EX70" s="231"/>
      <c r="EY70" s="231"/>
      <c r="EZ70" s="231"/>
      <c r="FA70" s="231"/>
      <c r="FB70" s="231"/>
      <c r="FC70" s="231"/>
      <c r="FD70" s="231"/>
      <c r="FE70" s="231"/>
      <c r="FF70" s="231"/>
      <c r="FG70" s="231"/>
      <c r="FH70" s="231"/>
      <c r="FI70" s="231"/>
      <c r="FJ70" s="231"/>
      <c r="FK70" s="231"/>
      <c r="FL70" s="231"/>
      <c r="FM70" s="231"/>
      <c r="FN70" s="231"/>
      <c r="FO70" s="231"/>
      <c r="FP70" s="231"/>
      <c r="FQ70" s="231"/>
      <c r="FR70" s="231"/>
      <c r="FS70" s="231"/>
      <c r="FT70" s="231"/>
      <c r="FU70" s="231"/>
      <c r="FV70" s="231"/>
      <c r="FW70" s="231"/>
      <c r="FX70" s="231"/>
      <c r="FY70" s="231"/>
      <c r="FZ70" s="231"/>
      <c r="GA70" s="231"/>
      <c r="GB70" s="231"/>
      <c r="GC70" s="231"/>
      <c r="GD70" s="231"/>
      <c r="GE70" s="231"/>
      <c r="GF70" s="231"/>
      <c r="GG70" s="231"/>
      <c r="GH70" s="231"/>
      <c r="GI70" s="231"/>
      <c r="GJ70" s="231"/>
      <c r="GK70" s="231"/>
      <c r="GL70" s="231"/>
      <c r="GM70" s="231"/>
      <c r="GN70" s="231"/>
      <c r="GO70" s="231"/>
      <c r="GP70" s="231"/>
      <c r="GQ70" s="231"/>
      <c r="GR70" s="231"/>
      <c r="GS70" s="231"/>
      <c r="GT70" s="231"/>
      <c r="GU70" s="231"/>
      <c r="GV70" s="231"/>
      <c r="GW70" s="231"/>
      <c r="GX70" s="231"/>
      <c r="GY70" s="231"/>
      <c r="GZ70" s="231"/>
      <c r="HA70" s="231"/>
      <c r="HB70" s="231"/>
      <c r="HC70" s="231"/>
      <c r="HD70" s="231"/>
      <c r="HE70" s="231"/>
      <c r="HF70" s="231"/>
      <c r="HG70" s="231"/>
      <c r="HH70" s="231"/>
      <c r="HI70" s="231"/>
      <c r="HJ70" s="231"/>
      <c r="HK70" s="231"/>
      <c r="HL70" s="231"/>
      <c r="HM70" s="231"/>
      <c r="HN70" s="231"/>
      <c r="HO70" s="231"/>
      <c r="HP70" s="231"/>
      <c r="HQ70" s="231"/>
      <c r="HR70" s="231"/>
      <c r="HS70" s="231"/>
      <c r="HT70" s="231"/>
      <c r="HU70" s="231"/>
      <c r="HV70" s="231"/>
      <c r="HW70" s="231"/>
      <c r="HX70" s="231"/>
      <c r="HY70" s="231"/>
      <c r="HZ70" s="231"/>
      <c r="IA70" s="231"/>
      <c r="IB70" s="231"/>
      <c r="IC70" s="231"/>
      <c r="ID70" s="231"/>
      <c r="IE70" s="231"/>
      <c r="IF70" s="231"/>
      <c r="IG70" s="231"/>
      <c r="IH70" s="231"/>
      <c r="II70" s="231"/>
      <c r="IJ70" s="231"/>
      <c r="IK70" s="231"/>
      <c r="IL70" s="231"/>
      <c r="IM70" s="231"/>
      <c r="IN70" s="231"/>
    </row>
    <row r="71" spans="1:248">
      <c r="D71" s="297">
        <f t="shared" ref="D71:O71" si="21">+D40-D41</f>
        <v>0</v>
      </c>
      <c r="E71" s="297">
        <f t="shared" si="21"/>
        <v>0</v>
      </c>
      <c r="F71" s="297">
        <f t="shared" si="21"/>
        <v>0</v>
      </c>
      <c r="G71" s="297">
        <f t="shared" si="21"/>
        <v>0</v>
      </c>
      <c r="H71" s="297">
        <f t="shared" si="21"/>
        <v>0</v>
      </c>
      <c r="I71" s="297">
        <f t="shared" si="21"/>
        <v>0</v>
      </c>
      <c r="J71" s="297">
        <f t="shared" si="21"/>
        <v>0</v>
      </c>
      <c r="K71" s="297">
        <f t="shared" si="21"/>
        <v>0</v>
      </c>
      <c r="L71" s="297">
        <f t="shared" si="21"/>
        <v>0</v>
      </c>
      <c r="M71" s="297">
        <f t="shared" si="21"/>
        <v>0</v>
      </c>
      <c r="N71" s="297">
        <f t="shared" si="21"/>
        <v>0</v>
      </c>
      <c r="O71" s="297">
        <f t="shared" si="21"/>
        <v>0</v>
      </c>
      <c r="P71" s="297"/>
    </row>
    <row r="72" spans="1:248">
      <c r="B72" s="278"/>
      <c r="C72" s="249"/>
      <c r="D72" s="297">
        <f t="shared" ref="D72:O72" si="22">+D71*0.4</f>
        <v>0</v>
      </c>
      <c r="E72" s="297">
        <f t="shared" si="22"/>
        <v>0</v>
      </c>
      <c r="F72" s="297">
        <f t="shared" si="22"/>
        <v>0</v>
      </c>
      <c r="G72" s="297">
        <f t="shared" si="22"/>
        <v>0</v>
      </c>
      <c r="H72" s="297">
        <f t="shared" si="22"/>
        <v>0</v>
      </c>
      <c r="I72" s="297">
        <f>+I71*0.4</f>
        <v>0</v>
      </c>
      <c r="J72" s="297">
        <f t="shared" si="22"/>
        <v>0</v>
      </c>
      <c r="K72" s="297">
        <f t="shared" si="22"/>
        <v>0</v>
      </c>
      <c r="L72" s="297">
        <f t="shared" si="22"/>
        <v>0</v>
      </c>
      <c r="M72" s="297">
        <f t="shared" si="22"/>
        <v>0</v>
      </c>
      <c r="N72" s="297">
        <f t="shared" si="22"/>
        <v>0</v>
      </c>
      <c r="O72" s="297">
        <f t="shared" si="22"/>
        <v>0</v>
      </c>
      <c r="P72" s="297"/>
    </row>
    <row r="73" spans="1:248">
      <c r="B73" s="278"/>
      <c r="C73" s="249">
        <v>1000</v>
      </c>
      <c r="D73" s="297">
        <f t="shared" ref="D73:O73" si="23">+D71*0.6</f>
        <v>0</v>
      </c>
      <c r="E73" s="297">
        <f t="shared" si="23"/>
        <v>0</v>
      </c>
      <c r="F73" s="297">
        <f t="shared" si="23"/>
        <v>0</v>
      </c>
      <c r="G73" s="297">
        <f t="shared" si="23"/>
        <v>0</v>
      </c>
      <c r="H73" s="297">
        <f t="shared" si="23"/>
        <v>0</v>
      </c>
      <c r="I73" s="297">
        <f>+I71*0.6</f>
        <v>0</v>
      </c>
      <c r="J73" s="297">
        <f t="shared" si="23"/>
        <v>0</v>
      </c>
      <c r="K73" s="297">
        <f t="shared" si="23"/>
        <v>0</v>
      </c>
      <c r="L73" s="297">
        <f t="shared" si="23"/>
        <v>0</v>
      </c>
      <c r="M73" s="297">
        <f t="shared" si="23"/>
        <v>0</v>
      </c>
      <c r="N73" s="297">
        <f t="shared" si="23"/>
        <v>0</v>
      </c>
      <c r="O73" s="297">
        <f t="shared" si="23"/>
        <v>0</v>
      </c>
      <c r="P73" s="297"/>
    </row>
    <row r="74" spans="1:248"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7"/>
      <c r="P74" s="297"/>
    </row>
    <row r="75" spans="1:248">
      <c r="D75" s="300">
        <f t="shared" ref="D75:O75" si="24">D37/D27</f>
        <v>1.7770957274550029E-2</v>
      </c>
      <c r="E75" s="300">
        <f t="shared" si="24"/>
        <v>1.4655676235565351E-2</v>
      </c>
      <c r="F75" s="300">
        <f t="shared" si="24"/>
        <v>1.8484629746705762E-2</v>
      </c>
      <c r="G75" s="300">
        <f t="shared" si="24"/>
        <v>1.8075053746290884E-2</v>
      </c>
      <c r="H75" s="300">
        <f t="shared" si="24"/>
        <v>1.7115054746110053E-2</v>
      </c>
      <c r="I75" s="300">
        <f t="shared" si="24"/>
        <v>1.7314854565471514E-2</v>
      </c>
      <c r="J75" s="300">
        <f t="shared" si="24"/>
        <v>1.7612934065516984E-2</v>
      </c>
      <c r="K75" s="300">
        <f t="shared" si="24"/>
        <v>1.6333659886550615E-2</v>
      </c>
      <c r="L75" s="300">
        <f t="shared" si="24"/>
        <v>1.6611215429043358E-2</v>
      </c>
      <c r="M75" s="300">
        <f t="shared" si="24"/>
        <v>1.627054767281242E-2</v>
      </c>
      <c r="N75" s="300">
        <f t="shared" si="24"/>
        <v>1.6947316675361691E-2</v>
      </c>
      <c r="O75" s="300">
        <f t="shared" si="24"/>
        <v>1.7355779686747588E-2</v>
      </c>
    </row>
    <row r="76" spans="1:248">
      <c r="D76" s="246"/>
      <c r="E76" s="246"/>
      <c r="F76" s="246"/>
      <c r="G76" s="246"/>
      <c r="H76" s="246"/>
      <c r="I76" s="246"/>
      <c r="J76" s="246"/>
      <c r="K76" s="301"/>
      <c r="L76" s="246"/>
      <c r="M76" s="246"/>
      <c r="N76" s="246"/>
      <c r="O76" s="246"/>
    </row>
    <row r="77" spans="1:248" ht="12" thickBot="1">
      <c r="D77" s="237"/>
      <c r="E77" s="237"/>
      <c r="F77" s="246"/>
      <c r="G77" s="237"/>
      <c r="H77" s="237"/>
      <c r="I77" s="237"/>
      <c r="J77" s="237"/>
      <c r="K77" s="237"/>
      <c r="L77" s="237"/>
      <c r="M77" s="237"/>
      <c r="N77" s="237"/>
      <c r="O77" s="237"/>
    </row>
    <row r="78" spans="1:248" ht="12" thickTop="1">
      <c r="C78" s="320" t="s">
        <v>40</v>
      </c>
      <c r="D78" s="337"/>
      <c r="E78" s="338">
        <f t="shared" ref="E78:E90" si="25">+E41/D41-1</f>
        <v>0.21915282137333159</v>
      </c>
      <c r="F78" s="339"/>
      <c r="G78" s="339"/>
      <c r="H78" s="339"/>
      <c r="I78" s="339"/>
      <c r="J78" s="339"/>
      <c r="K78" s="339"/>
      <c r="L78" s="339"/>
      <c r="M78" s="339"/>
      <c r="N78" s="339"/>
      <c r="O78" s="339"/>
      <c r="P78" s="340"/>
    </row>
    <row r="79" spans="1:248">
      <c r="C79" s="318" t="s">
        <v>44</v>
      </c>
      <c r="D79" s="336"/>
      <c r="E79" s="330" t="e">
        <f t="shared" si="25"/>
        <v>#DIV/0!</v>
      </c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31"/>
    </row>
    <row r="80" spans="1:248">
      <c r="C80" s="315" t="s">
        <v>41</v>
      </c>
      <c r="D80" s="336"/>
      <c r="E80" s="330" t="e">
        <f t="shared" si="25"/>
        <v>#DIV/0!</v>
      </c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31"/>
    </row>
    <row r="81" spans="3:16">
      <c r="C81" s="315"/>
      <c r="D81" s="336"/>
      <c r="E81" s="330" t="e">
        <f t="shared" si="25"/>
        <v>#DIV/0!</v>
      </c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31"/>
    </row>
    <row r="82" spans="3:16">
      <c r="C82" s="318" t="s">
        <v>42</v>
      </c>
      <c r="D82" s="336"/>
      <c r="E82" s="330">
        <f t="shared" si="25"/>
        <v>-3.131010566132808E-2</v>
      </c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31"/>
    </row>
    <row r="83" spans="3:16">
      <c r="C83" s="315" t="s">
        <v>47</v>
      </c>
      <c r="D83" s="336"/>
      <c r="E83" s="330">
        <f t="shared" si="25"/>
        <v>-2.889515981454871E-2</v>
      </c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31"/>
    </row>
    <row r="84" spans="3:16">
      <c r="C84" s="315" t="s">
        <v>48</v>
      </c>
      <c r="D84" s="325"/>
      <c r="E84" s="330">
        <f t="shared" si="25"/>
        <v>-2.9066583481386687E-2</v>
      </c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32"/>
    </row>
    <row r="85" spans="3:16">
      <c r="C85" s="315" t="s">
        <v>50</v>
      </c>
      <c r="D85" s="278"/>
      <c r="E85" s="330">
        <f t="shared" si="25"/>
        <v>-5.9066620130111103E-2</v>
      </c>
      <c r="F85" s="278"/>
      <c r="G85" s="278"/>
      <c r="H85" s="278"/>
      <c r="I85" s="278"/>
      <c r="J85" s="278"/>
      <c r="K85" s="278"/>
      <c r="L85" s="278"/>
      <c r="M85" s="278"/>
      <c r="N85" s="278"/>
      <c r="P85" s="331"/>
    </row>
    <row r="86" spans="3:16">
      <c r="C86" s="315" t="s">
        <v>51</v>
      </c>
      <c r="E86" s="330">
        <f t="shared" si="25"/>
        <v>-0.108263938439499</v>
      </c>
      <c r="P86" s="331"/>
    </row>
    <row r="87" spans="3:16">
      <c r="C87" s="315" t="s">
        <v>52</v>
      </c>
      <c r="E87" s="330">
        <f t="shared" si="25"/>
        <v>1.9493245358921829E-2</v>
      </c>
      <c r="I87" s="329"/>
      <c r="J87" s="329"/>
      <c r="K87" s="329"/>
      <c r="L87" s="329"/>
      <c r="M87" s="329"/>
      <c r="N87" s="329"/>
      <c r="O87" s="329"/>
      <c r="P87" s="331"/>
    </row>
    <row r="88" spans="3:16">
      <c r="C88" s="315" t="s">
        <v>90</v>
      </c>
      <c r="E88" s="330">
        <f t="shared" si="25"/>
        <v>-8.6828671232606403E-2</v>
      </c>
      <c r="P88" s="331"/>
    </row>
    <row r="89" spans="3:16">
      <c r="C89" s="315" t="s">
        <v>53</v>
      </c>
      <c r="E89" s="330">
        <f t="shared" si="25"/>
        <v>-1.0973340864064318E-2</v>
      </c>
      <c r="P89" s="331"/>
    </row>
    <row r="90" spans="3:16">
      <c r="C90" s="315" t="s">
        <v>54</v>
      </c>
      <c r="E90" s="330">
        <f t="shared" si="25"/>
        <v>-9.0247004930121832E-2</v>
      </c>
      <c r="P90" s="331"/>
    </row>
    <row r="91" spans="3:16">
      <c r="C91" s="307" t="s">
        <v>93</v>
      </c>
      <c r="E91" s="330">
        <f t="shared" ref="E91:E100" si="26">+E55/D55-1</f>
        <v>4.2491895679893865E-2</v>
      </c>
      <c r="P91" s="331"/>
    </row>
    <row r="92" spans="3:16">
      <c r="C92" s="318" t="s">
        <v>43</v>
      </c>
      <c r="E92" s="330">
        <f t="shared" si="26"/>
        <v>-7.4151379119958838E-3</v>
      </c>
      <c r="P92" s="331"/>
    </row>
    <row r="93" spans="3:16">
      <c r="C93" s="307" t="s">
        <v>116</v>
      </c>
      <c r="E93" s="330">
        <f t="shared" si="26"/>
        <v>0.13289570918793725</v>
      </c>
      <c r="P93" s="331"/>
    </row>
    <row r="94" spans="3:16">
      <c r="C94" s="307" t="s">
        <v>117</v>
      </c>
      <c r="E94" s="330">
        <f t="shared" si="26"/>
        <v>3.0679340989637982E-2</v>
      </c>
      <c r="P94" s="331"/>
    </row>
    <row r="95" spans="3:16">
      <c r="C95" s="307" t="s">
        <v>118</v>
      </c>
      <c r="E95" s="330">
        <f t="shared" si="26"/>
        <v>-1.1729622756177061E-2</v>
      </c>
      <c r="P95" s="331"/>
    </row>
    <row r="96" spans="3:16">
      <c r="C96" s="307" t="s">
        <v>119</v>
      </c>
      <c r="E96" s="330">
        <f t="shared" si="26"/>
        <v>-0.28561056815239949</v>
      </c>
      <c r="P96" s="331"/>
    </row>
    <row r="97" spans="3:16">
      <c r="C97" s="307" t="s">
        <v>120</v>
      </c>
      <c r="E97" s="330">
        <f t="shared" si="26"/>
        <v>-0.21196293820588685</v>
      </c>
      <c r="P97" s="331"/>
    </row>
    <row r="98" spans="3:16">
      <c r="C98" s="307" t="s">
        <v>121</v>
      </c>
      <c r="E98" s="330">
        <f t="shared" si="26"/>
        <v>-3.9368824529751545E-2</v>
      </c>
      <c r="P98" s="331"/>
    </row>
    <row r="99" spans="3:16">
      <c r="C99" s="307" t="s">
        <v>109</v>
      </c>
      <c r="E99" s="330">
        <f t="shared" si="26"/>
        <v>-0.40432666252224481</v>
      </c>
      <c r="P99" s="331"/>
    </row>
    <row r="100" spans="3:16">
      <c r="C100" s="307" t="s">
        <v>122</v>
      </c>
      <c r="E100" s="330">
        <f t="shared" si="26"/>
        <v>-0.13086081536071903</v>
      </c>
      <c r="P100" s="331"/>
    </row>
    <row r="101" spans="3:16" ht="12" thickBot="1">
      <c r="C101" s="308" t="s">
        <v>123</v>
      </c>
      <c r="D101" s="333"/>
      <c r="E101" s="334"/>
      <c r="F101" s="333"/>
      <c r="G101" s="333"/>
      <c r="H101" s="333"/>
      <c r="I101" s="333"/>
      <c r="J101" s="333"/>
      <c r="K101" s="333"/>
      <c r="L101" s="333"/>
      <c r="M101" s="333"/>
      <c r="N101" s="333"/>
      <c r="O101" s="333"/>
      <c r="P101" s="335"/>
    </row>
    <row r="102" spans="3:16" ht="12" thickTop="1">
      <c r="E102" s="277"/>
    </row>
  </sheetData>
  <printOptions horizontalCentered="1"/>
  <pageMargins left="0.39370078740157483" right="0.39370078740157483" top="1.3779527559055118" bottom="1" header="0" footer="0"/>
  <pageSetup paperSize="9" scale="7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7563-3773-443B-8C4A-ACE9D2C57D5A}">
  <sheetPr codeName="Sheet20">
    <pageSetUpPr fitToPage="1"/>
  </sheetPr>
  <dimension ref="A1:IN108"/>
  <sheetViews>
    <sheetView view="pageBreakPreview" topLeftCell="A24" zoomScale="85" zoomScaleNormal="80" zoomScaleSheetLayoutView="85" workbookViewId="0">
      <selection activeCell="P68" sqref="P68"/>
    </sheetView>
  </sheetViews>
  <sheetFormatPr baseColWidth="10" defaultColWidth="9" defaultRowHeight="11.25"/>
  <cols>
    <col min="1" max="1" width="3" style="221" customWidth="1"/>
    <col min="2" max="2" width="3.85546875" style="221" customWidth="1"/>
    <col min="3" max="3" width="26.85546875" style="221" bestFit="1" customWidth="1"/>
    <col min="4" max="4" width="10.7109375" style="221" customWidth="1"/>
    <col min="5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5.7109375" style="221" customWidth="1"/>
    <col min="17" max="17" width="2.5703125" style="221" customWidth="1"/>
    <col min="18" max="19" width="9.85546875" style="221" bestFit="1" customWidth="1"/>
    <col min="20" max="16384" width="9" style="221"/>
  </cols>
  <sheetData>
    <row r="1" spans="3:16" hidden="1"/>
    <row r="2" spans="3:16" hidden="1"/>
    <row r="3" spans="3:16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136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235">
        <v>926.97495404577251</v>
      </c>
      <c r="E8" s="235">
        <v>461.40711146468215</v>
      </c>
      <c r="F8" s="236">
        <v>828.95046134578411</v>
      </c>
      <c r="G8" s="236">
        <v>1171.7400253601074</v>
      </c>
      <c r="H8" s="236">
        <v>1116.3305110563338</v>
      </c>
      <c r="I8" s="236">
        <v>1041.0903302083016</v>
      </c>
      <c r="J8" s="236">
        <v>1186.2565118484497</v>
      </c>
      <c r="K8" s="237">
        <v>1200.15392455101</v>
      </c>
      <c r="L8" s="268">
        <v>1105.6230203217976</v>
      </c>
      <c r="M8" s="236">
        <v>1144.318103322506</v>
      </c>
      <c r="N8" s="236"/>
      <c r="O8" s="238"/>
      <c r="P8" s="239">
        <f t="shared" ref="P8:P14" si="0">+SUM(D8:O8)</f>
        <v>10182.844953524746</v>
      </c>
    </row>
    <row r="9" spans="3:16">
      <c r="C9" s="234" t="s">
        <v>17</v>
      </c>
      <c r="D9" s="235">
        <v>402.870262936926</v>
      </c>
      <c r="E9" s="235">
        <v>208.30515888170851</v>
      </c>
      <c r="F9" s="236">
        <v>349.37798729529652</v>
      </c>
      <c r="G9" s="236">
        <v>384.88266591119765</v>
      </c>
      <c r="H9" s="236">
        <v>399.46322554445265</v>
      </c>
      <c r="I9" s="236">
        <v>398.1997900333954</v>
      </c>
      <c r="J9" s="236">
        <v>425.59572734451297</v>
      </c>
      <c r="K9" s="237">
        <v>412.96571056716573</v>
      </c>
      <c r="L9" s="268">
        <v>391.0158058863729</v>
      </c>
      <c r="M9" s="236">
        <v>412.73237714993303</v>
      </c>
      <c r="N9" s="236"/>
      <c r="O9" s="238"/>
      <c r="P9" s="239">
        <f t="shared" si="0"/>
        <v>3785.4087115509615</v>
      </c>
    </row>
    <row r="10" spans="3:16">
      <c r="C10" s="234" t="s">
        <v>18</v>
      </c>
      <c r="D10" s="235">
        <v>2802.6901195259093</v>
      </c>
      <c r="E10" s="235">
        <v>1599.6715765838605</v>
      </c>
      <c r="F10" s="236">
        <v>2343.2853220167308</v>
      </c>
      <c r="G10" s="236">
        <v>3186.261717338562</v>
      </c>
      <c r="H10" s="236">
        <v>3320.8418933486937</v>
      </c>
      <c r="I10" s="236">
        <v>2971.2549195591064</v>
      </c>
      <c r="J10" s="236">
        <v>3459.3024301147461</v>
      </c>
      <c r="K10" s="237">
        <v>3396.7827389217614</v>
      </c>
      <c r="L10" s="268">
        <v>3239.1046255743504</v>
      </c>
      <c r="M10" s="236">
        <v>3402.5594845657347</v>
      </c>
      <c r="N10" s="236"/>
      <c r="O10" s="238"/>
      <c r="P10" s="239">
        <f t="shared" si="0"/>
        <v>29721.754827549452</v>
      </c>
    </row>
    <row r="11" spans="3:16">
      <c r="C11" s="234" t="s">
        <v>19</v>
      </c>
      <c r="D11" s="235">
        <v>5668.9583052101425</v>
      </c>
      <c r="E11" s="235">
        <v>4589.5587625728376</v>
      </c>
      <c r="F11" s="236">
        <v>10368.599402813437</v>
      </c>
      <c r="G11" s="236">
        <v>9478.3303183154567</v>
      </c>
      <c r="H11" s="236">
        <v>7684.0717533622774</v>
      </c>
      <c r="I11" s="236">
        <v>7876.1240154026473</v>
      </c>
      <c r="J11" s="236">
        <v>8639.9295436766879</v>
      </c>
      <c r="K11" s="237">
        <v>9217.0969540214537</v>
      </c>
      <c r="L11" s="342">
        <v>8732.8049782139951</v>
      </c>
      <c r="M11" s="236">
        <v>9208.2879194034558</v>
      </c>
      <c r="N11" s="236"/>
      <c r="O11" s="238"/>
      <c r="P11" s="239">
        <f t="shared" si="0"/>
        <v>81463.761952992398</v>
      </c>
    </row>
    <row r="12" spans="3:16">
      <c r="C12" s="234" t="s">
        <v>20</v>
      </c>
      <c r="D12" s="235">
        <v>39618.482833230388</v>
      </c>
      <c r="E12" s="235">
        <v>39102.116138388752</v>
      </c>
      <c r="F12" s="236">
        <v>105491.26078385663</v>
      </c>
      <c r="G12" s="236">
        <v>80526.830714843993</v>
      </c>
      <c r="H12" s="236">
        <v>50251.077631664411</v>
      </c>
      <c r="I12" s="236">
        <v>49541.405805029928</v>
      </c>
      <c r="J12" s="236">
        <v>52971.106137058916</v>
      </c>
      <c r="K12" s="237">
        <v>56533.411631859482</v>
      </c>
      <c r="L12" s="268">
        <v>54709.925384155569</v>
      </c>
      <c r="M12" s="236">
        <v>56977.631290992111</v>
      </c>
      <c r="N12" s="236"/>
      <c r="O12" s="238"/>
      <c r="P12" s="239">
        <f t="shared" si="0"/>
        <v>585723.24835108023</v>
      </c>
    </row>
    <row r="13" spans="3:16">
      <c r="C13" s="234" t="s">
        <v>21</v>
      </c>
      <c r="D13" s="235">
        <v>3421.4184920940397</v>
      </c>
      <c r="E13" s="235">
        <v>2501.1813698993669</v>
      </c>
      <c r="F13" s="236">
        <v>6048.9545388031001</v>
      </c>
      <c r="G13" s="236">
        <v>5559.3143736362454</v>
      </c>
      <c r="H13" s="236">
        <v>4620.7465813078343</v>
      </c>
      <c r="I13" s="236">
        <v>4738.5689890530157</v>
      </c>
      <c r="J13" s="236">
        <v>5138.6642664544715</v>
      </c>
      <c r="K13" s="237">
        <v>4264.153884270886</v>
      </c>
      <c r="L13" s="268">
        <v>0</v>
      </c>
      <c r="M13" s="236">
        <v>0</v>
      </c>
      <c r="N13" s="236"/>
      <c r="O13" s="238"/>
      <c r="P13" s="239">
        <f t="shared" si="0"/>
        <v>36293.002495518958</v>
      </c>
    </row>
    <row r="14" spans="3:16">
      <c r="C14" s="240" t="s">
        <v>22</v>
      </c>
      <c r="D14" s="241">
        <f t="shared" ref="D14:M14" si="1">SUM(D8:D13)</f>
        <v>52841.394967043176</v>
      </c>
      <c r="E14" s="241">
        <f t="shared" si="1"/>
        <v>48462.240117791203</v>
      </c>
      <c r="F14" s="241">
        <f t="shared" si="1"/>
        <v>125430.42849613097</v>
      </c>
      <c r="G14" s="241">
        <f t="shared" si="1"/>
        <v>100307.35981540555</v>
      </c>
      <c r="H14" s="241">
        <f t="shared" si="1"/>
        <v>67392.531596283996</v>
      </c>
      <c r="I14" s="241">
        <v>66566.643849286396</v>
      </c>
      <c r="J14" s="241">
        <f t="shared" si="1"/>
        <v>71820.854616497789</v>
      </c>
      <c r="K14" s="241">
        <f t="shared" si="1"/>
        <v>75024.564844191758</v>
      </c>
      <c r="L14" s="241">
        <f t="shared" si="1"/>
        <v>68178.473814152079</v>
      </c>
      <c r="M14" s="241">
        <f t="shared" si="1"/>
        <v>71145.529175433738</v>
      </c>
      <c r="N14" s="241">
        <f>SUM(N8:N13)</f>
        <v>0</v>
      </c>
      <c r="O14" s="242">
        <f>SUM(O8:O13)</f>
        <v>0</v>
      </c>
      <c r="P14" s="243">
        <f t="shared" si="0"/>
        <v>747170.02129221661</v>
      </c>
    </row>
    <row r="15" spans="3:16">
      <c r="C15" s="228" t="s">
        <v>23</v>
      </c>
      <c r="D15" s="244"/>
      <c r="E15" s="244"/>
      <c r="F15" s="245"/>
      <c r="G15" s="245"/>
      <c r="H15" s="245"/>
      <c r="I15" s="245"/>
      <c r="J15" s="245"/>
      <c r="K15" s="246"/>
      <c r="L15" s="236"/>
      <c r="M15" s="236"/>
      <c r="N15" s="236"/>
      <c r="O15" s="238"/>
      <c r="P15" s="247"/>
    </row>
    <row r="16" spans="3:16">
      <c r="C16" s="248" t="s">
        <v>24</v>
      </c>
      <c r="D16" s="235"/>
      <c r="E16" s="235"/>
      <c r="F16" s="236"/>
      <c r="G16" s="236"/>
      <c r="H16" s="236"/>
      <c r="I16" s="236"/>
      <c r="J16" s="236"/>
      <c r="K16" s="237"/>
      <c r="L16" s="236"/>
      <c r="M16" s="236"/>
      <c r="N16" s="236"/>
      <c r="O16" s="238"/>
      <c r="P16" s="239">
        <f t="shared" ref="P16:P22" si="2">+SUM(D16:O16)</f>
        <v>0</v>
      </c>
    </row>
    <row r="17" spans="3:17">
      <c r="C17" s="234" t="s">
        <v>25</v>
      </c>
      <c r="D17" s="235">
        <v>0</v>
      </c>
      <c r="E17" s="235">
        <v>3.3567107238769531</v>
      </c>
      <c r="F17" s="236">
        <v>27.310176452636718</v>
      </c>
      <c r="G17" s="236">
        <v>2.2337345581054686</v>
      </c>
      <c r="H17" s="236">
        <v>1.820708251953125</v>
      </c>
      <c r="I17" s="236">
        <v>27.936585601806641</v>
      </c>
      <c r="J17" s="236">
        <v>0</v>
      </c>
      <c r="K17" s="237">
        <v>0</v>
      </c>
      <c r="L17" s="236">
        <v>29.915137702941895</v>
      </c>
      <c r="M17" s="236">
        <v>10.262991961479187</v>
      </c>
      <c r="N17" s="236"/>
      <c r="O17" s="238"/>
      <c r="P17" s="239">
        <f t="shared" si="2"/>
        <v>102.83604525279999</v>
      </c>
    </row>
    <row r="18" spans="3:17">
      <c r="C18" s="248" t="s">
        <v>26</v>
      </c>
      <c r="D18" s="235">
        <v>10.345421070098878</v>
      </c>
      <c r="E18" s="235">
        <v>11.507578196167946</v>
      </c>
      <c r="F18" s="236">
        <v>10.751972915649414</v>
      </c>
      <c r="G18" s="236">
        <v>24.79071404965967</v>
      </c>
      <c r="H18" s="236">
        <v>14.839656448364257</v>
      </c>
      <c r="I18" s="236">
        <v>6.6027857005051924</v>
      </c>
      <c r="J18" s="236">
        <v>14.9252216796875</v>
      </c>
      <c r="K18" s="237">
        <v>15.538585400104523</v>
      </c>
      <c r="L18" s="236">
        <v>0</v>
      </c>
      <c r="M18" s="236">
        <v>20.87109200286865</v>
      </c>
      <c r="N18" s="236"/>
      <c r="O18" s="238"/>
      <c r="P18" s="239">
        <f t="shared" si="2"/>
        <v>130.17302746310602</v>
      </c>
      <c r="Q18" s="249"/>
    </row>
    <row r="19" spans="3:17">
      <c r="C19" s="248" t="s">
        <v>27</v>
      </c>
      <c r="D19" s="235">
        <v>24.784779594421387</v>
      </c>
      <c r="E19" s="235">
        <v>44.226588143477684</v>
      </c>
      <c r="F19" s="236">
        <v>0</v>
      </c>
      <c r="G19" s="236">
        <v>26.180859096527097</v>
      </c>
      <c r="H19" s="236">
        <v>0</v>
      </c>
      <c r="I19" s="236">
        <v>33.368395591735833</v>
      </c>
      <c r="J19" s="236">
        <v>61.661103185176849</v>
      </c>
      <c r="K19" s="237">
        <v>7.2396353759765626</v>
      </c>
      <c r="L19" s="236">
        <v>81.539487823486326</v>
      </c>
      <c r="M19" s="236">
        <v>29.829780141353606</v>
      </c>
      <c r="N19" s="236"/>
      <c r="O19" s="238"/>
      <c r="P19" s="239">
        <f t="shared" si="2"/>
        <v>308.83062895215534</v>
      </c>
      <c r="Q19" s="249"/>
    </row>
    <row r="20" spans="3:17">
      <c r="C20" s="250" t="s">
        <v>46</v>
      </c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7"/>
      <c r="P20" s="239">
        <f t="shared" si="2"/>
        <v>0</v>
      </c>
      <c r="Q20" s="249"/>
    </row>
    <row r="21" spans="3:17">
      <c r="C21" s="240" t="s">
        <v>28</v>
      </c>
      <c r="D21" s="241">
        <f t="shared" ref="D21:O21" si="3">SUM(D16:D20)</f>
        <v>35.130200664520267</v>
      </c>
      <c r="E21" s="241">
        <f t="shared" si="3"/>
        <v>59.090877063522584</v>
      </c>
      <c r="F21" s="241">
        <f t="shared" si="3"/>
        <v>38.062149368286128</v>
      </c>
      <c r="G21" s="241">
        <f t="shared" si="3"/>
        <v>53.205307704292238</v>
      </c>
      <c r="H21" s="241">
        <f t="shared" si="3"/>
        <v>16.660364700317384</v>
      </c>
      <c r="I21" s="241">
        <v>67.907766894047668</v>
      </c>
      <c r="J21" s="241">
        <f t="shared" si="3"/>
        <v>76.586324864864352</v>
      </c>
      <c r="K21" s="241">
        <f t="shared" si="3"/>
        <v>22.778220776081085</v>
      </c>
      <c r="L21" s="241">
        <f t="shared" si="3"/>
        <v>111.45462552642822</v>
      </c>
      <c r="M21" s="241">
        <f t="shared" si="3"/>
        <v>60.963864105701447</v>
      </c>
      <c r="N21" s="241">
        <f t="shared" si="3"/>
        <v>0</v>
      </c>
      <c r="O21" s="242">
        <f t="shared" si="3"/>
        <v>0</v>
      </c>
      <c r="P21" s="243">
        <f t="shared" si="2"/>
        <v>541.83970166806137</v>
      </c>
    </row>
    <row r="22" spans="3:17" ht="12" thickBot="1">
      <c r="C22" s="251" t="s">
        <v>29</v>
      </c>
      <c r="D22" s="252">
        <f t="shared" ref="D22:O22" si="4">+D14+D21</f>
        <v>52876.525167707696</v>
      </c>
      <c r="E22" s="252">
        <f t="shared" si="4"/>
        <v>48521.330994854725</v>
      </c>
      <c r="F22" s="252">
        <f t="shared" si="4"/>
        <v>125468.49064549926</v>
      </c>
      <c r="G22" s="252">
        <f t="shared" si="4"/>
        <v>100360.56512310985</v>
      </c>
      <c r="H22" s="252">
        <f t="shared" si="4"/>
        <v>67409.191960984317</v>
      </c>
      <c r="I22" s="252">
        <v>66634.551616180441</v>
      </c>
      <c r="J22" s="252">
        <f t="shared" si="4"/>
        <v>71897.440941362656</v>
      </c>
      <c r="K22" s="252">
        <f t="shared" si="4"/>
        <v>75047.343064967834</v>
      </c>
      <c r="L22" s="252">
        <f t="shared" si="4"/>
        <v>68289.928439678508</v>
      </c>
      <c r="M22" s="252">
        <f t="shared" si="4"/>
        <v>71206.493039539433</v>
      </c>
      <c r="N22" s="252">
        <f t="shared" si="4"/>
        <v>0</v>
      </c>
      <c r="O22" s="253">
        <f t="shared" si="4"/>
        <v>0</v>
      </c>
      <c r="P22" s="254">
        <f t="shared" si="2"/>
        <v>747711.86099388474</v>
      </c>
    </row>
    <row r="23" spans="3:17" ht="12" thickTop="1">
      <c r="D23" s="350"/>
    </row>
    <row r="24" spans="3:17">
      <c r="C24" s="222" t="s">
        <v>114</v>
      </c>
      <c r="D24" s="349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17" ht="12" thickBot="1"/>
    <row r="26" spans="3:17" ht="12" thickTop="1">
      <c r="C26" s="310" t="s">
        <v>30</v>
      </c>
      <c r="D26" s="311" t="s">
        <v>2</v>
      </c>
      <c r="E26" s="311" t="s">
        <v>3</v>
      </c>
      <c r="F26" s="311" t="s">
        <v>4</v>
      </c>
      <c r="G26" s="311" t="s">
        <v>5</v>
      </c>
      <c r="H26" s="311" t="s">
        <v>6</v>
      </c>
      <c r="I26" s="311" t="s">
        <v>7</v>
      </c>
      <c r="J26" s="311" t="s">
        <v>8</v>
      </c>
      <c r="K26" s="311" t="s">
        <v>9</v>
      </c>
      <c r="L26" s="311" t="s">
        <v>10</v>
      </c>
      <c r="M26" s="311" t="s">
        <v>11</v>
      </c>
      <c r="N26" s="311" t="s">
        <v>12</v>
      </c>
      <c r="O26" s="311" t="s">
        <v>13</v>
      </c>
      <c r="P26" s="312" t="s">
        <v>14</v>
      </c>
    </row>
    <row r="27" spans="3:17">
      <c r="C27" s="313" t="s">
        <v>31</v>
      </c>
      <c r="D27" s="263">
        <f t="shared" ref="D27:O27" si="5">+D28+D29</f>
        <v>52876.525167707696</v>
      </c>
      <c r="E27" s="262">
        <f t="shared" si="5"/>
        <v>48521.330994854725</v>
      </c>
      <c r="F27" s="263">
        <f t="shared" si="5"/>
        <v>125468.49064549926</v>
      </c>
      <c r="G27" s="263">
        <f t="shared" si="5"/>
        <v>100360.56512310985</v>
      </c>
      <c r="H27" s="263">
        <f t="shared" si="5"/>
        <v>67409.191960984317</v>
      </c>
      <c r="I27" s="263">
        <f t="shared" si="5"/>
        <v>66634.551616180441</v>
      </c>
      <c r="J27" s="263">
        <f t="shared" si="5"/>
        <v>71897.440941362656</v>
      </c>
      <c r="K27" s="263">
        <f t="shared" si="5"/>
        <v>75047.343064967834</v>
      </c>
      <c r="L27" s="263">
        <f t="shared" si="5"/>
        <v>68289.928439678508</v>
      </c>
      <c r="M27" s="263">
        <f t="shared" si="5"/>
        <v>71206.493039539433</v>
      </c>
      <c r="N27" s="263">
        <f t="shared" si="5"/>
        <v>0</v>
      </c>
      <c r="O27" s="263">
        <f t="shared" si="5"/>
        <v>0</v>
      </c>
      <c r="P27" s="314">
        <f>SUM(D27:O27)</f>
        <v>747711.86099388474</v>
      </c>
    </row>
    <row r="28" spans="3:17">
      <c r="C28" s="315" t="s">
        <v>32</v>
      </c>
      <c r="D28" s="268">
        <f>+D14</f>
        <v>52841.394967043176</v>
      </c>
      <c r="E28" s="268">
        <f t="shared" ref="E28:O28" si="6">+E14</f>
        <v>48462.240117791203</v>
      </c>
      <c r="F28" s="268">
        <f t="shared" si="6"/>
        <v>125430.42849613097</v>
      </c>
      <c r="G28" s="268">
        <f t="shared" si="6"/>
        <v>100307.35981540555</v>
      </c>
      <c r="H28" s="268">
        <f t="shared" si="6"/>
        <v>67392.531596283996</v>
      </c>
      <c r="I28" s="268">
        <f t="shared" si="6"/>
        <v>66566.643849286396</v>
      </c>
      <c r="J28" s="268">
        <f t="shared" si="6"/>
        <v>71820.854616497789</v>
      </c>
      <c r="K28" s="268">
        <f t="shared" si="6"/>
        <v>75024.564844191758</v>
      </c>
      <c r="L28" s="268">
        <f t="shared" si="6"/>
        <v>68178.473814152079</v>
      </c>
      <c r="M28" s="268">
        <f t="shared" si="6"/>
        <v>71145.529175433738</v>
      </c>
      <c r="N28" s="268">
        <f t="shared" si="6"/>
        <v>0</v>
      </c>
      <c r="O28" s="268">
        <f t="shared" si="6"/>
        <v>0</v>
      </c>
      <c r="P28" s="306">
        <f t="shared" ref="P28:P63" si="7">SUM(D28:O28)</f>
        <v>747170.02129221661</v>
      </c>
    </row>
    <row r="29" spans="3:17">
      <c r="C29" s="316" t="s">
        <v>33</v>
      </c>
      <c r="D29" s="272">
        <f>+D21</f>
        <v>35.130200664520267</v>
      </c>
      <c r="E29" s="272">
        <f t="shared" ref="E29:O29" si="8">+E21</f>
        <v>59.090877063522584</v>
      </c>
      <c r="F29" s="272">
        <f t="shared" si="8"/>
        <v>38.062149368286128</v>
      </c>
      <c r="G29" s="272">
        <f t="shared" si="8"/>
        <v>53.205307704292238</v>
      </c>
      <c r="H29" s="272">
        <f t="shared" si="8"/>
        <v>16.660364700317384</v>
      </c>
      <c r="I29" s="272">
        <f t="shared" si="8"/>
        <v>67.907766894047668</v>
      </c>
      <c r="J29" s="272">
        <f t="shared" si="8"/>
        <v>76.586324864864352</v>
      </c>
      <c r="K29" s="272">
        <f t="shared" si="8"/>
        <v>22.778220776081085</v>
      </c>
      <c r="L29" s="272">
        <f t="shared" si="8"/>
        <v>111.45462552642822</v>
      </c>
      <c r="M29" s="272">
        <f t="shared" si="8"/>
        <v>60.963864105701447</v>
      </c>
      <c r="N29" s="272">
        <f t="shared" si="8"/>
        <v>0</v>
      </c>
      <c r="O29" s="272">
        <f t="shared" si="8"/>
        <v>0</v>
      </c>
      <c r="P29" s="317">
        <f t="shared" si="7"/>
        <v>541.83970166806137</v>
      </c>
    </row>
    <row r="30" spans="3:17">
      <c r="C30" s="313" t="s">
        <v>34</v>
      </c>
      <c r="D30" s="263">
        <f>+SUM(D31:D33)</f>
        <v>823.039989780361</v>
      </c>
      <c r="E30" s="263">
        <f t="shared" ref="E30:P30" si="9">+SUM(E31:E33)</f>
        <v>3347.1691835411502</v>
      </c>
      <c r="F30" s="263">
        <f t="shared" si="9"/>
        <v>111.468</v>
      </c>
      <c r="G30" s="263">
        <f t="shared" si="9"/>
        <v>106.437</v>
      </c>
      <c r="H30" s="263">
        <f t="shared" si="9"/>
        <v>110.15900000000001</v>
      </c>
      <c r="I30" s="263">
        <f t="shared" si="9"/>
        <v>106.29900000000001</v>
      </c>
      <c r="J30" s="263">
        <f t="shared" si="9"/>
        <v>113.13</v>
      </c>
      <c r="K30" s="263">
        <f t="shared" si="9"/>
        <v>111.63498953533173</v>
      </c>
      <c r="L30" s="263">
        <f t="shared" si="9"/>
        <v>110.08238833045959</v>
      </c>
      <c r="M30" s="263">
        <f t="shared" si="9"/>
        <v>109.52912897205353</v>
      </c>
      <c r="N30" s="263">
        <f t="shared" si="9"/>
        <v>0</v>
      </c>
      <c r="O30" s="263">
        <f t="shared" si="9"/>
        <v>0</v>
      </c>
      <c r="P30" s="314">
        <f t="shared" si="9"/>
        <v>5048.9486801593557</v>
      </c>
    </row>
    <row r="31" spans="3:17">
      <c r="C31" s="307" t="s">
        <v>41</v>
      </c>
      <c r="D31" s="268">
        <v>713.534989780361</v>
      </c>
      <c r="E31" s="268">
        <v>3244.7331835411501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/>
      <c r="M31" s="268"/>
      <c r="N31" s="268"/>
      <c r="O31" s="268"/>
      <c r="P31" s="306">
        <f t="shared" si="7"/>
        <v>3958.2681733215113</v>
      </c>
    </row>
    <row r="32" spans="3:17">
      <c r="C32" s="307" t="s">
        <v>109</v>
      </c>
      <c r="D32" s="268">
        <v>109.505</v>
      </c>
      <c r="E32" s="268">
        <v>102.43600000000001</v>
      </c>
      <c r="F32" s="268">
        <v>111.468</v>
      </c>
      <c r="G32" s="268">
        <v>106.437</v>
      </c>
      <c r="H32" s="268">
        <v>110.15900000000001</v>
      </c>
      <c r="I32" s="268">
        <v>106.29900000000001</v>
      </c>
      <c r="J32" s="268">
        <v>113.13</v>
      </c>
      <c r="K32" s="268">
        <v>111.63498953533173</v>
      </c>
      <c r="L32" s="268">
        <v>110.08238833045959</v>
      </c>
      <c r="M32" s="268">
        <v>109.52912897205353</v>
      </c>
      <c r="N32" s="268"/>
      <c r="O32" s="268"/>
      <c r="P32" s="306">
        <f t="shared" si="7"/>
        <v>1090.6805068378449</v>
      </c>
    </row>
    <row r="33" spans="2:19">
      <c r="C33" s="322" t="s">
        <v>125</v>
      </c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317"/>
    </row>
    <row r="34" spans="2:19">
      <c r="C34" s="313" t="s">
        <v>35</v>
      </c>
      <c r="D34" s="263">
        <f>+D35+D36</f>
        <v>290.35922192827775</v>
      </c>
      <c r="E34" s="263">
        <f t="shared" ref="E34:O34" si="10">+E35+E36</f>
        <v>269.62103826981161</v>
      </c>
      <c r="F34" s="263">
        <f t="shared" si="10"/>
        <v>336.11364153099112</v>
      </c>
      <c r="G34" s="263">
        <f t="shared" si="10"/>
        <v>318.47200835000217</v>
      </c>
      <c r="H34" s="263">
        <f t="shared" si="10"/>
        <v>303.90507652491431</v>
      </c>
      <c r="I34" s="263">
        <f t="shared" si="10"/>
        <v>299.99135543276867</v>
      </c>
      <c r="J34" s="263">
        <f t="shared" si="10"/>
        <v>313.81702152453022</v>
      </c>
      <c r="K34" s="263">
        <f t="shared" si="10"/>
        <v>300.1642992428911</v>
      </c>
      <c r="L34" s="263">
        <f t="shared" si="10"/>
        <v>288.09800962840836</v>
      </c>
      <c r="M34" s="263">
        <f t="shared" si="10"/>
        <v>297.70127661602203</v>
      </c>
      <c r="N34" s="263">
        <f t="shared" si="10"/>
        <v>0</v>
      </c>
      <c r="O34" s="263">
        <f t="shared" si="10"/>
        <v>0</v>
      </c>
      <c r="P34" s="314">
        <f t="shared" si="7"/>
        <v>3018.2429490486174</v>
      </c>
    </row>
    <row r="35" spans="2:19">
      <c r="B35" s="277"/>
      <c r="C35" s="315" t="s">
        <v>32</v>
      </c>
      <c r="D35" s="268">
        <v>287.31054944006519</v>
      </c>
      <c r="E35" s="268">
        <v>266.80451380997272</v>
      </c>
      <c r="F35" s="268">
        <v>335.3168820772176</v>
      </c>
      <c r="G35" s="268">
        <v>315.19341907464207</v>
      </c>
      <c r="H35" s="268">
        <v>302.45033870810369</v>
      </c>
      <c r="I35" s="268">
        <v>297.65088759162029</v>
      </c>
      <c r="J35" s="268">
        <v>309.01336840258199</v>
      </c>
      <c r="K35" s="268">
        <v>297.4089078244341</v>
      </c>
      <c r="L35" s="268">
        <v>284.19736010431569</v>
      </c>
      <c r="M35" s="268">
        <f>+L35*1.03333333333333</f>
        <v>293.67060544112627</v>
      </c>
      <c r="N35" s="268"/>
      <c r="O35" s="268"/>
      <c r="P35" s="306">
        <f t="shared" si="7"/>
        <v>2989.0168324740789</v>
      </c>
    </row>
    <row r="36" spans="2:19">
      <c r="B36" s="278"/>
      <c r="C36" s="316" t="s">
        <v>33</v>
      </c>
      <c r="D36" s="268">
        <v>3.0486724882125853</v>
      </c>
      <c r="E36" s="268">
        <v>2.8165244598388672</v>
      </c>
      <c r="F36" s="268">
        <v>0.79675945377349855</v>
      </c>
      <c r="G36" s="272">
        <v>3.2785892753601074</v>
      </c>
      <c r="H36" s="272">
        <v>1.454737816810608</v>
      </c>
      <c r="I36" s="272">
        <v>2.3404678411483766</v>
      </c>
      <c r="J36" s="272">
        <v>4.8036531219482423</v>
      </c>
      <c r="K36" s="272">
        <v>2.7553914184570312</v>
      </c>
      <c r="L36" s="272">
        <v>3.9006495240926742</v>
      </c>
      <c r="M36" s="268">
        <f>+L36*1.03333333333333</f>
        <v>4.0306711748957635</v>
      </c>
      <c r="N36" s="272"/>
      <c r="O36" s="272"/>
      <c r="P36" s="317">
        <f t="shared" si="7"/>
        <v>29.226116574537755</v>
      </c>
    </row>
    <row r="37" spans="2:19">
      <c r="C37" s="318" t="s">
        <v>36</v>
      </c>
      <c r="D37" s="263">
        <f t="shared" ref="D37:O37" si="11">+D38+D39</f>
        <v>948.51861850077694</v>
      </c>
      <c r="E37" s="263">
        <f t="shared" si="11"/>
        <v>825.42407109464693</v>
      </c>
      <c r="F37" s="263">
        <f t="shared" si="11"/>
        <v>1802.9948480989988</v>
      </c>
      <c r="G37" s="282">
        <f t="shared" si="11"/>
        <v>1444.9288653266995</v>
      </c>
      <c r="H37" s="282">
        <f t="shared" si="11"/>
        <v>1113.8128065370984</v>
      </c>
      <c r="I37" s="282">
        <f t="shared" si="11"/>
        <v>1347.8540465474362</v>
      </c>
      <c r="J37" s="282">
        <f t="shared" si="11"/>
        <v>1392.782514765684</v>
      </c>
      <c r="K37" s="282">
        <f t="shared" si="11"/>
        <v>1406.7103399133409</v>
      </c>
      <c r="L37" s="282">
        <f t="shared" si="11"/>
        <v>1078.6811672615877</v>
      </c>
      <c r="M37" s="263">
        <f t="shared" si="11"/>
        <v>1114.6372061703073</v>
      </c>
      <c r="N37" s="282">
        <f t="shared" si="11"/>
        <v>0</v>
      </c>
      <c r="O37" s="282">
        <f t="shared" si="11"/>
        <v>0</v>
      </c>
      <c r="P37" s="326">
        <f t="shared" si="7"/>
        <v>12476.344484216577</v>
      </c>
    </row>
    <row r="38" spans="2:19">
      <c r="B38" s="278"/>
      <c r="C38" s="315" t="s">
        <v>37</v>
      </c>
      <c r="D38" s="268">
        <v>379.40744740031079</v>
      </c>
      <c r="E38" s="268">
        <v>330.16962843785882</v>
      </c>
      <c r="F38" s="268">
        <v>721.19793923959958</v>
      </c>
      <c r="G38" s="268">
        <v>577.97154613067983</v>
      </c>
      <c r="H38" s="268">
        <v>445.52512261483935</v>
      </c>
      <c r="I38" s="268">
        <v>539.14161861897446</v>
      </c>
      <c r="J38" s="268">
        <v>557.11300590627366</v>
      </c>
      <c r="K38" s="324">
        <f>+J38*1.01</f>
        <v>562.6841359653364</v>
      </c>
      <c r="L38" s="268">
        <v>431.4724669046351</v>
      </c>
      <c r="M38" s="268">
        <f>+L38*1.03333333333333</f>
        <v>445.85488246812298</v>
      </c>
      <c r="N38" s="268"/>
      <c r="O38" s="268"/>
      <c r="P38" s="306">
        <f t="shared" si="7"/>
        <v>4990.5377936866307</v>
      </c>
    </row>
    <row r="39" spans="2:19">
      <c r="B39" s="285"/>
      <c r="C39" s="315" t="s">
        <v>38</v>
      </c>
      <c r="D39" s="272">
        <v>569.11117110046609</v>
      </c>
      <c r="E39" s="272">
        <v>495.25444265678811</v>
      </c>
      <c r="F39" s="272">
        <v>1081.7969088593993</v>
      </c>
      <c r="G39" s="268">
        <v>866.95731919601963</v>
      </c>
      <c r="H39" s="268">
        <v>668.28768392225902</v>
      </c>
      <c r="I39" s="268">
        <v>808.71242792846169</v>
      </c>
      <c r="J39" s="268">
        <v>835.66950885941037</v>
      </c>
      <c r="K39" s="324">
        <f>+J39*1.01</f>
        <v>844.02620394800454</v>
      </c>
      <c r="L39" s="272">
        <v>647.20870035695259</v>
      </c>
      <c r="M39" s="272">
        <f>+L39*1.03333333333333</f>
        <v>668.78232370218439</v>
      </c>
      <c r="N39" s="272"/>
      <c r="O39" s="272"/>
      <c r="P39" s="306">
        <f t="shared" si="7"/>
        <v>7485.8066905299456</v>
      </c>
    </row>
    <row r="40" spans="2:19">
      <c r="B40" s="285"/>
      <c r="C40" s="320" t="s">
        <v>39</v>
      </c>
      <c r="D40" s="302">
        <f t="shared" ref="D40:O40" si="12">+D27+D30-D34-D37</f>
        <v>52460.687317058997</v>
      </c>
      <c r="E40" s="302">
        <f t="shared" si="12"/>
        <v>50773.455069031414</v>
      </c>
      <c r="F40" s="302">
        <f t="shared" si="12"/>
        <v>123440.85015586927</v>
      </c>
      <c r="G40" s="302">
        <f t="shared" si="12"/>
        <v>98703.601249433152</v>
      </c>
      <c r="H40" s="302">
        <f t="shared" si="12"/>
        <v>66101.633077922306</v>
      </c>
      <c r="I40" s="302">
        <f t="shared" si="12"/>
        <v>65093.005214200239</v>
      </c>
      <c r="J40" s="302">
        <f t="shared" si="12"/>
        <v>70303.971405072443</v>
      </c>
      <c r="K40" s="302">
        <f t="shared" si="12"/>
        <v>73452.103415346937</v>
      </c>
      <c r="L40" s="302">
        <f t="shared" si="12"/>
        <v>67033.231651118971</v>
      </c>
      <c r="M40" s="302">
        <f t="shared" si="12"/>
        <v>69903.683685725162</v>
      </c>
      <c r="N40" s="302">
        <f t="shared" si="12"/>
        <v>0</v>
      </c>
      <c r="O40" s="302">
        <f t="shared" si="12"/>
        <v>0</v>
      </c>
      <c r="P40" s="321">
        <f t="shared" si="7"/>
        <v>737266.22224077897</v>
      </c>
    </row>
    <row r="41" spans="2:19">
      <c r="B41" s="285"/>
      <c r="C41" s="320" t="s">
        <v>40</v>
      </c>
      <c r="D41" s="302">
        <f>+D42+D44+D56+D66+D51</f>
        <v>52460.687317058997</v>
      </c>
      <c r="E41" s="302">
        <f t="shared" ref="E41:P41" si="13">+E42+E44+E56+E66+E51</f>
        <v>50773.455069031414</v>
      </c>
      <c r="F41" s="302">
        <f t="shared" si="13"/>
        <v>123440.85015586927</v>
      </c>
      <c r="G41" s="302">
        <f t="shared" si="13"/>
        <v>98703.601249433152</v>
      </c>
      <c r="H41" s="302">
        <f t="shared" si="13"/>
        <v>66101.633077922292</v>
      </c>
      <c r="I41" s="302">
        <f t="shared" si="13"/>
        <v>65093.005214200239</v>
      </c>
      <c r="J41" s="302">
        <f t="shared" si="13"/>
        <v>70303.971405072443</v>
      </c>
      <c r="K41" s="302">
        <f t="shared" si="13"/>
        <v>73452.103415346937</v>
      </c>
      <c r="L41" s="302">
        <f t="shared" si="13"/>
        <v>67033.231651118986</v>
      </c>
      <c r="M41" s="302">
        <f t="shared" si="13"/>
        <v>69903.683685725176</v>
      </c>
      <c r="N41" s="302">
        <f t="shared" si="13"/>
        <v>0</v>
      </c>
      <c r="O41" s="302">
        <f t="shared" si="13"/>
        <v>0</v>
      </c>
      <c r="P41" s="321">
        <f t="shared" si="13"/>
        <v>737266.22224077885</v>
      </c>
    </row>
    <row r="42" spans="2:19">
      <c r="C42" s="313"/>
      <c r="D42" s="263">
        <f>+D43</f>
        <v>185.33438426232897</v>
      </c>
      <c r="E42" s="263">
        <f t="shared" ref="E42:O42" si="14">+E43</f>
        <v>-7.0588189523114124</v>
      </c>
      <c r="F42" s="263">
        <f t="shared" si="14"/>
        <v>73286.332395869264</v>
      </c>
      <c r="G42" s="263">
        <f t="shared" si="14"/>
        <v>50055.35317943315</v>
      </c>
      <c r="H42" s="263">
        <f t="shared" si="14"/>
        <v>17575.0688179223</v>
      </c>
      <c r="I42" s="263">
        <f t="shared" si="14"/>
        <v>20123.86719420024</v>
      </c>
      <c r="J42" s="263">
        <f t="shared" si="14"/>
        <v>22444.964295072437</v>
      </c>
      <c r="K42" s="263">
        <f t="shared" si="14"/>
        <v>24856.563675346937</v>
      </c>
      <c r="L42" s="263">
        <f t="shared" si="14"/>
        <v>19530.85783111897</v>
      </c>
      <c r="M42" s="263">
        <f t="shared" si="14"/>
        <v>20852.081135725166</v>
      </c>
      <c r="N42" s="263">
        <f t="shared" si="14"/>
        <v>0</v>
      </c>
      <c r="O42" s="263">
        <f t="shared" si="14"/>
        <v>0</v>
      </c>
      <c r="P42" s="314">
        <f t="shared" si="7"/>
        <v>248903.36408999847</v>
      </c>
    </row>
    <row r="43" spans="2:19">
      <c r="B43" s="278"/>
      <c r="C43" s="315" t="s">
        <v>41</v>
      </c>
      <c r="D43" s="268">
        <v>185.33438426232897</v>
      </c>
      <c r="E43" s="268">
        <v>-7.0588189523114124</v>
      </c>
      <c r="F43" s="268">
        <v>73286.332395869264</v>
      </c>
      <c r="G43" s="268">
        <v>50055.35317943315</v>
      </c>
      <c r="H43" s="268">
        <v>17575.0688179223</v>
      </c>
      <c r="I43" s="268">
        <v>20123.86719420024</v>
      </c>
      <c r="J43" s="268">
        <v>22444.964295072437</v>
      </c>
      <c r="K43" s="268">
        <v>24856.563675346937</v>
      </c>
      <c r="L43" s="268">
        <v>19530.85783111897</v>
      </c>
      <c r="M43" s="268">
        <v>20852.081135725166</v>
      </c>
      <c r="N43" s="268"/>
      <c r="O43" s="268"/>
      <c r="P43" s="306">
        <f t="shared" si="7"/>
        <v>248903.36408999847</v>
      </c>
      <c r="Q43" s="246"/>
      <c r="R43" s="351"/>
    </row>
    <row r="44" spans="2:19">
      <c r="C44" s="318" t="s">
        <v>42</v>
      </c>
      <c r="D44" s="282">
        <f t="shared" ref="D44:P44" si="15">SUM(D45:D50)</f>
        <v>30566.774419999998</v>
      </c>
      <c r="E44" s="282">
        <f t="shared" si="15"/>
        <v>30233.726720000002</v>
      </c>
      <c r="F44" s="282">
        <f t="shared" si="15"/>
        <v>30744.096740000001</v>
      </c>
      <c r="G44" s="282">
        <f t="shared" si="15"/>
        <v>29476.517670000001</v>
      </c>
      <c r="H44" s="282">
        <f t="shared" si="15"/>
        <v>28612.399050000004</v>
      </c>
      <c r="I44" s="282">
        <f t="shared" si="15"/>
        <v>27480.103089999997</v>
      </c>
      <c r="J44" s="282">
        <f t="shared" si="15"/>
        <v>28421.411250000005</v>
      </c>
      <c r="K44" s="282">
        <f t="shared" si="15"/>
        <v>28426.199589999997</v>
      </c>
      <c r="L44" s="282">
        <f t="shared" si="15"/>
        <v>27825.697950000005</v>
      </c>
      <c r="M44" s="282">
        <f>SUM(M45:M50)</f>
        <v>29000.124680000001</v>
      </c>
      <c r="N44" s="282">
        <f t="shared" si="15"/>
        <v>0</v>
      </c>
      <c r="O44" s="282">
        <f t="shared" si="15"/>
        <v>0</v>
      </c>
      <c r="P44" s="319">
        <f t="shared" si="15"/>
        <v>290787.05115999997</v>
      </c>
      <c r="R44" s="278"/>
    </row>
    <row r="45" spans="2:19">
      <c r="C45" s="315" t="s">
        <v>47</v>
      </c>
      <c r="D45" s="268">
        <v>7779.5539499999995</v>
      </c>
      <c r="E45" s="288">
        <v>7559.3714800000007</v>
      </c>
      <c r="F45" s="268">
        <v>7632.9111800000001</v>
      </c>
      <c r="G45" s="268">
        <v>7361.1082500000002</v>
      </c>
      <c r="H45" s="268">
        <v>7215.3232500000004</v>
      </c>
      <c r="I45" s="268">
        <v>6955.6122100000002</v>
      </c>
      <c r="J45" s="268">
        <v>7243.872620000001</v>
      </c>
      <c r="K45" s="268">
        <v>7172.1031700000021</v>
      </c>
      <c r="L45" s="268">
        <v>7008.4944400000004</v>
      </c>
      <c r="M45" s="268">
        <v>7354.6448</v>
      </c>
      <c r="N45" s="289"/>
      <c r="O45" s="268"/>
      <c r="P45" s="306">
        <f t="shared" si="7"/>
        <v>73282.995349999997</v>
      </c>
      <c r="Q45" s="277"/>
      <c r="R45" s="277"/>
      <c r="S45" s="278">
        <v>1000</v>
      </c>
    </row>
    <row r="46" spans="2:19">
      <c r="C46" s="315" t="s">
        <v>48</v>
      </c>
      <c r="D46" s="268">
        <v>20652.573069999999</v>
      </c>
      <c r="E46" s="288">
        <v>20649.883539999999</v>
      </c>
      <c r="F46" s="268">
        <v>20951.30414</v>
      </c>
      <c r="G46" s="268">
        <v>19988.498540000001</v>
      </c>
      <c r="H46" s="268">
        <v>19262.252740000004</v>
      </c>
      <c r="I46" s="268">
        <v>18386.815579999999</v>
      </c>
      <c r="J46" s="268">
        <v>19010.374150000003</v>
      </c>
      <c r="K46" s="268">
        <v>19052.679539999997</v>
      </c>
      <c r="L46" s="268">
        <v>18622.934430000001</v>
      </c>
      <c r="M46" s="268">
        <v>19369.55416</v>
      </c>
      <c r="N46" s="289"/>
      <c r="O46" s="268"/>
      <c r="P46" s="306">
        <f t="shared" si="7"/>
        <v>195946.86988999994</v>
      </c>
      <c r="Q46" s="277"/>
      <c r="R46" s="277"/>
      <c r="S46" s="278"/>
    </row>
    <row r="47" spans="2:19">
      <c r="C47" s="315" t="s">
        <v>50</v>
      </c>
      <c r="D47" s="268">
        <v>584.16279999999995</v>
      </c>
      <c r="E47" s="288">
        <v>563.54408000000001</v>
      </c>
      <c r="F47" s="268">
        <v>579.33838000000003</v>
      </c>
      <c r="G47" s="268">
        <v>545.02316000000008</v>
      </c>
      <c r="H47" s="268">
        <v>533.81511999999998</v>
      </c>
      <c r="I47" s="268">
        <v>514.44906000000003</v>
      </c>
      <c r="J47" s="268">
        <v>526.14530000000002</v>
      </c>
      <c r="K47" s="268">
        <v>533.85309999999993</v>
      </c>
      <c r="L47" s="268">
        <v>522.09730000000002</v>
      </c>
      <c r="M47" s="268">
        <v>554.90340000000003</v>
      </c>
      <c r="N47" s="289"/>
      <c r="O47" s="268"/>
      <c r="P47" s="306">
        <f t="shared" si="7"/>
        <v>5457.3317000000006</v>
      </c>
      <c r="Q47" s="277"/>
      <c r="R47" s="277"/>
      <c r="S47" s="278"/>
    </row>
    <row r="48" spans="2:19">
      <c r="C48" s="315" t="s">
        <v>51</v>
      </c>
      <c r="D48" s="268">
        <v>505.5771400000001</v>
      </c>
      <c r="E48" s="288">
        <v>476.30848000000003</v>
      </c>
      <c r="F48" s="268">
        <v>527.99205999999992</v>
      </c>
      <c r="G48" s="268">
        <v>555.67529999999999</v>
      </c>
      <c r="H48" s="268">
        <v>552.16336000000001</v>
      </c>
      <c r="I48" s="268">
        <v>589.95594000000006</v>
      </c>
      <c r="J48" s="268">
        <v>562.86342000000002</v>
      </c>
      <c r="K48" s="268">
        <v>612.48464000000013</v>
      </c>
      <c r="L48" s="268">
        <v>611.52742000000001</v>
      </c>
      <c r="M48" s="268">
        <v>624.78664000000003</v>
      </c>
      <c r="N48" s="289"/>
      <c r="O48" s="268"/>
      <c r="P48" s="306">
        <f t="shared" si="7"/>
        <v>5619.3344000000006</v>
      </c>
      <c r="Q48" s="277"/>
      <c r="R48" s="277"/>
      <c r="S48" s="278"/>
    </row>
    <row r="49" spans="3:19">
      <c r="C49" s="315" t="s">
        <v>52</v>
      </c>
      <c r="D49" s="268">
        <v>402.01158000000004</v>
      </c>
      <c r="E49" s="288">
        <v>374.06088</v>
      </c>
      <c r="F49" s="268">
        <v>406.72620000000006</v>
      </c>
      <c r="G49" s="268">
        <v>394.62706000000003</v>
      </c>
      <c r="H49" s="268">
        <v>400.08252000000005</v>
      </c>
      <c r="I49" s="268">
        <v>399.47104000000002</v>
      </c>
      <c r="J49" s="268">
        <v>439.03462000000002</v>
      </c>
      <c r="K49" s="268">
        <v>398.35216000000003</v>
      </c>
      <c r="L49" s="268">
        <v>404.51766000000003</v>
      </c>
      <c r="M49" s="268">
        <v>417.85292000000004</v>
      </c>
      <c r="N49" s="289"/>
      <c r="O49" s="268"/>
      <c r="P49" s="306">
        <f t="shared" si="7"/>
        <v>4036.7366400000001</v>
      </c>
      <c r="Q49" s="277"/>
      <c r="R49" s="277"/>
      <c r="S49" s="278"/>
    </row>
    <row r="50" spans="3:19">
      <c r="C50" s="315" t="s">
        <v>90</v>
      </c>
      <c r="D50" s="268">
        <v>642.89588000000003</v>
      </c>
      <c r="E50" s="288">
        <v>610.55826000000002</v>
      </c>
      <c r="F50" s="268">
        <v>645.82478000000003</v>
      </c>
      <c r="G50" s="268">
        <v>631.58536000000004</v>
      </c>
      <c r="H50" s="268">
        <v>648.76206000000002</v>
      </c>
      <c r="I50" s="268">
        <v>633.79925999999989</v>
      </c>
      <c r="J50" s="268">
        <v>639.12113999999985</v>
      </c>
      <c r="K50" s="268">
        <v>656.72698000000014</v>
      </c>
      <c r="L50" s="268">
        <v>656.12669999999991</v>
      </c>
      <c r="M50" s="303">
        <v>678.38275999999996</v>
      </c>
      <c r="N50" s="289"/>
      <c r="O50" s="268"/>
      <c r="P50" s="306">
        <f t="shared" si="7"/>
        <v>6443.7831800000004</v>
      </c>
      <c r="Q50" s="277"/>
      <c r="R50" s="277"/>
      <c r="S50" s="278"/>
    </row>
    <row r="51" spans="3:19">
      <c r="C51" s="344" t="s">
        <v>128</v>
      </c>
      <c r="D51" s="345">
        <f>+SUM(D52:D55)</f>
        <v>12398.690009999998</v>
      </c>
      <c r="E51" s="345">
        <f t="shared" ref="E51:P51" si="16">+SUM(E52:E55)</f>
        <v>11609.000769999999</v>
      </c>
      <c r="F51" s="345">
        <f t="shared" si="16"/>
        <v>11309.50621</v>
      </c>
      <c r="G51" s="345">
        <f t="shared" si="16"/>
        <v>10734.72913</v>
      </c>
      <c r="H51" s="345">
        <f t="shared" si="16"/>
        <v>11145.996720000001</v>
      </c>
      <c r="I51" s="345">
        <f t="shared" si="16"/>
        <v>9077.4112999999998</v>
      </c>
      <c r="J51" s="345">
        <f t="shared" si="16"/>
        <v>8645.7489100000003</v>
      </c>
      <c r="K51" s="345">
        <f t="shared" si="16"/>
        <v>9450.2040500000003</v>
      </c>
      <c r="L51" s="345">
        <f t="shared" si="16"/>
        <v>9394.9581099999996</v>
      </c>
      <c r="M51" s="345">
        <f>+SUM(M52:M55)</f>
        <v>9501.6518599999999</v>
      </c>
      <c r="N51" s="345">
        <f t="shared" si="16"/>
        <v>0</v>
      </c>
      <c r="O51" s="345">
        <f t="shared" si="16"/>
        <v>0</v>
      </c>
      <c r="P51" s="352">
        <f t="shared" si="16"/>
        <v>103267.89707000001</v>
      </c>
      <c r="Q51" s="277"/>
      <c r="R51" s="277"/>
      <c r="S51" s="278"/>
    </row>
    <row r="52" spans="3:19">
      <c r="C52" s="347" t="s">
        <v>129</v>
      </c>
      <c r="D52" s="348">
        <v>0</v>
      </c>
      <c r="E52" s="346"/>
      <c r="F52" s="268"/>
      <c r="G52" s="268"/>
      <c r="H52" s="268"/>
      <c r="I52" s="268"/>
      <c r="J52" s="304"/>
      <c r="K52" s="268"/>
      <c r="L52" s="268"/>
      <c r="M52" s="268"/>
      <c r="N52" s="289"/>
      <c r="O52" s="268"/>
      <c r="P52" s="306">
        <f t="shared" si="7"/>
        <v>0</v>
      </c>
      <c r="Q52" s="277"/>
      <c r="R52" s="277"/>
      <c r="S52" s="278"/>
    </row>
    <row r="53" spans="3:19">
      <c r="C53" s="347" t="s">
        <v>130</v>
      </c>
      <c r="D53" s="348">
        <v>1388.2054699999999</v>
      </c>
      <c r="E53" s="359">
        <v>1384.77602</v>
      </c>
      <c r="F53" s="268">
        <v>1339.4636</v>
      </c>
      <c r="G53" s="268">
        <v>1349.0189700000001</v>
      </c>
      <c r="H53" s="268">
        <v>1646.0154100000002</v>
      </c>
      <c r="I53" s="268">
        <v>1519.5745200000001</v>
      </c>
      <c r="J53" s="304">
        <v>1461.9911299999999</v>
      </c>
      <c r="K53" s="268">
        <v>1603.8830499999999</v>
      </c>
      <c r="L53" s="268">
        <v>1470.5257799999999</v>
      </c>
      <c r="M53" s="268">
        <v>1504.1333999999999</v>
      </c>
      <c r="N53" s="289"/>
      <c r="O53" s="268"/>
      <c r="P53" s="306">
        <f t="shared" si="7"/>
        <v>14667.587350000002</v>
      </c>
      <c r="Q53" s="277"/>
      <c r="R53" s="277"/>
      <c r="S53" s="278"/>
    </row>
    <row r="54" spans="3:19">
      <c r="C54" s="347" t="s">
        <v>131</v>
      </c>
      <c r="D54" s="348">
        <v>4528.4359899999999</v>
      </c>
      <c r="E54" s="359">
        <v>4180.4856</v>
      </c>
      <c r="F54" s="268">
        <v>3279.59402</v>
      </c>
      <c r="G54" s="268">
        <v>2466.0054499999997</v>
      </c>
      <c r="H54" s="268">
        <v>2231.0310800000002</v>
      </c>
      <c r="I54" s="268">
        <v>0</v>
      </c>
      <c r="J54" s="304">
        <v>0</v>
      </c>
      <c r="K54" s="268">
        <v>0</v>
      </c>
      <c r="L54" s="268">
        <v>0</v>
      </c>
      <c r="M54" s="268">
        <v>0</v>
      </c>
      <c r="N54" s="289"/>
      <c r="O54" s="268"/>
      <c r="P54" s="306">
        <f t="shared" si="7"/>
        <v>16685.55214</v>
      </c>
      <c r="Q54" s="277"/>
      <c r="R54" s="277"/>
      <c r="S54" s="278"/>
    </row>
    <row r="55" spans="3:19">
      <c r="C55" s="347" t="s">
        <v>132</v>
      </c>
      <c r="D55" s="348">
        <v>6482.0485499999995</v>
      </c>
      <c r="E55" s="359">
        <v>6043.7391499999994</v>
      </c>
      <c r="F55" s="268">
        <v>6690.44859</v>
      </c>
      <c r="G55" s="268">
        <v>6919.7047100000009</v>
      </c>
      <c r="H55" s="268">
        <v>7268.9502300000004</v>
      </c>
      <c r="I55" s="268">
        <v>7557.8367799999996</v>
      </c>
      <c r="J55" s="304">
        <v>7183.7577800000008</v>
      </c>
      <c r="K55" s="268">
        <v>7846.3210000000008</v>
      </c>
      <c r="L55" s="268">
        <v>7924.4323299999996</v>
      </c>
      <c r="M55" s="268">
        <v>7997.5184600000002</v>
      </c>
      <c r="N55" s="289"/>
      <c r="O55" s="268"/>
      <c r="P55" s="306">
        <f t="shared" si="7"/>
        <v>71914.757580000005</v>
      </c>
      <c r="Q55" s="277"/>
      <c r="R55" s="277"/>
      <c r="S55" s="278"/>
    </row>
    <row r="56" spans="3:19">
      <c r="C56" s="318" t="s">
        <v>43</v>
      </c>
      <c r="D56" s="282">
        <f>+SUM(D57:D65)</f>
        <v>3697.9685027966766</v>
      </c>
      <c r="E56" s="282">
        <f t="shared" ref="E56:P56" si="17">+SUM(E57:E65)</f>
        <v>4008.9163979837217</v>
      </c>
      <c r="F56" s="282">
        <f t="shared" si="17"/>
        <v>3327.2548100000004</v>
      </c>
      <c r="G56" s="282">
        <f t="shared" si="17"/>
        <v>3810.4712700000005</v>
      </c>
      <c r="H56" s="282">
        <f t="shared" si="17"/>
        <v>3388.6484900000005</v>
      </c>
      <c r="I56" s="282">
        <f t="shared" si="17"/>
        <v>3157.2336299999997</v>
      </c>
      <c r="J56" s="282">
        <f t="shared" si="17"/>
        <v>3137.7869499999997</v>
      </c>
      <c r="K56" s="282">
        <f t="shared" si="17"/>
        <v>3145.6360999999997</v>
      </c>
      <c r="L56" s="282">
        <f t="shared" si="17"/>
        <v>3104.6777599999996</v>
      </c>
      <c r="M56" s="282">
        <f>+SUM(M57:M65)</f>
        <v>3147.31601</v>
      </c>
      <c r="N56" s="282">
        <f t="shared" si="17"/>
        <v>0</v>
      </c>
      <c r="O56" s="282">
        <f t="shared" si="17"/>
        <v>0</v>
      </c>
      <c r="P56" s="319">
        <f t="shared" si="17"/>
        <v>33925.909920780396</v>
      </c>
      <c r="Q56" s="277"/>
    </row>
    <row r="57" spans="3:19">
      <c r="C57" s="307" t="s">
        <v>116</v>
      </c>
      <c r="D57" s="268">
        <v>787.18965000000003</v>
      </c>
      <c r="E57" s="268">
        <v>836.19124999999997</v>
      </c>
      <c r="F57" s="268">
        <v>915.68350999999996</v>
      </c>
      <c r="G57" s="268">
        <v>785.28082000000006</v>
      </c>
      <c r="H57" s="268">
        <v>831.62536999999998</v>
      </c>
      <c r="I57" s="268">
        <v>828.33642999999995</v>
      </c>
      <c r="J57" s="268">
        <v>867.36810000000003</v>
      </c>
      <c r="K57" s="268">
        <v>898.37594999999999</v>
      </c>
      <c r="L57" s="268">
        <v>889.72117999999989</v>
      </c>
      <c r="M57" s="268">
        <v>858.78426999999999</v>
      </c>
      <c r="N57" s="268"/>
      <c r="O57" s="268"/>
      <c r="P57" s="306">
        <f t="shared" si="7"/>
        <v>8498.556529999998</v>
      </c>
      <c r="Q57" s="327"/>
    </row>
    <row r="58" spans="3:19">
      <c r="C58" s="307" t="s">
        <v>117</v>
      </c>
      <c r="D58" s="268">
        <v>1355.8300300000001</v>
      </c>
      <c r="E58" s="268">
        <v>1353.2685699999997</v>
      </c>
      <c r="F58" s="268">
        <v>1450.4446500000001</v>
      </c>
      <c r="G58" s="268">
        <v>1536.4170200000001</v>
      </c>
      <c r="H58" s="268">
        <v>1556.28178</v>
      </c>
      <c r="I58" s="268">
        <v>1374.2666800000002</v>
      </c>
      <c r="J58" s="268">
        <v>1283.0519899999999</v>
      </c>
      <c r="K58" s="268">
        <v>1214.12844</v>
      </c>
      <c r="L58" s="268">
        <v>1227.3985599999999</v>
      </c>
      <c r="M58" s="268">
        <v>1324.7961400000002</v>
      </c>
      <c r="N58" s="268"/>
      <c r="O58" s="268"/>
      <c r="P58" s="306">
        <f t="shared" si="7"/>
        <v>13675.88386</v>
      </c>
      <c r="Q58" s="327"/>
    </row>
    <row r="59" spans="3:19">
      <c r="C59" s="307" t="s">
        <v>118</v>
      </c>
      <c r="D59" s="268">
        <v>261.01960000000003</v>
      </c>
      <c r="E59" s="268">
        <v>268.50232</v>
      </c>
      <c r="F59" s="268">
        <v>264.48521</v>
      </c>
      <c r="G59" s="268">
        <v>310.51703000000003</v>
      </c>
      <c r="H59" s="268">
        <v>334.14855999999997</v>
      </c>
      <c r="I59" s="268">
        <v>333.78251999999998</v>
      </c>
      <c r="J59" s="268">
        <v>320.41665999999998</v>
      </c>
      <c r="K59" s="268">
        <v>288.12952000000001</v>
      </c>
      <c r="L59" s="268">
        <v>273.79689000000002</v>
      </c>
      <c r="M59" s="268">
        <v>290.73987</v>
      </c>
      <c r="N59" s="268"/>
      <c r="O59" s="268"/>
      <c r="P59" s="306">
        <f t="shared" si="7"/>
        <v>2945.53818</v>
      </c>
      <c r="Q59" s="277"/>
    </row>
    <row r="60" spans="3:19">
      <c r="C60" s="307" t="s">
        <v>119</v>
      </c>
      <c r="D60" s="268">
        <v>204.30745999999999</v>
      </c>
      <c r="E60" s="268">
        <v>187.10008000000002</v>
      </c>
      <c r="F60" s="268">
        <v>178.65026999999998</v>
      </c>
      <c r="G60" s="268">
        <v>210.47212999999999</v>
      </c>
      <c r="H60" s="268">
        <v>206.93913000000001</v>
      </c>
      <c r="I60" s="268">
        <v>177.26256000000001</v>
      </c>
      <c r="J60" s="268">
        <v>189.20376000000002</v>
      </c>
      <c r="K60" s="268">
        <v>193.27842999999999</v>
      </c>
      <c r="L60" s="268">
        <v>195.29048999999998</v>
      </c>
      <c r="M60" s="268">
        <v>208.21604000000002</v>
      </c>
      <c r="N60" s="268"/>
      <c r="O60" s="268"/>
      <c r="P60" s="306">
        <f t="shared" si="7"/>
        <v>1950.7203500000003</v>
      </c>
      <c r="Q60" s="277"/>
    </row>
    <row r="61" spans="3:19">
      <c r="C61" s="307" t="s">
        <v>120</v>
      </c>
      <c r="D61" s="268">
        <v>394.31763999999998</v>
      </c>
      <c r="E61" s="268">
        <v>310.81604999999996</v>
      </c>
      <c r="F61" s="268">
        <v>303.86313000000001</v>
      </c>
      <c r="G61" s="268">
        <v>266.96583000000004</v>
      </c>
      <c r="H61" s="268">
        <v>253.49319999999997</v>
      </c>
      <c r="I61" s="268">
        <v>254.73251999999999</v>
      </c>
      <c r="J61" s="268">
        <v>294.1986</v>
      </c>
      <c r="K61" s="268">
        <v>369.21507000000003</v>
      </c>
      <c r="L61" s="268">
        <v>324.96040999999997</v>
      </c>
      <c r="M61" s="268">
        <v>256.68705</v>
      </c>
      <c r="N61" s="268"/>
      <c r="O61" s="268"/>
      <c r="P61" s="306">
        <f t="shared" si="7"/>
        <v>3029.2495000000004</v>
      </c>
      <c r="Q61" s="277"/>
    </row>
    <row r="62" spans="3:19">
      <c r="C62" s="307" t="s">
        <v>121</v>
      </c>
      <c r="D62" s="268">
        <v>148.56241999999997</v>
      </c>
      <c r="E62" s="268">
        <v>143.94636</v>
      </c>
      <c r="F62" s="268">
        <v>148.14072999999999</v>
      </c>
      <c r="G62" s="268">
        <v>139.38723000000002</v>
      </c>
      <c r="H62" s="268">
        <v>131.86365000000001</v>
      </c>
      <c r="I62" s="268">
        <v>124.01380999999999</v>
      </c>
      <c r="J62" s="268">
        <v>125.14871000000001</v>
      </c>
      <c r="K62" s="268">
        <v>124.93315</v>
      </c>
      <c r="L62" s="268">
        <v>123.41870999999999</v>
      </c>
      <c r="M62" s="268">
        <v>133.13103000000001</v>
      </c>
      <c r="N62" s="268"/>
      <c r="O62" s="268"/>
      <c r="P62" s="306">
        <f t="shared" si="7"/>
        <v>1342.5458000000001</v>
      </c>
      <c r="Q62" s="277"/>
    </row>
    <row r="63" spans="3:19">
      <c r="C63" s="307" t="s">
        <v>122</v>
      </c>
      <c r="D63" s="268">
        <v>60.877420000000001</v>
      </c>
      <c r="E63" s="268">
        <v>49.691580000000002</v>
      </c>
      <c r="F63" s="268">
        <v>65.987309999999994</v>
      </c>
      <c r="G63" s="268">
        <v>76.431209999999993</v>
      </c>
      <c r="H63" s="268">
        <v>74.296800000000005</v>
      </c>
      <c r="I63" s="268">
        <v>64.839110000000005</v>
      </c>
      <c r="J63" s="268">
        <v>58.399130000000007</v>
      </c>
      <c r="K63" s="268">
        <v>57.575540000000004</v>
      </c>
      <c r="L63" s="268">
        <v>70.091520000000003</v>
      </c>
      <c r="M63" s="268">
        <v>74.961610000000007</v>
      </c>
      <c r="N63" s="268"/>
      <c r="O63" s="268"/>
      <c r="P63" s="306">
        <f t="shared" si="7"/>
        <v>653.15122999999994</v>
      </c>
      <c r="Q63" s="277"/>
    </row>
    <row r="64" spans="3:19">
      <c r="C64" s="307" t="s">
        <v>123</v>
      </c>
      <c r="D64" s="268">
        <v>0</v>
      </c>
      <c r="E64" s="268">
        <v>0</v>
      </c>
      <c r="F64" s="268">
        <v>0</v>
      </c>
      <c r="G64" s="268">
        <v>0</v>
      </c>
      <c r="H64" s="268">
        <v>0</v>
      </c>
      <c r="I64" s="268">
        <v>0</v>
      </c>
      <c r="J64" s="268">
        <v>0</v>
      </c>
      <c r="K64" s="268">
        <v>0</v>
      </c>
      <c r="L64" s="268">
        <v>0</v>
      </c>
      <c r="M64" s="268">
        <v>0</v>
      </c>
      <c r="N64" s="268"/>
      <c r="O64" s="268"/>
      <c r="P64" s="306">
        <f>SUM(D64:O64)</f>
        <v>0</v>
      </c>
      <c r="Q64" s="277"/>
    </row>
    <row r="65" spans="1:248">
      <c r="C65" s="307" t="s">
        <v>135</v>
      </c>
      <c r="D65" s="268">
        <v>485.86428279667638</v>
      </c>
      <c r="E65" s="268">
        <v>859.40018798372193</v>
      </c>
      <c r="F65" s="268">
        <v>0</v>
      </c>
      <c r="G65" s="268">
        <v>485.00000000000006</v>
      </c>
      <c r="H65" s="268">
        <v>0</v>
      </c>
      <c r="I65" s="268">
        <v>0</v>
      </c>
      <c r="J65" s="268">
        <v>0</v>
      </c>
      <c r="K65" s="268">
        <v>0</v>
      </c>
      <c r="L65" s="268">
        <v>0</v>
      </c>
      <c r="M65" s="268">
        <v>0</v>
      </c>
      <c r="N65" s="268"/>
      <c r="O65" s="268"/>
      <c r="P65" s="306">
        <f>SUM(D65:O65)</f>
        <v>1830.2644707803984</v>
      </c>
      <c r="Q65" s="277"/>
    </row>
    <row r="66" spans="1:248">
      <c r="C66" s="344" t="s">
        <v>126</v>
      </c>
      <c r="D66" s="345">
        <f>+SUM(D67:D68)</f>
        <v>5611.920000000001</v>
      </c>
      <c r="E66" s="345">
        <f t="shared" ref="E66:P66" si="18">+SUM(E67:E68)</f>
        <v>4928.87</v>
      </c>
      <c r="F66" s="345">
        <f t="shared" si="18"/>
        <v>4773.6600000000008</v>
      </c>
      <c r="G66" s="345">
        <f t="shared" si="18"/>
        <v>4626.53</v>
      </c>
      <c r="H66" s="345">
        <f t="shared" si="18"/>
        <v>5379.52</v>
      </c>
      <c r="I66" s="345">
        <f t="shared" si="18"/>
        <v>5254.3900000000012</v>
      </c>
      <c r="J66" s="345">
        <f t="shared" si="18"/>
        <v>7654.0599999999995</v>
      </c>
      <c r="K66" s="345">
        <f t="shared" si="18"/>
        <v>7573.5000000000009</v>
      </c>
      <c r="L66" s="345">
        <f t="shared" si="18"/>
        <v>7177.04</v>
      </c>
      <c r="M66" s="345">
        <f t="shared" si="18"/>
        <v>7402.51</v>
      </c>
      <c r="N66" s="345">
        <f t="shared" si="18"/>
        <v>0</v>
      </c>
      <c r="O66" s="345">
        <f t="shared" si="18"/>
        <v>0</v>
      </c>
      <c r="P66" s="352">
        <f t="shared" si="18"/>
        <v>60382</v>
      </c>
      <c r="Q66" s="277"/>
    </row>
    <row r="67" spans="1:248">
      <c r="C67" s="347" t="s">
        <v>127</v>
      </c>
      <c r="D67" s="348">
        <v>5611.920000000001</v>
      </c>
      <c r="E67" s="304">
        <v>4928.87</v>
      </c>
      <c r="F67" s="268">
        <v>4773.6600000000008</v>
      </c>
      <c r="G67" s="268">
        <v>4626.53</v>
      </c>
      <c r="H67" s="268">
        <v>5379.52</v>
      </c>
      <c r="I67" s="268">
        <v>5254.3900000000012</v>
      </c>
      <c r="J67" s="268">
        <v>5422.0599999999995</v>
      </c>
      <c r="K67" s="268">
        <v>5341.5000000000009</v>
      </c>
      <c r="L67" s="268">
        <v>5017.04</v>
      </c>
      <c r="M67" s="268">
        <v>5170.51</v>
      </c>
      <c r="N67" s="268"/>
      <c r="O67" s="268"/>
      <c r="P67" s="306">
        <f>SUM(D67:O67)</f>
        <v>51526</v>
      </c>
      <c r="Q67" s="277"/>
    </row>
    <row r="68" spans="1:248" ht="12" thickBot="1">
      <c r="C68" s="366" t="s">
        <v>138</v>
      </c>
      <c r="D68" s="367">
        <v>0</v>
      </c>
      <c r="E68" s="369">
        <v>0</v>
      </c>
      <c r="F68" s="292">
        <v>0</v>
      </c>
      <c r="G68" s="292">
        <v>0</v>
      </c>
      <c r="H68" s="292">
        <v>0</v>
      </c>
      <c r="I68" s="292">
        <v>0</v>
      </c>
      <c r="J68" s="292">
        <v>2232</v>
      </c>
      <c r="K68" s="292">
        <v>2232</v>
      </c>
      <c r="L68" s="292">
        <v>2160</v>
      </c>
      <c r="M68" s="292">
        <v>2232</v>
      </c>
      <c r="N68" s="292"/>
      <c r="O68" s="292"/>
      <c r="P68" s="309">
        <f>SUM(D68:O68)</f>
        <v>8856</v>
      </c>
      <c r="Q68" s="277"/>
    </row>
    <row r="69" spans="1:248" ht="12" thickTop="1">
      <c r="D69" s="293">
        <f t="shared" ref="D69:O69" si="19">+D35/D28</f>
        <v>5.4372249184424229E-3</v>
      </c>
      <c r="E69" s="293">
        <f t="shared" si="19"/>
        <v>5.5054102567583304E-3</v>
      </c>
      <c r="F69" s="293">
        <f t="shared" si="19"/>
        <v>2.673329638569805E-3</v>
      </c>
      <c r="G69" s="293">
        <f t="shared" si="19"/>
        <v>3.1422760967359602E-3</v>
      </c>
      <c r="H69" s="293">
        <f t="shared" si="19"/>
        <v>4.4878910399142906E-3</v>
      </c>
      <c r="I69" s="293">
        <f t="shared" si="19"/>
        <v>4.4714720523620199E-3</v>
      </c>
      <c r="J69" s="293">
        <f t="shared" si="19"/>
        <v>4.3025576631275462E-3</v>
      </c>
      <c r="K69" s="293">
        <f t="shared" si="19"/>
        <v>3.9641537200793093E-3</v>
      </c>
      <c r="L69" s="293">
        <f t="shared" si="19"/>
        <v>4.1684324128318006E-3</v>
      </c>
      <c r="M69" s="293">
        <f t="shared" si="19"/>
        <v>4.1277450437817468E-3</v>
      </c>
      <c r="N69" s="293" t="e">
        <f t="shared" si="19"/>
        <v>#DIV/0!</v>
      </c>
      <c r="O69" s="293" t="e">
        <f t="shared" si="19"/>
        <v>#DIV/0!</v>
      </c>
    </row>
    <row r="70" spans="1:248">
      <c r="D70" s="294"/>
      <c r="E70" s="295"/>
      <c r="F70" s="294"/>
      <c r="G70" s="294"/>
      <c r="H70" s="294"/>
      <c r="L70" s="246"/>
      <c r="M70" s="246"/>
    </row>
    <row r="71" spans="1:248">
      <c r="C71" s="221" t="s">
        <v>92</v>
      </c>
      <c r="D71" s="294"/>
      <c r="E71" s="295"/>
      <c r="F71" s="294"/>
      <c r="G71" s="294"/>
      <c r="H71" s="294"/>
      <c r="L71" s="246"/>
      <c r="M71" s="246"/>
    </row>
    <row r="72" spans="1:248" s="231" customFormat="1">
      <c r="A72" s="221"/>
      <c r="B72" s="221"/>
      <c r="C72" s="221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</row>
    <row r="73" spans="1:248"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  <c r="AK73" s="231"/>
      <c r="AL73" s="231"/>
      <c r="AM73" s="231"/>
      <c r="AN73" s="231"/>
      <c r="AO73" s="231"/>
      <c r="AP73" s="231"/>
      <c r="AQ73" s="231"/>
      <c r="AR73" s="231"/>
      <c r="AS73" s="231"/>
      <c r="AT73" s="231"/>
      <c r="AU73" s="231"/>
      <c r="AV73" s="231"/>
      <c r="AW73" s="231"/>
      <c r="AX73" s="231"/>
      <c r="AY73" s="231"/>
      <c r="AZ73" s="231"/>
      <c r="BA73" s="231"/>
      <c r="BB73" s="231"/>
      <c r="BC73" s="231"/>
      <c r="BD73" s="231"/>
      <c r="BE73" s="231"/>
      <c r="BF73" s="231"/>
      <c r="BG73" s="231"/>
      <c r="BH73" s="231"/>
      <c r="BI73" s="231"/>
      <c r="BJ73" s="231"/>
      <c r="BK73" s="231"/>
      <c r="BL73" s="231"/>
      <c r="BM73" s="231"/>
      <c r="BN73" s="231"/>
      <c r="BO73" s="231"/>
      <c r="BP73" s="231"/>
      <c r="BQ73" s="231"/>
      <c r="BR73" s="231"/>
      <c r="BS73" s="231"/>
      <c r="BT73" s="231"/>
      <c r="BU73" s="231"/>
      <c r="BV73" s="231"/>
      <c r="BW73" s="231"/>
      <c r="BX73" s="231"/>
      <c r="BY73" s="231"/>
      <c r="BZ73" s="231"/>
      <c r="CA73" s="231"/>
      <c r="CB73" s="231"/>
      <c r="CC73" s="231"/>
      <c r="CD73" s="231"/>
      <c r="CE73" s="231"/>
      <c r="CF73" s="231"/>
      <c r="CG73" s="231"/>
      <c r="CH73" s="231"/>
      <c r="CI73" s="231"/>
      <c r="CJ73" s="231"/>
      <c r="CK73" s="231"/>
      <c r="CL73" s="231"/>
      <c r="CM73" s="231"/>
      <c r="CN73" s="231"/>
      <c r="CO73" s="231"/>
      <c r="CP73" s="231"/>
      <c r="CQ73" s="231"/>
      <c r="CR73" s="231"/>
      <c r="CS73" s="231"/>
      <c r="CT73" s="231"/>
      <c r="CU73" s="231"/>
      <c r="CV73" s="231"/>
      <c r="CW73" s="231"/>
      <c r="CX73" s="231"/>
      <c r="CY73" s="231"/>
      <c r="CZ73" s="231"/>
      <c r="DA73" s="231"/>
      <c r="DB73" s="231"/>
      <c r="DC73" s="231"/>
      <c r="DD73" s="231"/>
      <c r="DE73" s="231"/>
      <c r="DF73" s="231"/>
      <c r="DG73" s="231"/>
      <c r="DH73" s="231"/>
      <c r="DI73" s="231"/>
      <c r="DJ73" s="231"/>
      <c r="DK73" s="231"/>
      <c r="DL73" s="231"/>
      <c r="DM73" s="231"/>
      <c r="DN73" s="231"/>
      <c r="DO73" s="231"/>
      <c r="DP73" s="231"/>
      <c r="DQ73" s="231"/>
      <c r="DR73" s="231"/>
      <c r="DS73" s="231"/>
      <c r="DT73" s="231"/>
      <c r="DU73" s="231"/>
      <c r="DV73" s="231"/>
      <c r="DW73" s="231"/>
      <c r="DX73" s="231"/>
      <c r="DY73" s="231"/>
      <c r="DZ73" s="231"/>
      <c r="EA73" s="231"/>
      <c r="EB73" s="231"/>
      <c r="EC73" s="231"/>
      <c r="ED73" s="231"/>
      <c r="EE73" s="231"/>
      <c r="EF73" s="231"/>
      <c r="EG73" s="231"/>
      <c r="EH73" s="231"/>
      <c r="EI73" s="231"/>
      <c r="EJ73" s="231"/>
      <c r="EK73" s="231"/>
      <c r="EL73" s="231"/>
      <c r="EM73" s="231"/>
      <c r="EN73" s="231"/>
      <c r="EO73" s="231"/>
      <c r="EP73" s="231"/>
      <c r="EQ73" s="231"/>
      <c r="ER73" s="231"/>
      <c r="ES73" s="231"/>
      <c r="ET73" s="231"/>
      <c r="EU73" s="231"/>
      <c r="EV73" s="231"/>
      <c r="EW73" s="231"/>
      <c r="EX73" s="231"/>
      <c r="EY73" s="231"/>
      <c r="EZ73" s="231"/>
      <c r="FA73" s="231"/>
      <c r="FB73" s="231"/>
      <c r="FC73" s="231"/>
      <c r="FD73" s="231"/>
      <c r="FE73" s="231"/>
      <c r="FF73" s="231"/>
      <c r="FG73" s="231"/>
      <c r="FH73" s="231"/>
      <c r="FI73" s="231"/>
      <c r="FJ73" s="231"/>
      <c r="FK73" s="231"/>
      <c r="FL73" s="231"/>
      <c r="FM73" s="231"/>
      <c r="FN73" s="231"/>
      <c r="FO73" s="231"/>
      <c r="FP73" s="231"/>
      <c r="FQ73" s="231"/>
      <c r="FR73" s="231"/>
      <c r="FS73" s="231"/>
      <c r="FT73" s="231"/>
      <c r="FU73" s="231"/>
      <c r="FV73" s="231"/>
      <c r="FW73" s="231"/>
      <c r="FX73" s="231"/>
      <c r="FY73" s="231"/>
      <c r="FZ73" s="231"/>
      <c r="GA73" s="231"/>
      <c r="GB73" s="231"/>
      <c r="GC73" s="231"/>
      <c r="GD73" s="231"/>
      <c r="GE73" s="231"/>
      <c r="GF73" s="231"/>
      <c r="GG73" s="231"/>
      <c r="GH73" s="231"/>
      <c r="GI73" s="231"/>
      <c r="GJ73" s="231"/>
      <c r="GK73" s="231"/>
      <c r="GL73" s="231"/>
      <c r="GM73" s="231"/>
      <c r="GN73" s="231"/>
      <c r="GO73" s="231"/>
      <c r="GP73" s="231"/>
      <c r="GQ73" s="231"/>
      <c r="GR73" s="231"/>
      <c r="GS73" s="231"/>
      <c r="GT73" s="231"/>
      <c r="GU73" s="231"/>
      <c r="GV73" s="231"/>
      <c r="GW73" s="231"/>
      <c r="GX73" s="231"/>
      <c r="GY73" s="231"/>
      <c r="GZ73" s="231"/>
      <c r="HA73" s="231"/>
      <c r="HB73" s="231"/>
      <c r="HC73" s="231"/>
      <c r="HD73" s="231"/>
      <c r="HE73" s="231"/>
      <c r="HF73" s="231"/>
      <c r="HG73" s="231"/>
      <c r="HH73" s="231"/>
      <c r="HI73" s="231"/>
      <c r="HJ73" s="231"/>
      <c r="HK73" s="231"/>
      <c r="HL73" s="231"/>
      <c r="HM73" s="231"/>
      <c r="HN73" s="231"/>
      <c r="HO73" s="231"/>
      <c r="HP73" s="231"/>
      <c r="HQ73" s="231"/>
      <c r="HR73" s="231"/>
      <c r="HS73" s="231"/>
      <c r="HT73" s="231"/>
      <c r="HU73" s="231"/>
      <c r="HV73" s="231"/>
      <c r="HW73" s="231"/>
      <c r="HX73" s="231"/>
      <c r="HY73" s="231"/>
      <c r="HZ73" s="231"/>
      <c r="IA73" s="231"/>
      <c r="IB73" s="231"/>
      <c r="IC73" s="231"/>
      <c r="ID73" s="231"/>
      <c r="IE73" s="231"/>
      <c r="IF73" s="231"/>
      <c r="IG73" s="231"/>
      <c r="IH73" s="231"/>
      <c r="II73" s="231"/>
      <c r="IJ73" s="231"/>
      <c r="IK73" s="231"/>
      <c r="IL73" s="231"/>
      <c r="IM73" s="231"/>
      <c r="IN73" s="231"/>
    </row>
    <row r="74" spans="1:248">
      <c r="D74" s="297">
        <f t="shared" ref="D74:O74" si="20">+D40-D41</f>
        <v>0</v>
      </c>
      <c r="E74" s="297">
        <f t="shared" si="20"/>
        <v>0</v>
      </c>
      <c r="F74" s="297">
        <f t="shared" si="20"/>
        <v>0</v>
      </c>
      <c r="G74" s="297">
        <f t="shared" si="20"/>
        <v>0</v>
      </c>
      <c r="H74" s="297">
        <f t="shared" si="20"/>
        <v>0</v>
      </c>
      <c r="I74" s="297">
        <f t="shared" si="20"/>
        <v>0</v>
      </c>
      <c r="J74" s="297">
        <f t="shared" si="20"/>
        <v>0</v>
      </c>
      <c r="K74" s="297">
        <f t="shared" si="20"/>
        <v>0</v>
      </c>
      <c r="L74" s="297">
        <f t="shared" si="20"/>
        <v>0</v>
      </c>
      <c r="M74" s="297">
        <f t="shared" si="20"/>
        <v>0</v>
      </c>
      <c r="N74" s="297">
        <f t="shared" si="20"/>
        <v>0</v>
      </c>
      <c r="O74" s="297">
        <f t="shared" si="20"/>
        <v>0</v>
      </c>
      <c r="P74" s="297"/>
    </row>
    <row r="75" spans="1:248">
      <c r="B75" s="278"/>
      <c r="C75" s="249"/>
      <c r="D75" s="297">
        <f t="shared" ref="D75:O75" si="21">+D74*0.4</f>
        <v>0</v>
      </c>
      <c r="E75" s="297">
        <f t="shared" si="21"/>
        <v>0</v>
      </c>
      <c r="F75" s="297">
        <f t="shared" si="21"/>
        <v>0</v>
      </c>
      <c r="G75" s="297">
        <f t="shared" si="21"/>
        <v>0</v>
      </c>
      <c r="H75" s="297">
        <f t="shared" si="21"/>
        <v>0</v>
      </c>
      <c r="I75" s="297">
        <f>+I74*0.4</f>
        <v>0</v>
      </c>
      <c r="J75" s="297">
        <f t="shared" si="21"/>
        <v>0</v>
      </c>
      <c r="K75" s="297">
        <f t="shared" si="21"/>
        <v>0</v>
      </c>
      <c r="L75" s="297">
        <f t="shared" si="21"/>
        <v>0</v>
      </c>
      <c r="M75" s="297">
        <f t="shared" si="21"/>
        <v>0</v>
      </c>
      <c r="N75" s="297">
        <f t="shared" si="21"/>
        <v>0</v>
      </c>
      <c r="O75" s="297">
        <f t="shared" si="21"/>
        <v>0</v>
      </c>
      <c r="P75" s="297"/>
    </row>
    <row r="76" spans="1:248">
      <c r="B76" s="278"/>
      <c r="C76" s="249">
        <v>1000</v>
      </c>
      <c r="D76" s="297">
        <f t="shared" ref="D76:O76" si="22">+D74*0.6</f>
        <v>0</v>
      </c>
      <c r="E76" s="297">
        <f t="shared" si="22"/>
        <v>0</v>
      </c>
      <c r="F76" s="297">
        <f t="shared" si="22"/>
        <v>0</v>
      </c>
      <c r="G76" s="297">
        <f t="shared" si="22"/>
        <v>0</v>
      </c>
      <c r="H76" s="297">
        <f t="shared" si="22"/>
        <v>0</v>
      </c>
      <c r="I76" s="297">
        <f>+I74*0.6</f>
        <v>0</v>
      </c>
      <c r="J76" s="297">
        <f t="shared" si="22"/>
        <v>0</v>
      </c>
      <c r="K76" s="297">
        <f t="shared" si="22"/>
        <v>0</v>
      </c>
      <c r="L76" s="297">
        <f t="shared" si="22"/>
        <v>0</v>
      </c>
      <c r="M76" s="297">
        <f t="shared" si="22"/>
        <v>0</v>
      </c>
      <c r="N76" s="297">
        <f t="shared" si="22"/>
        <v>0</v>
      </c>
      <c r="O76" s="297">
        <f t="shared" si="22"/>
        <v>0</v>
      </c>
      <c r="P76" s="297"/>
    </row>
    <row r="77" spans="1:248"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7"/>
      <c r="P77" s="297"/>
    </row>
    <row r="78" spans="1:248">
      <c r="D78" s="300">
        <f t="shared" ref="D78:O78" si="23">D37/D27</f>
        <v>1.7938368973611153E-2</v>
      </c>
      <c r="E78" s="300">
        <f t="shared" si="23"/>
        <v>1.7011571079576859E-2</v>
      </c>
      <c r="F78" s="300">
        <f t="shared" si="23"/>
        <v>1.4370100722684312E-2</v>
      </c>
      <c r="G78" s="300">
        <f t="shared" si="23"/>
        <v>1.4397376734121023E-2</v>
      </c>
      <c r="H78" s="300">
        <f t="shared" si="23"/>
        <v>1.6523159143960079E-2</v>
      </c>
      <c r="I78" s="300">
        <f t="shared" si="23"/>
        <v>2.0227554832381364E-2</v>
      </c>
      <c r="J78" s="300">
        <f t="shared" si="23"/>
        <v>1.9371795387009595E-2</v>
      </c>
      <c r="K78" s="300">
        <f t="shared" si="23"/>
        <v>1.8744305693748065E-2</v>
      </c>
      <c r="L78" s="300">
        <f t="shared" si="23"/>
        <v>1.5795611328168289E-2</v>
      </c>
      <c r="M78" s="300">
        <f t="shared" si="23"/>
        <v>1.5653589421281755E-2</v>
      </c>
      <c r="N78" s="300" t="e">
        <f t="shared" si="23"/>
        <v>#DIV/0!</v>
      </c>
      <c r="O78" s="300" t="e">
        <f t="shared" si="23"/>
        <v>#DIV/0!</v>
      </c>
    </row>
    <row r="79" spans="1:248">
      <c r="D79" s="246"/>
      <c r="E79" s="246"/>
      <c r="F79" s="246"/>
      <c r="G79" s="246"/>
      <c r="H79" s="246"/>
      <c r="I79" s="246"/>
      <c r="J79" s="246"/>
      <c r="K79" s="301"/>
      <c r="L79" s="246"/>
      <c r="M79" s="246"/>
      <c r="N79" s="246"/>
      <c r="O79" s="246"/>
    </row>
    <row r="80" spans="1:248">
      <c r="D80" s="246"/>
      <c r="E80" s="246"/>
      <c r="F80" s="246"/>
      <c r="G80" s="246"/>
      <c r="H80" s="246"/>
      <c r="I80" s="246"/>
      <c r="J80" s="246"/>
      <c r="K80" s="301"/>
      <c r="L80" s="246"/>
      <c r="M80" s="246"/>
      <c r="N80" s="246"/>
      <c r="O80" s="246"/>
    </row>
    <row r="81" spans="3:16">
      <c r="D81" s="246"/>
      <c r="E81" s="246"/>
      <c r="F81" s="246"/>
      <c r="G81" s="246"/>
      <c r="H81" s="246"/>
      <c r="I81" s="246"/>
      <c r="J81" s="246"/>
      <c r="K81" s="301"/>
      <c r="L81" s="246"/>
      <c r="M81" s="246"/>
      <c r="N81" s="246"/>
      <c r="O81" s="246"/>
    </row>
    <row r="82" spans="3:16">
      <c r="D82" s="246"/>
      <c r="E82" s="246"/>
      <c r="F82" s="246"/>
      <c r="G82" s="246"/>
      <c r="H82" s="246"/>
      <c r="I82" s="246"/>
      <c r="J82" s="246"/>
      <c r="K82" s="301"/>
      <c r="L82" s="246"/>
      <c r="M82" s="246"/>
      <c r="N82" s="246"/>
      <c r="O82" s="246"/>
    </row>
    <row r="83" spans="3:16" ht="12" thickBot="1">
      <c r="D83" s="237"/>
      <c r="E83" s="237"/>
      <c r="F83" s="246"/>
      <c r="G83" s="237"/>
      <c r="H83" s="237"/>
      <c r="I83" s="237"/>
      <c r="J83" s="237"/>
      <c r="K83" s="237"/>
      <c r="L83" s="237"/>
      <c r="M83" s="237"/>
      <c r="N83" s="237"/>
      <c r="O83" s="237"/>
    </row>
    <row r="84" spans="3:16" ht="12" thickTop="1">
      <c r="C84" s="320" t="s">
        <v>40</v>
      </c>
      <c r="D84" s="337"/>
      <c r="E84" s="338">
        <f>+E41/D41-1</f>
        <v>-3.2161840309685275E-2</v>
      </c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40"/>
    </row>
    <row r="85" spans="3:16">
      <c r="C85" s="318" t="s">
        <v>44</v>
      </c>
      <c r="D85" s="336"/>
      <c r="E85" s="330">
        <f>+E42/D42-1</f>
        <v>-1.0380869366491654</v>
      </c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31"/>
    </row>
    <row r="86" spans="3:16">
      <c r="C86" s="315" t="s">
        <v>41</v>
      </c>
      <c r="D86" s="336"/>
      <c r="E86" s="330">
        <f>+E43/D43-1</f>
        <v>-1.0380869366491654</v>
      </c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31"/>
    </row>
    <row r="87" spans="3:16">
      <c r="C87" s="315"/>
      <c r="D87" s="336"/>
      <c r="E87" s="330" t="e">
        <f>+#REF!/#REF!-1</f>
        <v>#REF!</v>
      </c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31"/>
    </row>
    <row r="88" spans="3:16">
      <c r="C88" s="318" t="s">
        <v>42</v>
      </c>
      <c r="D88" s="336"/>
      <c r="E88" s="330">
        <f t="shared" ref="E88:E94" si="24">+E44/D44-1</f>
        <v>-1.089574239740787E-2</v>
      </c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31"/>
    </row>
    <row r="89" spans="3:16">
      <c r="C89" s="315" t="s">
        <v>47</v>
      </c>
      <c r="D89" s="336"/>
      <c r="E89" s="330">
        <f t="shared" si="24"/>
        <v>-2.8302711365604583E-2</v>
      </c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31"/>
    </row>
    <row r="90" spans="3:16">
      <c r="C90" s="315" t="s">
        <v>48</v>
      </c>
      <c r="D90" s="325"/>
      <c r="E90" s="330">
        <f t="shared" si="24"/>
        <v>-1.3022735670198404E-4</v>
      </c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32"/>
    </row>
    <row r="91" spans="3:16">
      <c r="C91" s="315" t="s">
        <v>50</v>
      </c>
      <c r="D91" s="278"/>
      <c r="E91" s="330">
        <f t="shared" si="24"/>
        <v>-3.5296187980473848E-2</v>
      </c>
      <c r="F91" s="278"/>
      <c r="G91" s="278"/>
      <c r="H91" s="278"/>
      <c r="I91" s="278"/>
      <c r="J91" s="278"/>
      <c r="K91" s="278"/>
      <c r="L91" s="278"/>
      <c r="M91" s="278"/>
      <c r="N91" s="278"/>
      <c r="P91" s="331"/>
    </row>
    <row r="92" spans="3:16">
      <c r="C92" s="315" t="s">
        <v>51</v>
      </c>
      <c r="E92" s="330">
        <f t="shared" si="24"/>
        <v>-5.7891581094825728E-2</v>
      </c>
      <c r="P92" s="331"/>
    </row>
    <row r="93" spans="3:16">
      <c r="C93" s="315" t="s">
        <v>52</v>
      </c>
      <c r="E93" s="330">
        <f t="shared" si="24"/>
        <v>-6.9527101681996384E-2</v>
      </c>
      <c r="I93" s="329"/>
      <c r="J93" s="329"/>
      <c r="K93" s="329"/>
      <c r="L93" s="329"/>
      <c r="M93" s="329"/>
      <c r="N93" s="329"/>
      <c r="O93" s="329"/>
      <c r="P93" s="331"/>
    </row>
    <row r="94" spans="3:16">
      <c r="C94" s="315" t="s">
        <v>90</v>
      </c>
      <c r="E94" s="330">
        <f t="shared" si="24"/>
        <v>-5.0299933482230497E-2</v>
      </c>
      <c r="P94" s="331"/>
    </row>
    <row r="95" spans="3:16">
      <c r="C95" s="315" t="s">
        <v>53</v>
      </c>
      <c r="E95" s="330" t="e">
        <f>+#REF!/#REF!-1</f>
        <v>#REF!</v>
      </c>
      <c r="P95" s="331"/>
    </row>
    <row r="96" spans="3:16">
      <c r="C96" s="315" t="s">
        <v>54</v>
      </c>
      <c r="E96" s="330" t="e">
        <f>+#REF!/#REF!-1</f>
        <v>#REF!</v>
      </c>
      <c r="P96" s="331"/>
    </row>
    <row r="97" spans="3:16">
      <c r="C97" s="307" t="s">
        <v>93</v>
      </c>
      <c r="E97" s="330" t="e">
        <f>+D55/#REF!-1</f>
        <v>#REF!</v>
      </c>
      <c r="P97" s="331"/>
    </row>
    <row r="98" spans="3:16">
      <c r="C98" s="318" t="s">
        <v>43</v>
      </c>
      <c r="E98" s="330">
        <f t="shared" ref="E98:E104" si="25">+E56/D56-1</f>
        <v>8.4086139444368824E-2</v>
      </c>
      <c r="P98" s="331"/>
    </row>
    <row r="99" spans="3:16">
      <c r="C99" s="307" t="s">
        <v>116</v>
      </c>
      <c r="E99" s="330">
        <f t="shared" si="25"/>
        <v>6.2248785918361582E-2</v>
      </c>
      <c r="P99" s="331"/>
    </row>
    <row r="100" spans="3:16">
      <c r="C100" s="307" t="s">
        <v>117</v>
      </c>
      <c r="E100" s="330">
        <f t="shared" si="25"/>
        <v>-1.8892191080915888E-3</v>
      </c>
      <c r="P100" s="331"/>
    </row>
    <row r="101" spans="3:16">
      <c r="C101" s="307" t="s">
        <v>118</v>
      </c>
      <c r="E101" s="330">
        <f t="shared" si="25"/>
        <v>2.8667272496011753E-2</v>
      </c>
      <c r="P101" s="331"/>
    </row>
    <row r="102" spans="3:16">
      <c r="C102" s="307" t="s">
        <v>119</v>
      </c>
      <c r="E102" s="330">
        <f t="shared" si="25"/>
        <v>-8.4222964741473283E-2</v>
      </c>
      <c r="P102" s="331"/>
    </row>
    <row r="103" spans="3:16">
      <c r="C103" s="307" t="s">
        <v>120</v>
      </c>
      <c r="E103" s="330">
        <f t="shared" si="25"/>
        <v>-0.21176224832345825</v>
      </c>
      <c r="P103" s="331"/>
    </row>
    <row r="104" spans="3:16">
      <c r="C104" s="307" t="s">
        <v>121</v>
      </c>
      <c r="E104" s="330">
        <f t="shared" si="25"/>
        <v>-3.107151862496571E-2</v>
      </c>
      <c r="P104" s="331"/>
    </row>
    <row r="105" spans="3:16">
      <c r="C105" s="307" t="s">
        <v>109</v>
      </c>
      <c r="E105" s="330" t="e">
        <f>+#REF!/#REF!-1</f>
        <v>#REF!</v>
      </c>
      <c r="P105" s="331"/>
    </row>
    <row r="106" spans="3:16">
      <c r="C106" s="307" t="s">
        <v>122</v>
      </c>
      <c r="E106" s="330">
        <f>+E63/D63-1</f>
        <v>-0.18374366062162295</v>
      </c>
      <c r="P106" s="331"/>
    </row>
    <row r="107" spans="3:16" ht="12" thickBot="1">
      <c r="C107" s="308" t="s">
        <v>123</v>
      </c>
      <c r="D107" s="333"/>
      <c r="E107" s="334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5"/>
    </row>
    <row r="108" spans="3:16" ht="12" thickTop="1">
      <c r="E108" s="277"/>
    </row>
  </sheetData>
  <printOptions horizontalCentered="1"/>
  <pageMargins left="0.39370078740157483" right="0.39370078740157483" top="1.3779527559055118" bottom="1" header="0" footer="0"/>
  <pageSetup paperSize="9" scale="7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0907E-77E8-468C-B3B8-FD183550A5C6}">
  <sheetPr codeName="Sheet21">
    <pageSetUpPr fitToPage="1"/>
  </sheetPr>
  <dimension ref="A2:IN84"/>
  <sheetViews>
    <sheetView view="pageBreakPreview" topLeftCell="A33" zoomScale="85" zoomScaleNormal="80" zoomScaleSheetLayoutView="85" zoomScalePageLayoutView="85" workbookViewId="0">
      <selection activeCell="P68" sqref="C37:P68"/>
    </sheetView>
  </sheetViews>
  <sheetFormatPr baseColWidth="10" defaultColWidth="9" defaultRowHeight="11.25"/>
  <cols>
    <col min="1" max="1" width="3" style="221" customWidth="1"/>
    <col min="2" max="2" width="3.85546875" style="221" customWidth="1"/>
    <col min="3" max="3" width="26.85546875" style="221" bestFit="1" customWidth="1"/>
    <col min="4" max="4" width="10.7109375" style="221" customWidth="1"/>
    <col min="5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5.7109375" style="221" customWidth="1"/>
    <col min="17" max="17" width="3.28515625" style="221" customWidth="1"/>
    <col min="18" max="18" width="10.5703125" style="221" bestFit="1" customWidth="1"/>
    <col min="19" max="19" width="9.85546875" style="221" bestFit="1" customWidth="1"/>
    <col min="20" max="16384" width="9" style="221"/>
  </cols>
  <sheetData>
    <row r="2" spans="3:16" ht="13.5" customHeight="1"/>
    <row r="3" spans="3:16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136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360">
        <f>+'[6]2024'!E8</f>
        <v>926.97495404577251</v>
      </c>
      <c r="E8" s="360">
        <f>+'[6]2024'!F8</f>
        <v>461.40711146468215</v>
      </c>
      <c r="F8" s="360">
        <f>+'[6]2024'!G8</f>
        <v>828.95046134578411</v>
      </c>
      <c r="G8" s="360">
        <f>+'[6]2024'!H8</f>
        <v>1171.7400253601074</v>
      </c>
      <c r="H8" s="360">
        <f>+'[6]2024'!I8</f>
        <v>1116.3305110563338</v>
      </c>
      <c r="I8" s="360">
        <f>+'[6]2024'!J8</f>
        <v>1041.0903302083016</v>
      </c>
      <c r="J8" s="360">
        <f>+'[6]2024'!K8</f>
        <v>1186.2565118484497</v>
      </c>
      <c r="K8" s="360">
        <f>+'[6]2024'!L8</f>
        <v>1200.15392455101</v>
      </c>
      <c r="L8" s="360">
        <f>+'[6]2024'!M8</f>
        <v>1105.6230203217976</v>
      </c>
      <c r="M8" s="360">
        <f>+'[6]2024'!N8</f>
        <v>1144.318103322506</v>
      </c>
      <c r="N8" s="360">
        <f>+'[6]2024'!O8</f>
        <v>1085.3382751868014</v>
      </c>
      <c r="O8" s="360">
        <f>+'[6]2024'!P8</f>
        <v>1127.0000595328809</v>
      </c>
      <c r="P8" s="269">
        <f t="shared" ref="P8:P14" si="0">+SUM(D8:O8)</f>
        <v>12395.183288244427</v>
      </c>
    </row>
    <row r="9" spans="3:16">
      <c r="C9" s="234" t="s">
        <v>17</v>
      </c>
      <c r="D9" s="360">
        <f>+'[6]2024'!E9</f>
        <v>402.870262936926</v>
      </c>
      <c r="E9" s="360">
        <f>+'[6]2024'!F9</f>
        <v>208.30515888170851</v>
      </c>
      <c r="F9" s="360">
        <f>+'[6]2024'!G9</f>
        <v>349.37798729529652</v>
      </c>
      <c r="G9" s="360">
        <f>+'[6]2024'!H9</f>
        <v>384.88266591119765</v>
      </c>
      <c r="H9" s="360">
        <f>+'[6]2024'!I9</f>
        <v>399.46322554445265</v>
      </c>
      <c r="I9" s="360">
        <f>+'[6]2024'!J9</f>
        <v>398.1997900333954</v>
      </c>
      <c r="J9" s="360">
        <f>+'[6]2024'!K9</f>
        <v>425.59572734451297</v>
      </c>
      <c r="K9" s="360">
        <f>+'[6]2024'!L9</f>
        <v>412.96571056716573</v>
      </c>
      <c r="L9" s="360">
        <f>+'[6]2024'!M9</f>
        <v>391.0158058863729</v>
      </c>
      <c r="M9" s="360">
        <f>+'[6]2024'!N9</f>
        <v>412.73237714993303</v>
      </c>
      <c r="N9" s="360">
        <f>+'[6]2024'!O9</f>
        <v>292.59651954185284</v>
      </c>
      <c r="O9" s="360">
        <f>+'[6]2024'!P9</f>
        <v>404.87908196288515</v>
      </c>
      <c r="P9" s="269">
        <f t="shared" si="0"/>
        <v>4482.8843130556997</v>
      </c>
    </row>
    <row r="10" spans="3:16">
      <c r="C10" s="234" t="s">
        <v>18</v>
      </c>
      <c r="D10" s="360">
        <f>+'[6]2024'!E10</f>
        <v>2802.6901195259093</v>
      </c>
      <c r="E10" s="360">
        <f>+'[6]2024'!F10</f>
        <v>1599.6715765838605</v>
      </c>
      <c r="F10" s="360">
        <f>+'[6]2024'!G10</f>
        <v>2343.2853220167308</v>
      </c>
      <c r="G10" s="360">
        <f>+'[6]2024'!H10</f>
        <v>3186.261717338562</v>
      </c>
      <c r="H10" s="360">
        <f>+'[6]2024'!I10</f>
        <v>3320.8418933486937</v>
      </c>
      <c r="I10" s="360">
        <f>+'[6]2024'!J10</f>
        <v>2971.2549195591064</v>
      </c>
      <c r="J10" s="360">
        <f>+'[6]2024'!K10</f>
        <v>3459.3024301147461</v>
      </c>
      <c r="K10" s="360">
        <f>+'[6]2024'!L10</f>
        <v>3396.7827389217614</v>
      </c>
      <c r="L10" s="360">
        <f>+'[6]2024'!M10</f>
        <v>3239.1046255743504</v>
      </c>
      <c r="M10" s="360">
        <f>+'[6]2024'!N10</f>
        <v>3402.5594845657347</v>
      </c>
      <c r="N10" s="360">
        <f>+'[6]2024'!O10</f>
        <v>3278.7132661345004</v>
      </c>
      <c r="O10" s="360">
        <f>+'[6]2024'!P10</f>
        <v>3409.234796195984</v>
      </c>
      <c r="P10" s="269">
        <f t="shared" si="0"/>
        <v>36409.702889879933</v>
      </c>
    </row>
    <row r="11" spans="3:16">
      <c r="C11" s="234" t="s">
        <v>19</v>
      </c>
      <c r="D11" s="360">
        <f>+'[6]2024'!E11</f>
        <v>5668.9583052101425</v>
      </c>
      <c r="E11" s="360">
        <f>+'[6]2024'!F11</f>
        <v>4589.5587625728376</v>
      </c>
      <c r="F11" s="360">
        <f>+'[6]2024'!G11</f>
        <v>10368.599402813437</v>
      </c>
      <c r="G11" s="360">
        <f>+'[6]2024'!H11</f>
        <v>9478.3303183154567</v>
      </c>
      <c r="H11" s="360">
        <f>+'[6]2024'!I11</f>
        <v>7684.0717533622774</v>
      </c>
      <c r="I11" s="360">
        <f>+'[6]2024'!J11</f>
        <v>7876.1240154026473</v>
      </c>
      <c r="J11" s="360">
        <f>+'[6]2024'!K11</f>
        <v>8639.9295436766879</v>
      </c>
      <c r="K11" s="360">
        <f>+'[6]2024'!L11</f>
        <v>9217.0969540214537</v>
      </c>
      <c r="L11" s="360">
        <f>+'[6]2024'!M11</f>
        <v>8732.8049782139951</v>
      </c>
      <c r="M11" s="360">
        <f>+'[6]2024'!N11</f>
        <v>9208.2879194034558</v>
      </c>
      <c r="N11" s="360">
        <f>+'[6]2024'!O11</f>
        <v>8386.3073084238222</v>
      </c>
      <c r="O11" s="360">
        <f>+'[6]2024'!P11</f>
        <v>4831.8906822398903</v>
      </c>
      <c r="P11" s="269">
        <f t="shared" si="0"/>
        <v>94681.959943656111</v>
      </c>
    </row>
    <row r="12" spans="3:16">
      <c r="C12" s="234" t="s">
        <v>20</v>
      </c>
      <c r="D12" s="360">
        <f>+'[6]2024'!E12</f>
        <v>39618.482833230388</v>
      </c>
      <c r="E12" s="360">
        <f>+'[6]2024'!F12</f>
        <v>39102.116138388752</v>
      </c>
      <c r="F12" s="360">
        <f>+'[6]2024'!G12</f>
        <v>105491.26078385663</v>
      </c>
      <c r="G12" s="360">
        <f>+'[6]2024'!H12</f>
        <v>80526.830714843993</v>
      </c>
      <c r="H12" s="360">
        <f>+'[6]2024'!I12</f>
        <v>50251.077631664411</v>
      </c>
      <c r="I12" s="360">
        <f>+'[6]2024'!J12</f>
        <v>49541.405805029928</v>
      </c>
      <c r="J12" s="360">
        <f>+'[6]2024'!K12</f>
        <v>52971.106137058916</v>
      </c>
      <c r="K12" s="360">
        <f>+'[6]2024'!L12</f>
        <v>56533.411631859482</v>
      </c>
      <c r="L12" s="360">
        <f>+'[6]2024'!M12</f>
        <v>54709.925384155569</v>
      </c>
      <c r="M12" s="360">
        <f>+'[6]2024'!N12</f>
        <v>56977.631290992111</v>
      </c>
      <c r="N12" s="360">
        <f>+'[6]2024'!O12</f>
        <v>55139.52137668473</v>
      </c>
      <c r="O12" s="360">
        <f>+'[6]2024'!P12</f>
        <v>56533.691402328492</v>
      </c>
      <c r="P12" s="269">
        <f t="shared" si="0"/>
        <v>697396.46113009355</v>
      </c>
    </row>
    <row r="13" spans="3:16">
      <c r="C13" s="234" t="s">
        <v>21</v>
      </c>
      <c r="D13" s="360">
        <f>+'[6]2024'!E13</f>
        <v>3421.4184920940397</v>
      </c>
      <c r="E13" s="360">
        <f>+'[6]2024'!F13</f>
        <v>2501.1813698993669</v>
      </c>
      <c r="F13" s="360">
        <f>+'[6]2024'!G13</f>
        <v>6048.9545388031001</v>
      </c>
      <c r="G13" s="360">
        <f>+'[6]2024'!H13</f>
        <v>5559.3143736362454</v>
      </c>
      <c r="H13" s="360">
        <f>+'[6]2024'!I13</f>
        <v>4620.7465813078343</v>
      </c>
      <c r="I13" s="360">
        <f>+'[6]2024'!J13</f>
        <v>4738.5689890530157</v>
      </c>
      <c r="J13" s="360">
        <f>+'[6]2024'!K13</f>
        <v>5138.6642664544715</v>
      </c>
      <c r="K13" s="360">
        <f>+'[6]2024'!L13</f>
        <v>4264.153884270886</v>
      </c>
      <c r="L13" s="360">
        <f>+'[6]2024'!M13</f>
        <v>0</v>
      </c>
      <c r="M13" s="360">
        <f>+'[6]2024'!N13</f>
        <v>0</v>
      </c>
      <c r="N13" s="360">
        <f>+'[6]2024'!O13</f>
        <v>0</v>
      </c>
      <c r="O13" s="360">
        <f>+'[6]2024'!P13</f>
        <v>3043.593948041289</v>
      </c>
      <c r="P13" s="269">
        <f t="shared" si="0"/>
        <v>39336.596443560251</v>
      </c>
    </row>
    <row r="14" spans="3:16">
      <c r="C14" s="240" t="s">
        <v>22</v>
      </c>
      <c r="D14" s="361">
        <f t="shared" ref="D14:M14" si="1">SUM(D8:D13)</f>
        <v>52841.394967043176</v>
      </c>
      <c r="E14" s="361">
        <f t="shared" si="1"/>
        <v>48462.240117791203</v>
      </c>
      <c r="F14" s="361">
        <f t="shared" si="1"/>
        <v>125430.42849613097</v>
      </c>
      <c r="G14" s="361">
        <f t="shared" si="1"/>
        <v>100307.35981540555</v>
      </c>
      <c r="H14" s="361">
        <f t="shared" si="1"/>
        <v>67392.531596283996</v>
      </c>
      <c r="I14" s="361">
        <f t="shared" si="1"/>
        <v>66566.643849286396</v>
      </c>
      <c r="J14" s="361">
        <f t="shared" si="1"/>
        <v>71820.854616497789</v>
      </c>
      <c r="K14" s="361">
        <f t="shared" si="1"/>
        <v>75024.564844191758</v>
      </c>
      <c r="L14" s="361">
        <f t="shared" si="1"/>
        <v>68178.473814152079</v>
      </c>
      <c r="M14" s="361">
        <f t="shared" si="1"/>
        <v>71145.529175433738</v>
      </c>
      <c r="N14" s="361">
        <f>SUM(N8:N13)</f>
        <v>68182.476745971711</v>
      </c>
      <c r="O14" s="361">
        <f>SUM(O8:O13)</f>
        <v>69350.289970301426</v>
      </c>
      <c r="P14" s="362">
        <f t="shared" si="0"/>
        <v>884702.78800848976</v>
      </c>
    </row>
    <row r="15" spans="3:16">
      <c r="C15" s="228" t="s">
        <v>23</v>
      </c>
      <c r="D15" s="360"/>
      <c r="E15" s="360"/>
      <c r="F15" s="360"/>
      <c r="G15" s="268"/>
      <c r="H15" s="268"/>
      <c r="I15" s="268"/>
      <c r="J15" s="268"/>
      <c r="K15" s="268"/>
      <c r="L15" s="268"/>
      <c r="M15" s="268"/>
      <c r="N15" s="268"/>
      <c r="O15" s="268"/>
      <c r="P15" s="269"/>
    </row>
    <row r="16" spans="3:16">
      <c r="C16" s="248" t="s">
        <v>24</v>
      </c>
      <c r="D16" s="360"/>
      <c r="E16" s="360"/>
      <c r="F16" s="360"/>
      <c r="G16" s="268"/>
      <c r="H16" s="268"/>
      <c r="I16" s="268"/>
      <c r="J16" s="268"/>
      <c r="K16" s="268"/>
      <c r="L16" s="268"/>
      <c r="M16" s="268"/>
      <c r="N16" s="268"/>
      <c r="O16" s="268"/>
      <c r="P16" s="269">
        <f t="shared" ref="P16:P22" si="2">+SUM(D16:O16)</f>
        <v>0</v>
      </c>
    </row>
    <row r="17" spans="3:20">
      <c r="C17" s="234" t="s">
        <v>25</v>
      </c>
      <c r="D17" s="360">
        <f>+'[6]2024'!E18</f>
        <v>0</v>
      </c>
      <c r="E17" s="360">
        <f>+'[6]2024'!F18</f>
        <v>3.3567107238769531</v>
      </c>
      <c r="F17" s="360">
        <f>+'[6]2024'!G18</f>
        <v>27.310176452636718</v>
      </c>
      <c r="G17" s="360">
        <f>+'[6]2024'!H18</f>
        <v>2.2337345581054686</v>
      </c>
      <c r="H17" s="360">
        <f>+'[6]2024'!I18</f>
        <v>1.820708251953125</v>
      </c>
      <c r="I17" s="360">
        <f>+'[6]2024'!J18</f>
        <v>27.936585601806641</v>
      </c>
      <c r="J17" s="360">
        <f>+'[6]2024'!K18</f>
        <v>0</v>
      </c>
      <c r="K17" s="360">
        <f>+'[6]2024'!L18</f>
        <v>0</v>
      </c>
      <c r="L17" s="360">
        <f>+'[6]2024'!M18</f>
        <v>29.915137702941895</v>
      </c>
      <c r="M17" s="360">
        <f>+'[6]2024'!N18</f>
        <v>10.262991961479187</v>
      </c>
      <c r="N17" s="360">
        <f>+'[6]2024'!O18</f>
        <v>0</v>
      </c>
      <c r="O17" s="360">
        <f>+'[6]2024'!P18</f>
        <v>31.31235760498047</v>
      </c>
      <c r="P17" s="269">
        <f t="shared" si="2"/>
        <v>134.14840285778047</v>
      </c>
    </row>
    <row r="18" spans="3:20">
      <c r="C18" s="248" t="s">
        <v>26</v>
      </c>
      <c r="D18" s="360">
        <f>+'[6]2024'!E16+'[6]2024'!E17</f>
        <v>10.345421070098878</v>
      </c>
      <c r="E18" s="360">
        <f>+'[6]2024'!F16+'[6]2024'!F17</f>
        <v>11.507578196167946</v>
      </c>
      <c r="F18" s="360">
        <f>+'[6]2024'!G16+'[6]2024'!G17</f>
        <v>10.751972915649414</v>
      </c>
      <c r="G18" s="360">
        <f>+'[6]2024'!H16+'[6]2024'!H17</f>
        <v>24.79071404965967</v>
      </c>
      <c r="H18" s="360">
        <f>+'[6]2024'!I16+'[6]2024'!I17</f>
        <v>14.839656448364257</v>
      </c>
      <c r="I18" s="360">
        <f>+'[6]2024'!J16+'[6]2024'!J17</f>
        <v>6.6027857005051924</v>
      </c>
      <c r="J18" s="360">
        <f>+'[6]2024'!K16+'[6]2024'!K17</f>
        <v>14.9252216796875</v>
      </c>
      <c r="K18" s="360">
        <f>+'[6]2024'!L16+'[6]2024'!L17</f>
        <v>15.538585400104523</v>
      </c>
      <c r="L18" s="360">
        <f>+'[6]2024'!M16+'[6]2024'!M17</f>
        <v>0</v>
      </c>
      <c r="M18" s="360">
        <f>+'[6]2024'!N16+'[6]2024'!N17</f>
        <v>20.87109200286865</v>
      </c>
      <c r="N18" s="360">
        <f>+'[6]2024'!O16+'[6]2024'!O17</f>
        <v>0</v>
      </c>
      <c r="O18" s="360">
        <f>+'[6]2024'!P16+'[6]2024'!P17</f>
        <v>34.320949310302737</v>
      </c>
      <c r="P18" s="269">
        <f t="shared" si="2"/>
        <v>164.49397677340875</v>
      </c>
      <c r="Q18" s="249"/>
    </row>
    <row r="19" spans="3:20">
      <c r="C19" s="248" t="s">
        <v>27</v>
      </c>
      <c r="D19" s="360">
        <f>+'[6]2024'!E19+'[6]2024'!E20+'[6]2024'!E21</f>
        <v>24.784779594421387</v>
      </c>
      <c r="E19" s="360">
        <f>+'[6]2024'!F19+'[6]2024'!F20+'[6]2024'!F21</f>
        <v>44.226588143477684</v>
      </c>
      <c r="F19" s="360">
        <f>+'[6]2024'!G19+'[6]2024'!G20+'[6]2024'!G21</f>
        <v>0</v>
      </c>
      <c r="G19" s="360">
        <f>+'[6]2024'!H19+'[6]2024'!H20+'[6]2024'!H21</f>
        <v>26.180859096527097</v>
      </c>
      <c r="H19" s="360">
        <f>+'[6]2024'!I19+'[6]2024'!I20+'[6]2024'!I21</f>
        <v>0</v>
      </c>
      <c r="I19" s="360">
        <f>+'[6]2024'!J19+'[6]2024'!J20+'[6]2024'!J21</f>
        <v>33.368395591735833</v>
      </c>
      <c r="J19" s="360">
        <f>+'[6]2024'!K19+'[6]2024'!K20+'[6]2024'!K21</f>
        <v>61.661103185176849</v>
      </c>
      <c r="K19" s="360">
        <f>+'[6]2024'!L19+'[6]2024'!L20+'[6]2024'!L21</f>
        <v>7.2396353759765626</v>
      </c>
      <c r="L19" s="360">
        <f>+'[6]2024'!M19+'[6]2024'!M20+'[6]2024'!M21</f>
        <v>81.539487823486326</v>
      </c>
      <c r="M19" s="360">
        <f>+'[6]2024'!N19+'[6]2024'!N20+'[6]2024'!N21</f>
        <v>29.829780141353606</v>
      </c>
      <c r="N19" s="360">
        <f>+'[6]2024'!O19+'[6]2024'!O20+'[6]2024'!O21</f>
        <v>20.306738502502441</v>
      </c>
      <c r="O19" s="360">
        <f>+'[6]2024'!P19+'[6]2024'!P20+'[6]2024'!P21</f>
        <v>19.583155891418457</v>
      </c>
      <c r="P19" s="269">
        <f t="shared" si="2"/>
        <v>348.72052334607628</v>
      </c>
      <c r="Q19" s="249"/>
    </row>
    <row r="20" spans="3:20">
      <c r="C20" s="250" t="s">
        <v>46</v>
      </c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269">
        <f t="shared" si="2"/>
        <v>0</v>
      </c>
      <c r="Q20" s="249"/>
    </row>
    <row r="21" spans="3:20">
      <c r="C21" s="240" t="s">
        <v>28</v>
      </c>
      <c r="D21" s="361">
        <f t="shared" ref="D21:N21" si="3">SUM(D16:D20)</f>
        <v>35.130200664520267</v>
      </c>
      <c r="E21" s="361">
        <f t="shared" si="3"/>
        <v>59.090877063522584</v>
      </c>
      <c r="F21" s="361">
        <f t="shared" si="3"/>
        <v>38.062149368286128</v>
      </c>
      <c r="G21" s="361">
        <f t="shared" si="3"/>
        <v>53.205307704292238</v>
      </c>
      <c r="H21" s="361">
        <f t="shared" si="3"/>
        <v>16.660364700317384</v>
      </c>
      <c r="I21" s="361">
        <f t="shared" si="3"/>
        <v>67.907766894047668</v>
      </c>
      <c r="J21" s="361">
        <f t="shared" si="3"/>
        <v>76.586324864864352</v>
      </c>
      <c r="K21" s="361">
        <f t="shared" si="3"/>
        <v>22.778220776081085</v>
      </c>
      <c r="L21" s="361">
        <f t="shared" si="3"/>
        <v>111.45462552642822</v>
      </c>
      <c r="M21" s="361">
        <f t="shared" si="3"/>
        <v>60.963864105701447</v>
      </c>
      <c r="N21" s="361">
        <f t="shared" si="3"/>
        <v>20.306738502502441</v>
      </c>
      <c r="O21" s="361">
        <f>SUM(O16:O20)</f>
        <v>85.216462806701671</v>
      </c>
      <c r="P21" s="362">
        <f t="shared" si="2"/>
        <v>647.36290297726543</v>
      </c>
    </row>
    <row r="22" spans="3:20" ht="12" thickBot="1">
      <c r="C22" s="251" t="s">
        <v>29</v>
      </c>
      <c r="D22" s="363">
        <f t="shared" ref="D22:N22" si="4">+D14+D21</f>
        <v>52876.525167707696</v>
      </c>
      <c r="E22" s="363">
        <f t="shared" si="4"/>
        <v>48521.330994854725</v>
      </c>
      <c r="F22" s="363">
        <f t="shared" si="4"/>
        <v>125468.49064549926</v>
      </c>
      <c r="G22" s="363">
        <f t="shared" si="4"/>
        <v>100360.56512310985</v>
      </c>
      <c r="H22" s="363">
        <f t="shared" si="4"/>
        <v>67409.191960984317</v>
      </c>
      <c r="I22" s="363">
        <f t="shared" si="4"/>
        <v>66634.551616180441</v>
      </c>
      <c r="J22" s="363">
        <f t="shared" si="4"/>
        <v>71897.440941362656</v>
      </c>
      <c r="K22" s="363">
        <f t="shared" si="4"/>
        <v>75047.343064967834</v>
      </c>
      <c r="L22" s="363">
        <f t="shared" si="4"/>
        <v>68289.928439678508</v>
      </c>
      <c r="M22" s="363">
        <f t="shared" si="4"/>
        <v>71206.493039539433</v>
      </c>
      <c r="N22" s="363">
        <f t="shared" si="4"/>
        <v>68202.783484474217</v>
      </c>
      <c r="O22" s="363">
        <f>+O14+O21</f>
        <v>69435.506433108123</v>
      </c>
      <c r="P22" s="364">
        <f t="shared" si="2"/>
        <v>885350.15091146703</v>
      </c>
    </row>
    <row r="23" spans="3:20" ht="12" thickTop="1">
      <c r="D23" s="329"/>
    </row>
    <row r="24" spans="3:20">
      <c r="C24" s="222" t="s">
        <v>137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20" ht="12" thickBot="1"/>
    <row r="26" spans="3:20" ht="12" thickTop="1">
      <c r="C26" s="310" t="s">
        <v>30</v>
      </c>
      <c r="D26" s="311" t="s">
        <v>2</v>
      </c>
      <c r="E26" s="311" t="s">
        <v>3</v>
      </c>
      <c r="F26" s="311" t="s">
        <v>4</v>
      </c>
      <c r="G26" s="311" t="s">
        <v>5</v>
      </c>
      <c r="H26" s="311" t="s">
        <v>6</v>
      </c>
      <c r="I26" s="311" t="s">
        <v>7</v>
      </c>
      <c r="J26" s="311" t="s">
        <v>8</v>
      </c>
      <c r="K26" s="311" t="s">
        <v>9</v>
      </c>
      <c r="L26" s="311" t="s">
        <v>10</v>
      </c>
      <c r="M26" s="311" t="s">
        <v>11</v>
      </c>
      <c r="N26" s="311" t="s">
        <v>12</v>
      </c>
      <c r="O26" s="311" t="s">
        <v>13</v>
      </c>
      <c r="P26" s="312" t="s">
        <v>14</v>
      </c>
    </row>
    <row r="27" spans="3:20">
      <c r="C27" s="313" t="s">
        <v>31</v>
      </c>
      <c r="D27" s="263">
        <f t="shared" ref="D27:O27" si="5">+D28+D29</f>
        <v>52876.525167707696</v>
      </c>
      <c r="E27" s="262">
        <f t="shared" si="5"/>
        <v>48521.330994854725</v>
      </c>
      <c r="F27" s="263">
        <f t="shared" si="5"/>
        <v>125468.49064549926</v>
      </c>
      <c r="G27" s="263">
        <f t="shared" si="5"/>
        <v>100360.56512310985</v>
      </c>
      <c r="H27" s="263">
        <f t="shared" si="5"/>
        <v>67409.191960984317</v>
      </c>
      <c r="I27" s="263">
        <f t="shared" si="5"/>
        <v>66634.551616180441</v>
      </c>
      <c r="J27" s="263">
        <f t="shared" si="5"/>
        <v>71897.440941362656</v>
      </c>
      <c r="K27" s="263">
        <f>+K28+K29</f>
        <v>75047.343064967834</v>
      </c>
      <c r="L27" s="263">
        <f t="shared" si="5"/>
        <v>68289.928439678508</v>
      </c>
      <c r="M27" s="263">
        <f t="shared" si="5"/>
        <v>71206.493039539433</v>
      </c>
      <c r="N27" s="263">
        <f t="shared" si="5"/>
        <v>68202.783484474217</v>
      </c>
      <c r="O27" s="263">
        <f t="shared" si="5"/>
        <v>69435.506433108123</v>
      </c>
      <c r="P27" s="314">
        <f>SUM(D27:O27)</f>
        <v>885350.15091146703</v>
      </c>
      <c r="R27" s="305"/>
      <c r="T27" s="277"/>
    </row>
    <row r="28" spans="3:20">
      <c r="C28" s="315" t="s">
        <v>32</v>
      </c>
      <c r="D28" s="268">
        <f>+D14</f>
        <v>52841.394967043176</v>
      </c>
      <c r="E28" s="268">
        <f t="shared" ref="E28:O28" si="6">+E14</f>
        <v>48462.240117791203</v>
      </c>
      <c r="F28" s="268">
        <f t="shared" si="6"/>
        <v>125430.42849613097</v>
      </c>
      <c r="G28" s="268">
        <f t="shared" si="6"/>
        <v>100307.35981540555</v>
      </c>
      <c r="H28" s="268">
        <f t="shared" si="6"/>
        <v>67392.531596283996</v>
      </c>
      <c r="I28" s="268">
        <f t="shared" si="6"/>
        <v>66566.643849286396</v>
      </c>
      <c r="J28" s="268">
        <f t="shared" si="6"/>
        <v>71820.854616497789</v>
      </c>
      <c r="K28" s="268">
        <f>+K14</f>
        <v>75024.564844191758</v>
      </c>
      <c r="L28" s="268">
        <f t="shared" si="6"/>
        <v>68178.473814152079</v>
      </c>
      <c r="M28" s="268">
        <f t="shared" si="6"/>
        <v>71145.529175433738</v>
      </c>
      <c r="N28" s="268">
        <f t="shared" si="6"/>
        <v>68182.476745971711</v>
      </c>
      <c r="O28" s="268">
        <f t="shared" si="6"/>
        <v>69350.289970301426</v>
      </c>
      <c r="P28" s="306">
        <f t="shared" ref="P28:P63" si="7">SUM(D28:O28)</f>
        <v>884702.78800848976</v>
      </c>
      <c r="R28" s="305"/>
    </row>
    <row r="29" spans="3:20">
      <c r="C29" s="316" t="s">
        <v>33</v>
      </c>
      <c r="D29" s="272">
        <f>+D21</f>
        <v>35.130200664520267</v>
      </c>
      <c r="E29" s="272">
        <f t="shared" ref="E29:O29" si="8">+E21</f>
        <v>59.090877063522584</v>
      </c>
      <c r="F29" s="272">
        <f t="shared" si="8"/>
        <v>38.062149368286128</v>
      </c>
      <c r="G29" s="272">
        <f t="shared" si="8"/>
        <v>53.205307704292238</v>
      </c>
      <c r="H29" s="272">
        <f t="shared" si="8"/>
        <v>16.660364700317384</v>
      </c>
      <c r="I29" s="272">
        <f t="shared" si="8"/>
        <v>67.907766894047668</v>
      </c>
      <c r="J29" s="272">
        <f t="shared" si="8"/>
        <v>76.586324864864352</v>
      </c>
      <c r="K29" s="272">
        <f>+K21</f>
        <v>22.778220776081085</v>
      </c>
      <c r="L29" s="272">
        <f t="shared" si="8"/>
        <v>111.45462552642822</v>
      </c>
      <c r="M29" s="272">
        <f t="shared" si="8"/>
        <v>60.963864105701447</v>
      </c>
      <c r="N29" s="272">
        <f t="shared" si="8"/>
        <v>20.306738502502441</v>
      </c>
      <c r="O29" s="272">
        <f t="shared" si="8"/>
        <v>85.216462806701671</v>
      </c>
      <c r="P29" s="317">
        <f t="shared" si="7"/>
        <v>647.36290297726543</v>
      </c>
      <c r="R29" s="305"/>
    </row>
    <row r="30" spans="3:20">
      <c r="C30" s="313" t="s">
        <v>34</v>
      </c>
      <c r="D30" s="263">
        <f>+SUM(D31:D33)</f>
        <v>823.35785509759694</v>
      </c>
      <c r="E30" s="263">
        <f t="shared" ref="E30:P30" si="9">+SUM(E31:E33)</f>
        <v>3340.0947470195101</v>
      </c>
      <c r="F30" s="263">
        <f t="shared" si="9"/>
        <v>111.468</v>
      </c>
      <c r="G30" s="263">
        <f t="shared" si="9"/>
        <v>106.437</v>
      </c>
      <c r="H30" s="263">
        <f t="shared" si="9"/>
        <v>110.15900000000001</v>
      </c>
      <c r="I30" s="263">
        <f>+SUM(I31:I33)</f>
        <v>106.29900000000001</v>
      </c>
      <c r="J30" s="263">
        <f t="shared" si="9"/>
        <v>113.13</v>
      </c>
      <c r="K30" s="263">
        <f>+SUM(K31:K33)</f>
        <v>112.003</v>
      </c>
      <c r="L30" s="263">
        <f t="shared" si="9"/>
        <v>110.446</v>
      </c>
      <c r="M30" s="263">
        <f t="shared" si="9"/>
        <v>109.89100000000001</v>
      </c>
      <c r="N30" s="263">
        <f t="shared" si="9"/>
        <v>105.75</v>
      </c>
      <c r="O30" s="263">
        <f t="shared" si="9"/>
        <v>111.438</v>
      </c>
      <c r="P30" s="314">
        <f t="shared" si="9"/>
        <v>5260.4736021171075</v>
      </c>
    </row>
    <row r="31" spans="3:20">
      <c r="C31" s="307" t="s">
        <v>41</v>
      </c>
      <c r="D31" s="268">
        <v>713.85285509759694</v>
      </c>
      <c r="E31" s="268">
        <v>3237.65874701951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68"/>
      <c r="P31" s="306">
        <f t="shared" si="7"/>
        <v>3951.511602117107</v>
      </c>
    </row>
    <row r="32" spans="3:20">
      <c r="C32" s="307" t="s">
        <v>109</v>
      </c>
      <c r="D32" s="268">
        <v>109.505</v>
      </c>
      <c r="E32" s="268">
        <v>102.43600000000001</v>
      </c>
      <c r="F32" s="268">
        <v>111.468</v>
      </c>
      <c r="G32" s="268">
        <v>106.437</v>
      </c>
      <c r="H32" s="268">
        <v>110.15900000000001</v>
      </c>
      <c r="I32" s="268">
        <v>106.29900000000001</v>
      </c>
      <c r="J32" s="268">
        <v>113.13</v>
      </c>
      <c r="K32" s="268">
        <v>112.003</v>
      </c>
      <c r="L32" s="268">
        <v>110.446</v>
      </c>
      <c r="M32" s="268">
        <v>109.89100000000001</v>
      </c>
      <c r="N32" s="268">
        <v>105.75</v>
      </c>
      <c r="O32" s="268">
        <v>111.438</v>
      </c>
      <c r="P32" s="306">
        <f t="shared" si="7"/>
        <v>1308.9620000000002</v>
      </c>
      <c r="R32" s="278"/>
      <c r="S32" s="278"/>
    </row>
    <row r="33" spans="2:20">
      <c r="C33" s="322" t="s">
        <v>125</v>
      </c>
      <c r="D33" s="272">
        <v>0</v>
      </c>
      <c r="E33" s="272">
        <v>0</v>
      </c>
      <c r="F33" s="272">
        <v>0</v>
      </c>
      <c r="G33" s="272">
        <v>0</v>
      </c>
      <c r="H33" s="272">
        <v>0</v>
      </c>
      <c r="I33" s="272">
        <v>0</v>
      </c>
      <c r="J33" s="272">
        <v>0</v>
      </c>
      <c r="K33" s="272">
        <v>0</v>
      </c>
      <c r="L33" s="272">
        <v>0</v>
      </c>
      <c r="M33" s="272">
        <v>0</v>
      </c>
      <c r="N33" s="272">
        <v>0</v>
      </c>
      <c r="O33" s="272"/>
      <c r="P33" s="317">
        <f>SUM(D33:O33)</f>
        <v>0</v>
      </c>
      <c r="R33" s="305"/>
      <c r="S33" s="305"/>
      <c r="T33" s="358"/>
    </row>
    <row r="34" spans="2:20">
      <c r="C34" s="313" t="s">
        <v>35</v>
      </c>
      <c r="D34" s="263">
        <f>+D35+D36</f>
        <v>290.35922192827775</v>
      </c>
      <c r="E34" s="263">
        <f t="shared" ref="E34:O34" si="10">+E35+E36</f>
        <v>269.62103826981161</v>
      </c>
      <c r="F34" s="263">
        <f t="shared" si="10"/>
        <v>336.11364153099112</v>
      </c>
      <c r="G34" s="263">
        <f t="shared" si="10"/>
        <v>318.47200835000217</v>
      </c>
      <c r="H34" s="263">
        <f t="shared" si="10"/>
        <v>303.90507652491431</v>
      </c>
      <c r="I34" s="263">
        <f t="shared" si="10"/>
        <v>299.99135543276867</v>
      </c>
      <c r="J34" s="263">
        <f t="shared" si="10"/>
        <v>313.81702152453022</v>
      </c>
      <c r="K34" s="263">
        <f>+K35+K36</f>
        <v>300.1642992428911</v>
      </c>
      <c r="L34" s="263">
        <f>+L35+L36</f>
        <v>288.09800962840836</v>
      </c>
      <c r="M34" s="263">
        <f t="shared" si="10"/>
        <v>287.07346997716138</v>
      </c>
      <c r="N34" s="263">
        <f t="shared" si="10"/>
        <v>282.09100866176215</v>
      </c>
      <c r="O34" s="263">
        <f t="shared" si="10"/>
        <v>285.0109333397354</v>
      </c>
      <c r="P34" s="314">
        <f t="shared" si="7"/>
        <v>3574.7170844112547</v>
      </c>
    </row>
    <row r="35" spans="2:20">
      <c r="B35" s="277"/>
      <c r="C35" s="315" t="s">
        <v>32</v>
      </c>
      <c r="D35" s="268">
        <v>287.31054944006519</v>
      </c>
      <c r="E35" s="268">
        <v>266.80451380997272</v>
      </c>
      <c r="F35" s="268">
        <v>335.3168820772176</v>
      </c>
      <c r="G35" s="268">
        <v>315.19341907464207</v>
      </c>
      <c r="H35" s="268">
        <v>302.45033870810369</v>
      </c>
      <c r="I35" s="268">
        <v>297.65088759162029</v>
      </c>
      <c r="J35" s="268">
        <v>309.01336840258199</v>
      </c>
      <c r="K35" s="268">
        <v>297.4089078244341</v>
      </c>
      <c r="L35" s="268">
        <v>284.19736010431569</v>
      </c>
      <c r="M35" s="268">
        <v>282.26624554385847</v>
      </c>
      <c r="N35" s="268">
        <v>281.25770391704168</v>
      </c>
      <c r="O35" s="268">
        <v>280.37586632039205</v>
      </c>
      <c r="P35" s="306">
        <f t="shared" si="7"/>
        <v>3539.2460428142454</v>
      </c>
    </row>
    <row r="36" spans="2:20">
      <c r="B36" s="278"/>
      <c r="C36" s="316" t="s">
        <v>33</v>
      </c>
      <c r="D36" s="268">
        <v>3.0486724882125853</v>
      </c>
      <c r="E36" s="268">
        <v>2.8165244598388672</v>
      </c>
      <c r="F36" s="268">
        <v>0.79675945377349855</v>
      </c>
      <c r="G36" s="272">
        <v>3.2785892753601074</v>
      </c>
      <c r="H36" s="272">
        <v>1.454737816810608</v>
      </c>
      <c r="I36" s="272">
        <v>2.3404678411483766</v>
      </c>
      <c r="J36" s="272">
        <v>4.8036531219482423</v>
      </c>
      <c r="K36" s="272">
        <v>2.7553914184570312</v>
      </c>
      <c r="L36" s="272">
        <v>3.9006495240926742</v>
      </c>
      <c r="M36" s="268">
        <v>4.8072244333028795</v>
      </c>
      <c r="N36" s="272">
        <v>0.83330474472045901</v>
      </c>
      <c r="O36" s="272">
        <v>4.6350670193433761</v>
      </c>
      <c r="P36" s="317">
        <f t="shared" si="7"/>
        <v>35.4710415970087</v>
      </c>
    </row>
    <row r="37" spans="2:20">
      <c r="C37" s="318" t="s">
        <v>36</v>
      </c>
      <c r="D37" s="263">
        <f t="shared" ref="D37:O37" si="11">+D38+D39</f>
        <v>948.83648381801322</v>
      </c>
      <c r="E37" s="263">
        <f t="shared" si="11"/>
        <v>818.3496345730091</v>
      </c>
      <c r="F37" s="263">
        <f t="shared" si="11"/>
        <v>1802.9968748428655</v>
      </c>
      <c r="G37" s="282">
        <f t="shared" si="11"/>
        <v>1444.9288653268741</v>
      </c>
      <c r="H37" s="282">
        <f t="shared" si="11"/>
        <v>1113.8128065380006</v>
      </c>
      <c r="I37" s="282">
        <f t="shared" si="11"/>
        <v>1088.4845533968692</v>
      </c>
      <c r="J37" s="282">
        <f t="shared" si="11"/>
        <v>1175.9334371458099</v>
      </c>
      <c r="K37" s="282">
        <f>+K38+K39</f>
        <v>1171.9204877520388</v>
      </c>
      <c r="L37" s="282">
        <f t="shared" si="11"/>
        <v>1081.7705639390915</v>
      </c>
      <c r="M37" s="263">
        <f t="shared" si="11"/>
        <v>1075.4708979527641</v>
      </c>
      <c r="N37" s="282">
        <f t="shared" si="11"/>
        <v>1021.4720054131612</v>
      </c>
      <c r="O37" s="282">
        <f t="shared" si="11"/>
        <v>1096.715798261328</v>
      </c>
      <c r="P37" s="319">
        <f t="shared" si="7"/>
        <v>13840.692408959825</v>
      </c>
    </row>
    <row r="38" spans="2:20">
      <c r="B38" s="278"/>
      <c r="C38" s="315" t="s">
        <v>37</v>
      </c>
      <c r="D38" s="268">
        <v>379.53459352720529</v>
      </c>
      <c r="E38" s="268">
        <v>327.33985382920366</v>
      </c>
      <c r="F38" s="268">
        <v>721.1987499371462</v>
      </c>
      <c r="G38" s="268">
        <v>577.97154613074963</v>
      </c>
      <c r="H38" s="268">
        <v>445.52512261520025</v>
      </c>
      <c r="I38" s="268">
        <v>435.39382135874769</v>
      </c>
      <c r="J38" s="268">
        <v>470.37337485832398</v>
      </c>
      <c r="K38" s="268">
        <v>468.76819510081555</v>
      </c>
      <c r="L38" s="268">
        <v>432.70822557563662</v>
      </c>
      <c r="M38" s="268">
        <v>430.18835918110562</v>
      </c>
      <c r="N38" s="268">
        <v>408.5888021652645</v>
      </c>
      <c r="O38" s="268">
        <v>438.68631930453125</v>
      </c>
      <c r="P38" s="306">
        <f t="shared" si="7"/>
        <v>5536.2769635839304</v>
      </c>
    </row>
    <row r="39" spans="2:20">
      <c r="B39" s="285"/>
      <c r="C39" s="315" t="s">
        <v>38</v>
      </c>
      <c r="D39" s="272">
        <v>569.30189029080793</v>
      </c>
      <c r="E39" s="272">
        <v>491.00978074380544</v>
      </c>
      <c r="F39" s="272">
        <v>1081.7981249057193</v>
      </c>
      <c r="G39" s="268">
        <v>866.95731919612444</v>
      </c>
      <c r="H39" s="268">
        <v>668.28768392280028</v>
      </c>
      <c r="I39" s="268">
        <v>653.09073203812147</v>
      </c>
      <c r="J39" s="268">
        <v>705.56006228748595</v>
      </c>
      <c r="K39" s="268">
        <v>703.15229265122321</v>
      </c>
      <c r="L39" s="272">
        <v>649.06233836345484</v>
      </c>
      <c r="M39" s="272">
        <v>645.28253877165844</v>
      </c>
      <c r="N39" s="272">
        <v>612.88320324789674</v>
      </c>
      <c r="O39" s="272">
        <v>658.02947895679677</v>
      </c>
      <c r="P39" s="306">
        <f t="shared" si="7"/>
        <v>8304.4154453758947</v>
      </c>
    </row>
    <row r="40" spans="2:20">
      <c r="B40" s="285"/>
      <c r="C40" s="320" t="s">
        <v>39</v>
      </c>
      <c r="D40" s="302">
        <f t="shared" ref="D40:O40" si="12">+D27+D30-D34-D37</f>
        <v>52460.687317058997</v>
      </c>
      <c r="E40" s="302">
        <f t="shared" si="12"/>
        <v>50773.455069031414</v>
      </c>
      <c r="F40" s="302">
        <f t="shared" si="12"/>
        <v>123440.8481291254</v>
      </c>
      <c r="G40" s="302">
        <f t="shared" si="12"/>
        <v>98703.601249432977</v>
      </c>
      <c r="H40" s="302">
        <f t="shared" si="12"/>
        <v>66101.633077921404</v>
      </c>
      <c r="I40" s="302">
        <f t="shared" si="12"/>
        <v>65352.374707350806</v>
      </c>
      <c r="J40" s="302">
        <f t="shared" si="12"/>
        <v>70520.820482692317</v>
      </c>
      <c r="K40" s="302">
        <f>+K27+K30-K34-K37</f>
        <v>73687.261277972895</v>
      </c>
      <c r="L40" s="302">
        <f t="shared" si="12"/>
        <v>67030.505866111009</v>
      </c>
      <c r="M40" s="302">
        <f t="shared" si="12"/>
        <v>69953.839671609516</v>
      </c>
      <c r="N40" s="302">
        <f t="shared" si="12"/>
        <v>67004.97047039929</v>
      </c>
      <c r="O40" s="302">
        <f t="shared" si="12"/>
        <v>68165.217701507048</v>
      </c>
      <c r="P40" s="321">
        <f t="shared" si="7"/>
        <v>873195.21502021293</v>
      </c>
    </row>
    <row r="41" spans="2:20">
      <c r="B41" s="285"/>
      <c r="C41" s="320" t="s">
        <v>40</v>
      </c>
      <c r="D41" s="302">
        <f>+D42+D45+D56+D52+D66</f>
        <v>52460.687317058997</v>
      </c>
      <c r="E41" s="302">
        <f t="shared" ref="E41:P41" si="13">+E42+E45+E56+E52+E66</f>
        <v>50773.455069031414</v>
      </c>
      <c r="F41" s="302">
        <f t="shared" si="13"/>
        <v>123440.8481291254</v>
      </c>
      <c r="G41" s="302">
        <f t="shared" si="13"/>
        <v>98703.601249432977</v>
      </c>
      <c r="H41" s="302">
        <f t="shared" si="13"/>
        <v>66101.633077921404</v>
      </c>
      <c r="I41" s="302">
        <f t="shared" si="13"/>
        <v>65352.374707350806</v>
      </c>
      <c r="J41" s="302">
        <f t="shared" si="13"/>
        <v>70520.820482692317</v>
      </c>
      <c r="K41" s="302">
        <f t="shared" si="13"/>
        <v>73687.261277972895</v>
      </c>
      <c r="L41" s="302">
        <f t="shared" si="13"/>
        <v>67030.505866111009</v>
      </c>
      <c r="M41" s="302">
        <f t="shared" si="13"/>
        <v>69953.839671609516</v>
      </c>
      <c r="N41" s="302">
        <f t="shared" si="13"/>
        <v>67004.97047039929</v>
      </c>
      <c r="O41" s="302">
        <f t="shared" si="13"/>
        <v>68165.217701507048</v>
      </c>
      <c r="P41" s="321">
        <f t="shared" si="13"/>
        <v>873195.21502021293</v>
      </c>
      <c r="R41" s="249"/>
      <c r="S41" s="249">
        <f>+SUM(D41:L41)</f>
        <v>668071.18717669719</v>
      </c>
    </row>
    <row r="42" spans="2:20">
      <c r="C42" s="318" t="s">
        <v>44</v>
      </c>
      <c r="D42" s="263">
        <f t="shared" ref="D42:O42" si="14">+D43+D44</f>
        <v>0</v>
      </c>
      <c r="E42" s="263">
        <f t="shared" si="14"/>
        <v>0</v>
      </c>
      <c r="F42" s="263">
        <f t="shared" si="14"/>
        <v>73313.311859125388</v>
      </c>
      <c r="G42" s="263">
        <f>+G43+G44</f>
        <v>50055.353179432983</v>
      </c>
      <c r="H42" s="263">
        <f t="shared" si="14"/>
        <v>17574.992567921399</v>
      </c>
      <c r="I42" s="263">
        <f>+I43</f>
        <v>20382.876217350808</v>
      </c>
      <c r="J42" s="263">
        <f t="shared" si="14"/>
        <v>22662.670352692316</v>
      </c>
      <c r="K42" s="263">
        <f t="shared" si="14"/>
        <v>25085.684737972901</v>
      </c>
      <c r="L42" s="263">
        <f t="shared" si="14"/>
        <v>19524.811896111016</v>
      </c>
      <c r="M42" s="263">
        <f t="shared" si="14"/>
        <v>20694.798141609514</v>
      </c>
      <c r="N42" s="263">
        <f t="shared" si="14"/>
        <v>21242.955660399304</v>
      </c>
      <c r="O42" s="263">
        <f t="shared" si="14"/>
        <v>20994.738381507035</v>
      </c>
      <c r="P42" s="314">
        <f t="shared" si="7"/>
        <v>291532.19299412263</v>
      </c>
      <c r="R42" s="249"/>
      <c r="S42" s="249"/>
      <c r="T42" s="305"/>
    </row>
    <row r="43" spans="2:20">
      <c r="B43" s="278"/>
      <c r="C43" s="315" t="s">
        <v>41</v>
      </c>
      <c r="D43" s="268">
        <v>0</v>
      </c>
      <c r="E43" s="268">
        <v>0</v>
      </c>
      <c r="F43" s="268">
        <v>73313.311859125388</v>
      </c>
      <c r="G43" s="268">
        <v>50055.353179432983</v>
      </c>
      <c r="H43" s="268">
        <v>17574.992567921399</v>
      </c>
      <c r="I43" s="268">
        <v>20382.876217350808</v>
      </c>
      <c r="J43" s="268">
        <v>22662.670352692316</v>
      </c>
      <c r="K43" s="268">
        <v>25085.684737972901</v>
      </c>
      <c r="L43" s="268">
        <v>19524.811896111016</v>
      </c>
      <c r="M43" s="268">
        <v>20694.798141609514</v>
      </c>
      <c r="N43" s="268">
        <v>21242.955660399304</v>
      </c>
      <c r="O43" s="268">
        <v>20994.738381507035</v>
      </c>
      <c r="P43" s="306">
        <f t="shared" si="7"/>
        <v>291532.19299412263</v>
      </c>
      <c r="R43" s="249"/>
      <c r="S43" s="278"/>
      <c r="T43" s="305"/>
    </row>
    <row r="44" spans="2:20" hidden="1">
      <c r="C44" s="315" t="s">
        <v>45</v>
      </c>
      <c r="D44" s="268">
        <v>0</v>
      </c>
      <c r="E44" s="268">
        <v>0</v>
      </c>
      <c r="F44" s="268">
        <v>0</v>
      </c>
      <c r="G44" s="268">
        <v>0</v>
      </c>
      <c r="H44" s="268">
        <v>0</v>
      </c>
      <c r="I44" s="268">
        <v>0</v>
      </c>
      <c r="J44" s="268">
        <v>0</v>
      </c>
      <c r="K44" s="268">
        <v>0</v>
      </c>
      <c r="L44" s="268">
        <v>0</v>
      </c>
      <c r="M44" s="268">
        <v>0</v>
      </c>
      <c r="N44" s="268">
        <v>0</v>
      </c>
      <c r="O44" s="268"/>
      <c r="P44" s="306">
        <f t="shared" si="7"/>
        <v>0</v>
      </c>
      <c r="R44" s="249"/>
      <c r="S44" s="278"/>
      <c r="T44" s="305"/>
    </row>
    <row r="45" spans="2:20">
      <c r="C45" s="318" t="s">
        <v>42</v>
      </c>
      <c r="D45" s="282">
        <f>SUM(D46:D51)</f>
        <v>30567.165129999998</v>
      </c>
      <c r="E45" s="282">
        <f>SUM(E46:E51)</f>
        <v>30222.723449999998</v>
      </c>
      <c r="F45" s="282">
        <f t="shared" ref="F45:K45" si="15">SUM(F46:F51)</f>
        <v>30741.968510000002</v>
      </c>
      <c r="G45" s="282">
        <f t="shared" si="15"/>
        <v>29476.517670000001</v>
      </c>
      <c r="H45" s="282">
        <f t="shared" si="15"/>
        <v>28612.412310000003</v>
      </c>
      <c r="I45" s="282">
        <f t="shared" si="15"/>
        <v>27480.46356</v>
      </c>
      <c r="J45" s="282">
        <f t="shared" si="15"/>
        <v>28420.554270000001</v>
      </c>
      <c r="K45" s="282">
        <f t="shared" si="15"/>
        <v>28432.236389999995</v>
      </c>
      <c r="L45" s="282">
        <f>SUM(L46:L51)</f>
        <v>27829.018100000005</v>
      </c>
      <c r="M45" s="282">
        <f>SUM(M46:M51)</f>
        <v>29025.485279999997</v>
      </c>
      <c r="N45" s="282">
        <f>SUM(N46:N51)</f>
        <v>28427.866309999998</v>
      </c>
      <c r="O45" s="282">
        <f>SUM(O46:O51)</f>
        <v>29551.066370000004</v>
      </c>
      <c r="P45" s="319">
        <f>SUM(P46:P51)</f>
        <v>348787.47734999988</v>
      </c>
      <c r="R45" s="249"/>
      <c r="S45" s="278">
        <v>1000</v>
      </c>
      <c r="T45" s="305"/>
    </row>
    <row r="46" spans="2:20">
      <c r="C46" s="376" t="s">
        <v>133</v>
      </c>
      <c r="D46" s="268">
        <f>+[7]R!E80</f>
        <v>7779.8529400000016</v>
      </c>
      <c r="E46" s="268">
        <f>+[7]R!F80</f>
        <v>7554.1624700000011</v>
      </c>
      <c r="F46" s="268">
        <f>+[7]R!G80</f>
        <v>7630.7829499999998</v>
      </c>
      <c r="G46" s="268">
        <f>+[7]R!H80</f>
        <v>7361.1082500000002</v>
      </c>
      <c r="H46" s="268">
        <f>+[7]R!I80</f>
        <v>7215.3365099999992</v>
      </c>
      <c r="I46" s="268">
        <f>+[7]R!J80</f>
        <v>6955.9726800000008</v>
      </c>
      <c r="J46" s="268">
        <f>+[7]R!K80</f>
        <v>7243.0156399999987</v>
      </c>
      <c r="K46" s="268">
        <f>+[7]R!L80</f>
        <v>7178.5934899999984</v>
      </c>
      <c r="L46" s="268">
        <f>+[7]R!M80</f>
        <v>7011.8145900000018</v>
      </c>
      <c r="M46" s="268">
        <f>+[7]R!N80</f>
        <v>7358.9933399999991</v>
      </c>
      <c r="N46" s="268">
        <f>+[7]R!O80</f>
        <v>7239.4790999999996</v>
      </c>
      <c r="O46" s="268">
        <f>+[7]R!P80</f>
        <v>7541.5345499999994</v>
      </c>
      <c r="P46" s="306">
        <f t="shared" si="7"/>
        <v>88070.646509999991</v>
      </c>
      <c r="R46" s="249"/>
      <c r="S46" s="278"/>
      <c r="T46" s="305"/>
    </row>
    <row r="47" spans="2:20">
      <c r="C47" s="373" t="s">
        <v>48</v>
      </c>
      <c r="D47" s="268">
        <f>+[7]R!E81</f>
        <v>20652.573069999999</v>
      </c>
      <c r="E47" s="268">
        <f>+[7]R!F81</f>
        <v>20649.883539999999</v>
      </c>
      <c r="F47" s="268">
        <f>+[7]R!G81</f>
        <v>20951.30414</v>
      </c>
      <c r="G47" s="268">
        <f>+[7]R!H81</f>
        <v>19988.498540000001</v>
      </c>
      <c r="H47" s="268">
        <f>+[7]R!I81</f>
        <v>19262.252740000004</v>
      </c>
      <c r="I47" s="268">
        <f>+[7]R!J81</f>
        <v>18386.815579999999</v>
      </c>
      <c r="J47" s="268">
        <f>+[7]R!K81</f>
        <v>19010.374150000003</v>
      </c>
      <c r="K47" s="268">
        <f>+[7]R!L81</f>
        <v>19052.679539999997</v>
      </c>
      <c r="L47" s="268">
        <f>+[7]R!M81</f>
        <v>18622.934430000001</v>
      </c>
      <c r="M47" s="268">
        <f>+[7]R!N81</f>
        <v>19369.55416</v>
      </c>
      <c r="N47" s="268">
        <f>+[7]R!O81</f>
        <v>18962.206549999999</v>
      </c>
      <c r="O47" s="268">
        <f>+[7]R!P81</f>
        <v>19753.456100000003</v>
      </c>
      <c r="P47" s="306">
        <f t="shared" si="7"/>
        <v>234662.53253999996</v>
      </c>
      <c r="R47" s="249"/>
      <c r="S47" s="278"/>
      <c r="T47" s="305"/>
    </row>
    <row r="48" spans="2:20">
      <c r="C48" s="373" t="s">
        <v>50</v>
      </c>
      <c r="D48" s="268">
        <f>+[7]R!E82</f>
        <v>584.16279999999995</v>
      </c>
      <c r="E48" s="268">
        <f>+[7]R!F82</f>
        <v>563.54408000000001</v>
      </c>
      <c r="F48" s="268">
        <f>+[7]R!G82</f>
        <v>579.33838000000003</v>
      </c>
      <c r="G48" s="268">
        <f>+[7]R!H82</f>
        <v>545.02316000000008</v>
      </c>
      <c r="H48" s="268">
        <f>+[7]R!I82</f>
        <v>533.81511999999998</v>
      </c>
      <c r="I48" s="268">
        <f>+[7]R!J82</f>
        <v>514.44906000000003</v>
      </c>
      <c r="J48" s="268">
        <f>+[7]R!K82</f>
        <v>526.14530000000002</v>
      </c>
      <c r="K48" s="268">
        <f>+[7]R!L82</f>
        <v>533.85309999999993</v>
      </c>
      <c r="L48" s="268">
        <f>+[7]R!M82</f>
        <v>522.09730000000002</v>
      </c>
      <c r="M48" s="268">
        <f>+[7]R!N82</f>
        <v>554.90340000000003</v>
      </c>
      <c r="N48" s="268">
        <f>+[7]R!O82</f>
        <v>545.52152000000001</v>
      </c>
      <c r="O48" s="268">
        <f>+[7]R!P82</f>
        <v>581.0558400000001</v>
      </c>
      <c r="P48" s="306">
        <f t="shared" si="7"/>
        <v>6583.9090600000009</v>
      </c>
      <c r="Q48" s="277"/>
      <c r="R48" s="249"/>
      <c r="S48" s="278"/>
      <c r="T48" s="305"/>
    </row>
    <row r="49" spans="3:20">
      <c r="C49" s="373" t="s">
        <v>51</v>
      </c>
      <c r="D49" s="268">
        <f>+[7]R!E83</f>
        <v>505.66886000000005</v>
      </c>
      <c r="E49" s="268">
        <f>+[7]R!F83</f>
        <v>476.30848000000003</v>
      </c>
      <c r="F49" s="268">
        <f>+[7]R!G83</f>
        <v>527.99205999999992</v>
      </c>
      <c r="G49" s="268">
        <f>+[7]R!H83</f>
        <v>555.67529999999999</v>
      </c>
      <c r="H49" s="268">
        <f>+[7]R!I83</f>
        <v>552.16336000000001</v>
      </c>
      <c r="I49" s="268">
        <f>+[7]R!J83</f>
        <v>589.95594000000006</v>
      </c>
      <c r="J49" s="268">
        <f>+[7]R!K83</f>
        <v>562.86342000000002</v>
      </c>
      <c r="K49" s="268">
        <f>+[7]R!L83</f>
        <v>612.48464000000013</v>
      </c>
      <c r="L49" s="268">
        <f>+[7]R!M83</f>
        <v>611.52742000000001</v>
      </c>
      <c r="M49" s="268">
        <f>+[7]R!N83</f>
        <v>647.28634000000011</v>
      </c>
      <c r="N49" s="268">
        <f>+[7]R!O83</f>
        <v>606.68478000000005</v>
      </c>
      <c r="O49" s="268">
        <f>+[7]R!P83</f>
        <v>601.67564000000004</v>
      </c>
      <c r="P49" s="306">
        <f t="shared" si="7"/>
        <v>6850.2862400000004</v>
      </c>
      <c r="Q49" s="277"/>
      <c r="R49" s="249"/>
      <c r="S49" s="278"/>
      <c r="T49" s="305"/>
    </row>
    <row r="50" spans="3:20">
      <c r="C50" s="373" t="s">
        <v>52</v>
      </c>
      <c r="D50" s="268">
        <f>+[7]R!E84</f>
        <v>402.01158000000004</v>
      </c>
      <c r="E50" s="268">
        <f>+[7]R!F84</f>
        <v>374.06088</v>
      </c>
      <c r="F50" s="268">
        <f>+[7]R!G84</f>
        <v>406.72620000000006</v>
      </c>
      <c r="G50" s="268">
        <f>+[7]R!H84</f>
        <v>394.62706000000003</v>
      </c>
      <c r="H50" s="268">
        <f>+[7]R!I84</f>
        <v>400.08252000000005</v>
      </c>
      <c r="I50" s="268">
        <f>+[7]R!J84</f>
        <v>399.47104000000002</v>
      </c>
      <c r="J50" s="268">
        <f>+[7]R!K84</f>
        <v>439.03462000000002</v>
      </c>
      <c r="K50" s="268">
        <f>+[7]R!L84</f>
        <v>398.35216000000003</v>
      </c>
      <c r="L50" s="268">
        <f>+[7]R!M84</f>
        <v>404.51766000000003</v>
      </c>
      <c r="M50" s="268">
        <f>+[7]R!N84</f>
        <v>417.85040000000004</v>
      </c>
      <c r="N50" s="268">
        <f>+[7]R!O84</f>
        <v>406.73685999999998</v>
      </c>
      <c r="O50" s="268">
        <f>+[7]R!P84</f>
        <v>399.46429999999998</v>
      </c>
      <c r="P50" s="306">
        <f t="shared" si="7"/>
        <v>4842.9352799999997</v>
      </c>
      <c r="Q50" s="277"/>
      <c r="R50" s="249"/>
      <c r="S50" s="278"/>
      <c r="T50" s="305"/>
    </row>
    <row r="51" spans="3:20">
      <c r="C51" s="373" t="s">
        <v>90</v>
      </c>
      <c r="D51" s="268">
        <f>+[7]R!E85</f>
        <v>642.89588000000003</v>
      </c>
      <c r="E51" s="268">
        <f>+[7]R!F85</f>
        <v>604.76400000000001</v>
      </c>
      <c r="F51" s="268">
        <f>+[7]R!G85</f>
        <v>645.82478000000003</v>
      </c>
      <c r="G51" s="268">
        <f>+[7]R!H85</f>
        <v>631.58536000000004</v>
      </c>
      <c r="H51" s="268">
        <f>+[7]R!I85</f>
        <v>648.76206000000002</v>
      </c>
      <c r="I51" s="268">
        <f>+[7]R!J85</f>
        <v>633.79925999999989</v>
      </c>
      <c r="J51" s="268">
        <f>+[7]R!K85</f>
        <v>639.12113999999985</v>
      </c>
      <c r="K51" s="268">
        <f>+[7]R!L85</f>
        <v>656.27346</v>
      </c>
      <c r="L51" s="268">
        <f>+[7]R!M85</f>
        <v>656.12669999999991</v>
      </c>
      <c r="M51" s="268">
        <f>+[7]R!N85</f>
        <v>676.89764000000014</v>
      </c>
      <c r="N51" s="268">
        <f>+[7]R!O85</f>
        <v>667.23749999999995</v>
      </c>
      <c r="O51" s="268">
        <f>+[7]R!P85</f>
        <v>673.87993999999992</v>
      </c>
      <c r="P51" s="306">
        <f t="shared" si="7"/>
        <v>7777.1677200000004</v>
      </c>
      <c r="Q51" s="277"/>
      <c r="R51" s="249"/>
      <c r="S51" s="278"/>
      <c r="T51" s="305"/>
    </row>
    <row r="52" spans="3:20">
      <c r="C52" s="371" t="s">
        <v>124</v>
      </c>
      <c r="D52" s="282">
        <f>+SUM(D53:D55)</f>
        <v>12399.54146</v>
      </c>
      <c r="E52" s="282">
        <f>+SUM(E53:E55)</f>
        <v>11606.12012</v>
      </c>
      <c r="F52" s="282">
        <f t="shared" ref="F52:K52" si="16">+SUM(F53:F55)</f>
        <v>11284.65295</v>
      </c>
      <c r="G52" s="282">
        <f t="shared" si="16"/>
        <v>10734.72913</v>
      </c>
      <c r="H52" s="282">
        <f t="shared" si="16"/>
        <v>11146.059710000001</v>
      </c>
      <c r="I52" s="282">
        <f t="shared" si="16"/>
        <v>9077.4112999999998</v>
      </c>
      <c r="J52" s="282">
        <f t="shared" si="16"/>
        <v>8645.7489100000003</v>
      </c>
      <c r="K52" s="282">
        <f t="shared" si="16"/>
        <v>9450.2040500000003</v>
      </c>
      <c r="L52" s="282">
        <f>+SUM(L53:L55)</f>
        <v>9394.9581099999996</v>
      </c>
      <c r="M52" s="282">
        <f>+SUM(M53:M55)</f>
        <v>9640.4402400000017</v>
      </c>
      <c r="N52" s="282">
        <f>+SUM(N53:N55)</f>
        <v>8684.9440500000001</v>
      </c>
      <c r="O52" s="282">
        <f>+SUM(O53:O55)</f>
        <v>8830.4424099999997</v>
      </c>
      <c r="P52" s="319">
        <f>+SUM(P53:P55)</f>
        <v>120895.25244000001</v>
      </c>
      <c r="Q52" s="277"/>
      <c r="R52" s="249"/>
      <c r="S52" s="278"/>
      <c r="T52" s="305"/>
    </row>
    <row r="53" spans="3:20">
      <c r="C53" s="373" t="s">
        <v>93</v>
      </c>
      <c r="D53" s="268">
        <f>+[7]R!E88</f>
        <v>1388.2054699999999</v>
      </c>
      <c r="E53" s="268">
        <f>+[7]R!F88</f>
        <v>1384.77602</v>
      </c>
      <c r="F53" s="268">
        <f>+[7]R!G88</f>
        <v>1339.4636</v>
      </c>
      <c r="G53" s="268">
        <f>+[7]R!H88</f>
        <v>1349.0189700000001</v>
      </c>
      <c r="H53" s="268">
        <f>+[7]R!I88</f>
        <v>1646.0154100000002</v>
      </c>
      <c r="I53" s="268">
        <f>+[7]R!J88</f>
        <v>1519.5745200000001</v>
      </c>
      <c r="J53" s="268">
        <f>+[7]R!K88</f>
        <v>1461.9911299999999</v>
      </c>
      <c r="K53" s="268">
        <f>+[7]R!L88</f>
        <v>1603.8830499999999</v>
      </c>
      <c r="L53" s="268">
        <f>+[7]R!M88</f>
        <v>1470.5257799999999</v>
      </c>
      <c r="M53" s="268">
        <f>+[7]R!N88</f>
        <v>1504.1333999999999</v>
      </c>
      <c r="N53" s="268">
        <f>+[7]R!O88</f>
        <v>1262.5426400000001</v>
      </c>
      <c r="O53" s="268">
        <f>+[7]R!P88</f>
        <v>1164.61292</v>
      </c>
      <c r="P53" s="306">
        <f t="shared" si="7"/>
        <v>17094.742910000001</v>
      </c>
      <c r="Q53" s="277"/>
      <c r="R53" s="249"/>
      <c r="S53" s="278"/>
      <c r="T53" s="305"/>
    </row>
    <row r="54" spans="3:20">
      <c r="C54" s="373" t="s">
        <v>133</v>
      </c>
      <c r="D54" s="268">
        <f>+[7]R!E89</f>
        <v>4529.2874400000001</v>
      </c>
      <c r="E54" s="268">
        <f>+[7]R!F89</f>
        <v>4177.6049500000008</v>
      </c>
      <c r="F54" s="268">
        <f>+[7]R!G89</f>
        <v>3254.7407600000006</v>
      </c>
      <c r="G54" s="268">
        <f>+[7]R!H89</f>
        <v>2466.0054499999997</v>
      </c>
      <c r="H54" s="268">
        <f>+[7]R!I89</f>
        <v>2231.0940700000001</v>
      </c>
      <c r="I54" s="268">
        <f>+[7]R!J89</f>
        <v>0</v>
      </c>
      <c r="J54" s="268">
        <f>+[7]R!K89</f>
        <v>0</v>
      </c>
      <c r="K54" s="268">
        <f>+[7]R!L89</f>
        <v>0</v>
      </c>
      <c r="L54" s="268">
        <f>+[7]R!M89</f>
        <v>0</v>
      </c>
      <c r="M54" s="268">
        <f>+[7]R!N89</f>
        <v>0</v>
      </c>
      <c r="N54" s="268">
        <f>+[7]R!O89</f>
        <v>0</v>
      </c>
      <c r="O54" s="268">
        <f>+[7]R!P89</f>
        <v>0</v>
      </c>
      <c r="P54" s="306">
        <f t="shared" si="7"/>
        <v>16658.732670000001</v>
      </c>
      <c r="Q54" s="277"/>
      <c r="R54" s="249"/>
      <c r="S54" s="278"/>
      <c r="T54" s="305"/>
    </row>
    <row r="55" spans="3:20">
      <c r="C55" s="373" t="s">
        <v>134</v>
      </c>
      <c r="D55" s="268">
        <f>+[7]R!E90</f>
        <v>6482.0485499999995</v>
      </c>
      <c r="E55" s="268">
        <f>+[7]R!F90</f>
        <v>6043.7391499999994</v>
      </c>
      <c r="F55" s="268">
        <f>+[7]R!G90</f>
        <v>6690.44859</v>
      </c>
      <c r="G55" s="268">
        <f>+[7]R!H90</f>
        <v>6919.7047100000009</v>
      </c>
      <c r="H55" s="268">
        <f>+[7]R!I90</f>
        <v>7268.9502300000004</v>
      </c>
      <c r="I55" s="268">
        <f>+[7]R!J90</f>
        <v>7557.8367799999996</v>
      </c>
      <c r="J55" s="268">
        <f>+[7]R!K90</f>
        <v>7183.7577800000008</v>
      </c>
      <c r="K55" s="268">
        <f>+[7]R!L90</f>
        <v>7846.3210000000008</v>
      </c>
      <c r="L55" s="268">
        <f>+[7]R!M90</f>
        <v>7924.4323299999996</v>
      </c>
      <c r="M55" s="268">
        <f>+[7]R!N90</f>
        <v>8136.3068400000011</v>
      </c>
      <c r="N55" s="268">
        <f>+[7]R!O90</f>
        <v>7422.4014100000004</v>
      </c>
      <c r="O55" s="268">
        <f>+[7]R!P90</f>
        <v>7665.8294900000001</v>
      </c>
      <c r="P55" s="306">
        <f t="shared" si="7"/>
        <v>87141.776860000013</v>
      </c>
      <c r="Q55" s="277"/>
      <c r="R55" s="249"/>
      <c r="S55" s="278"/>
      <c r="T55" s="305"/>
    </row>
    <row r="56" spans="3:20">
      <c r="C56" s="318" t="s">
        <v>43</v>
      </c>
      <c r="D56" s="282">
        <f>+SUM(D57:D65)</f>
        <v>3882.0607270589985</v>
      </c>
      <c r="E56" s="282">
        <f>+SUM(E57:E65)</f>
        <v>4015.7414990314137</v>
      </c>
      <c r="F56" s="282">
        <f t="shared" ref="F56:K56" si="17">+SUM(F57:F65)</f>
        <v>3327.2548100000004</v>
      </c>
      <c r="G56" s="282">
        <f t="shared" si="17"/>
        <v>3810.4712700000005</v>
      </c>
      <c r="H56" s="282">
        <f t="shared" si="17"/>
        <v>3388.6484900000005</v>
      </c>
      <c r="I56" s="282">
        <f t="shared" si="17"/>
        <v>3157.2336299999997</v>
      </c>
      <c r="J56" s="282">
        <f t="shared" si="17"/>
        <v>3137.7869499999997</v>
      </c>
      <c r="K56" s="282">
        <f t="shared" si="17"/>
        <v>3145.6360999999997</v>
      </c>
      <c r="L56" s="282">
        <f>+SUM(L57:L65)</f>
        <v>3104.6777599999996</v>
      </c>
      <c r="M56" s="282">
        <f>+SUM(M57:M65)</f>
        <v>3147.31601</v>
      </c>
      <c r="N56" s="282">
        <f>+SUM(N57:N65)</f>
        <v>3295.9844499999999</v>
      </c>
      <c r="O56" s="282">
        <f>+SUM(O57:O65)</f>
        <v>3105.6205399999999</v>
      </c>
      <c r="P56" s="319">
        <f>+SUM(P57:P65)</f>
        <v>40518.432236090412</v>
      </c>
      <c r="Q56" s="277"/>
      <c r="R56" s="249"/>
      <c r="S56" s="278"/>
      <c r="T56" s="305"/>
    </row>
    <row r="57" spans="3:20">
      <c r="C57" s="373" t="s">
        <v>116</v>
      </c>
      <c r="D57" s="268">
        <f>+[7]R!E92</f>
        <v>787.18965000000003</v>
      </c>
      <c r="E57" s="268">
        <f>+[7]R!F92</f>
        <v>836.19124999999997</v>
      </c>
      <c r="F57" s="268">
        <f>+[7]R!G92</f>
        <v>915.68350999999996</v>
      </c>
      <c r="G57" s="268">
        <f>+[7]R!H92</f>
        <v>785.28082000000006</v>
      </c>
      <c r="H57" s="268">
        <f>+[7]R!I92</f>
        <v>831.62536999999998</v>
      </c>
      <c r="I57" s="268">
        <f>+[7]R!J92</f>
        <v>828.33642999999995</v>
      </c>
      <c r="J57" s="268">
        <f>+[7]R!K92</f>
        <v>867.36810000000003</v>
      </c>
      <c r="K57" s="268">
        <f>+[7]R!L92</f>
        <v>898.37594999999999</v>
      </c>
      <c r="L57" s="268">
        <f>+[7]R!M92</f>
        <v>889.72117999999989</v>
      </c>
      <c r="M57" s="268">
        <f>+[7]R!N92</f>
        <v>858.78426999999999</v>
      </c>
      <c r="N57" s="268">
        <f>+[7]R!O92</f>
        <v>951.28777000000002</v>
      </c>
      <c r="O57" s="268">
        <f>+[7]R!P92</f>
        <v>952.37075000000004</v>
      </c>
      <c r="P57" s="306">
        <f t="shared" si="7"/>
        <v>10402.215049999999</v>
      </c>
      <c r="Q57" s="327"/>
      <c r="R57" s="249"/>
    </row>
    <row r="58" spans="3:20">
      <c r="C58" s="373" t="s">
        <v>117</v>
      </c>
      <c r="D58" s="268">
        <f>+[7]R!E93</f>
        <v>1355.8300300000001</v>
      </c>
      <c r="E58" s="268">
        <f>+[7]R!F93</f>
        <v>1353.2685699999997</v>
      </c>
      <c r="F58" s="268">
        <f>+[7]R!G93</f>
        <v>1450.4446500000001</v>
      </c>
      <c r="G58" s="268">
        <f>+[7]R!H93</f>
        <v>1536.4170200000001</v>
      </c>
      <c r="H58" s="268">
        <f>+[7]R!I93</f>
        <v>1556.28178</v>
      </c>
      <c r="I58" s="268">
        <f>+[7]R!J93</f>
        <v>1374.2666800000002</v>
      </c>
      <c r="J58" s="268">
        <f>+[7]R!K93</f>
        <v>1283.0519899999999</v>
      </c>
      <c r="K58" s="268">
        <f>+[7]R!L93</f>
        <v>1214.12844</v>
      </c>
      <c r="L58" s="268">
        <f>+[7]R!M93</f>
        <v>1227.3985599999999</v>
      </c>
      <c r="M58" s="268">
        <f>+[7]R!N93</f>
        <v>1324.7961399999999</v>
      </c>
      <c r="N58" s="268">
        <f>+[7]R!O93</f>
        <v>1294.1802600000001</v>
      </c>
      <c r="O58" s="268">
        <f>+[7]R!P93</f>
        <v>1145.6493400000002</v>
      </c>
      <c r="P58" s="306">
        <f t="shared" si="7"/>
        <v>16115.713459999999</v>
      </c>
      <c r="Q58" s="327"/>
      <c r="R58" s="249"/>
    </row>
    <row r="59" spans="3:20">
      <c r="C59" s="373" t="s">
        <v>118</v>
      </c>
      <c r="D59" s="268">
        <f>+[7]R!E94</f>
        <v>261.01960000000003</v>
      </c>
      <c r="E59" s="268">
        <f>+[7]R!F94</f>
        <v>268.50232</v>
      </c>
      <c r="F59" s="268">
        <f>+[7]R!G94</f>
        <v>264.48521</v>
      </c>
      <c r="G59" s="268">
        <f>+[7]R!H94</f>
        <v>310.51703000000003</v>
      </c>
      <c r="H59" s="268">
        <f>+[7]R!I94</f>
        <v>334.14855999999997</v>
      </c>
      <c r="I59" s="268">
        <f>+[7]R!J94</f>
        <v>333.78251999999998</v>
      </c>
      <c r="J59" s="268">
        <f>+[7]R!K94</f>
        <v>320.41665999999998</v>
      </c>
      <c r="K59" s="268">
        <f>+[7]R!L94</f>
        <v>288.12952000000001</v>
      </c>
      <c r="L59" s="268">
        <f>+[7]R!M94</f>
        <v>273.79689000000002</v>
      </c>
      <c r="M59" s="268">
        <f>+[7]R!N94</f>
        <v>290.73987</v>
      </c>
      <c r="N59" s="268">
        <f>+[7]R!O94</f>
        <v>255.39467999999999</v>
      </c>
      <c r="O59" s="268">
        <f>+[7]R!P94</f>
        <v>114.98566000000001</v>
      </c>
      <c r="P59" s="306">
        <f t="shared" si="7"/>
        <v>3315.9185199999997</v>
      </c>
      <c r="Q59" s="277"/>
      <c r="R59" s="249"/>
    </row>
    <row r="60" spans="3:20">
      <c r="C60" s="373" t="s">
        <v>119</v>
      </c>
      <c r="D60" s="268">
        <f>+[7]R!E95</f>
        <v>204.30745999999999</v>
      </c>
      <c r="E60" s="268">
        <f>+[7]R!F95</f>
        <v>187.10008000000002</v>
      </c>
      <c r="F60" s="268">
        <f>+[7]R!G95</f>
        <v>178.65026999999998</v>
      </c>
      <c r="G60" s="268">
        <f>+[7]R!H95</f>
        <v>210.47212999999999</v>
      </c>
      <c r="H60" s="268">
        <f>+[7]R!I95</f>
        <v>206.93913000000001</v>
      </c>
      <c r="I60" s="268">
        <f>+[7]R!J95</f>
        <v>177.26256000000001</v>
      </c>
      <c r="J60" s="268">
        <f>+[7]R!K95</f>
        <v>189.20376000000002</v>
      </c>
      <c r="K60" s="268">
        <f>+[7]R!L95</f>
        <v>193.27842999999999</v>
      </c>
      <c r="L60" s="268">
        <f>+[7]R!M95</f>
        <v>195.29048999999998</v>
      </c>
      <c r="M60" s="268">
        <f>+[7]R!N95</f>
        <v>208.21604000000002</v>
      </c>
      <c r="N60" s="268">
        <f>+[7]R!O95</f>
        <v>186.95211</v>
      </c>
      <c r="O60" s="268">
        <f>+[7]R!P95</f>
        <v>175.41404999999997</v>
      </c>
      <c r="P60" s="306">
        <f t="shared" si="7"/>
        <v>2313.0865100000001</v>
      </c>
      <c r="Q60" s="277"/>
      <c r="R60" s="249"/>
    </row>
    <row r="61" spans="3:20">
      <c r="C61" s="373" t="s">
        <v>120</v>
      </c>
      <c r="D61" s="268">
        <f>+[7]R!E96</f>
        <v>394.31763999999998</v>
      </c>
      <c r="E61" s="268">
        <f>+[7]R!F96</f>
        <v>310.81604999999996</v>
      </c>
      <c r="F61" s="268">
        <f>+[7]R!G96</f>
        <v>303.86313000000001</v>
      </c>
      <c r="G61" s="268">
        <f>+[7]R!H96</f>
        <v>266.96583000000004</v>
      </c>
      <c r="H61" s="268">
        <f>+[7]R!I96</f>
        <v>253.49319999999997</v>
      </c>
      <c r="I61" s="268">
        <f>+[7]R!J96</f>
        <v>254.73251999999999</v>
      </c>
      <c r="J61" s="268">
        <f>+[7]R!K96</f>
        <v>294.1986</v>
      </c>
      <c r="K61" s="268">
        <f>+[7]R!L96</f>
        <v>369.21507000000003</v>
      </c>
      <c r="L61" s="268">
        <f>+[7]R!M96</f>
        <v>324.96040999999997</v>
      </c>
      <c r="M61" s="268">
        <f>+[7]R!N96</f>
        <v>256.68705</v>
      </c>
      <c r="N61" s="268">
        <f>+[7]R!O96</f>
        <v>403.69002</v>
      </c>
      <c r="O61" s="268">
        <f>+[7]R!P96</f>
        <v>523.78347999999994</v>
      </c>
      <c r="P61" s="306">
        <f t="shared" si="7"/>
        <v>3956.7230000000004</v>
      </c>
      <c r="Q61" s="277"/>
      <c r="R61" s="249"/>
    </row>
    <row r="62" spans="3:20">
      <c r="C62" s="373" t="s">
        <v>121</v>
      </c>
      <c r="D62" s="268">
        <f>+[7]R!E97</f>
        <v>148.56241999999997</v>
      </c>
      <c r="E62" s="268">
        <f>+[7]R!F97</f>
        <v>143.94636</v>
      </c>
      <c r="F62" s="268">
        <f>+[7]R!G97</f>
        <v>148.14072999999999</v>
      </c>
      <c r="G62" s="268">
        <f>+[7]R!H97</f>
        <v>139.38723000000002</v>
      </c>
      <c r="H62" s="268">
        <f>+[7]R!I97</f>
        <v>131.86365000000001</v>
      </c>
      <c r="I62" s="268">
        <f>+[7]R!J97</f>
        <v>124.01380999999999</v>
      </c>
      <c r="J62" s="268">
        <f>+[7]R!K97</f>
        <v>125.14871000000001</v>
      </c>
      <c r="K62" s="268">
        <f>+[7]R!L97</f>
        <v>124.93315</v>
      </c>
      <c r="L62" s="268">
        <f>+[7]R!M97</f>
        <v>123.41870999999999</v>
      </c>
      <c r="M62" s="268">
        <f>+[7]R!N97</f>
        <v>133.13103000000001</v>
      </c>
      <c r="N62" s="268">
        <f>+[7]R!O97</f>
        <v>135.10828000000001</v>
      </c>
      <c r="O62" s="268">
        <f>+[7]R!P97</f>
        <v>139.92059</v>
      </c>
      <c r="P62" s="306">
        <f t="shared" si="7"/>
        <v>1617.57467</v>
      </c>
      <c r="Q62" s="277"/>
      <c r="R62" s="249"/>
    </row>
    <row r="63" spans="3:20">
      <c r="C63" s="373" t="s">
        <v>122</v>
      </c>
      <c r="D63" s="268">
        <f>+[7]R!E98</f>
        <v>60.877420000000001</v>
      </c>
      <c r="E63" s="268">
        <f>+[7]R!F98</f>
        <v>49.691580000000002</v>
      </c>
      <c r="F63" s="268">
        <f>+[7]R!G98</f>
        <v>65.987309999999994</v>
      </c>
      <c r="G63" s="268">
        <f>+[7]R!H98</f>
        <v>76.431209999999993</v>
      </c>
      <c r="H63" s="268">
        <f>+[7]R!I98</f>
        <v>74.296800000000005</v>
      </c>
      <c r="I63" s="268">
        <f>+[7]R!J98</f>
        <v>64.839110000000005</v>
      </c>
      <c r="J63" s="268">
        <f>+[7]R!K98</f>
        <v>58.399130000000007</v>
      </c>
      <c r="K63" s="268">
        <f>+[7]R!L98</f>
        <v>57.575540000000004</v>
      </c>
      <c r="L63" s="268">
        <f>+[7]R!M98</f>
        <v>70.091520000000003</v>
      </c>
      <c r="M63" s="268">
        <f>+[7]R!N98</f>
        <v>74.961610000000007</v>
      </c>
      <c r="N63" s="268">
        <f>+[7]R!O98</f>
        <v>69.37133</v>
      </c>
      <c r="O63" s="268">
        <f>+[7]R!P98</f>
        <v>53.496670000000002</v>
      </c>
      <c r="P63" s="306">
        <f t="shared" si="7"/>
        <v>776.01922999999988</v>
      </c>
      <c r="Q63" s="277"/>
      <c r="R63" s="249"/>
    </row>
    <row r="64" spans="3:20">
      <c r="C64" s="373" t="s">
        <v>123</v>
      </c>
      <c r="D64" s="268">
        <f>+[7]R!E99</f>
        <v>0</v>
      </c>
      <c r="E64" s="268">
        <f>+[7]R!F99</f>
        <v>0</v>
      </c>
      <c r="F64" s="268">
        <f>+[7]R!G99</f>
        <v>0</v>
      </c>
      <c r="G64" s="268">
        <f>+[7]R!H99</f>
        <v>0</v>
      </c>
      <c r="H64" s="268">
        <f>+[7]R!I99</f>
        <v>0</v>
      </c>
      <c r="I64" s="268">
        <f>+[7]R!J99</f>
        <v>0</v>
      </c>
      <c r="J64" s="268">
        <f>+[7]R!K99</f>
        <v>0</v>
      </c>
      <c r="K64" s="268">
        <f>+[7]R!L99</f>
        <v>0</v>
      </c>
      <c r="L64" s="268">
        <f>+[7]R!M99</f>
        <v>0</v>
      </c>
      <c r="M64" s="268">
        <f>+[7]R!N99</f>
        <v>0</v>
      </c>
      <c r="N64" s="268">
        <f>+[7]R!O99</f>
        <v>0</v>
      </c>
      <c r="O64" s="268">
        <f>+[7]R!P99</f>
        <v>0</v>
      </c>
      <c r="P64" s="306">
        <f>SUM(D64:O64)</f>
        <v>0</v>
      </c>
      <c r="Q64" s="277"/>
      <c r="R64" s="249"/>
    </row>
    <row r="65" spans="1:248">
      <c r="C65" s="373" t="s">
        <v>133</v>
      </c>
      <c r="D65" s="268">
        <f>+[7]R!E100</f>
        <v>669.95650705899834</v>
      </c>
      <c r="E65" s="268">
        <f>+[7]R!F100</f>
        <v>866.22528903141381</v>
      </c>
      <c r="F65" s="268">
        <f>+[7]R!G100</f>
        <v>0</v>
      </c>
      <c r="G65" s="268">
        <f>+[7]R!H100</f>
        <v>485.00000000000006</v>
      </c>
      <c r="H65" s="268">
        <f>+[7]R!I100</f>
        <v>0</v>
      </c>
      <c r="I65" s="268">
        <f>+[7]R!J100</f>
        <v>0</v>
      </c>
      <c r="J65" s="268">
        <f>+[7]R!K100</f>
        <v>0</v>
      </c>
      <c r="K65" s="268">
        <f>+[7]R!L100</f>
        <v>0</v>
      </c>
      <c r="L65" s="268">
        <f>+[7]R!M100</f>
        <v>0</v>
      </c>
      <c r="M65" s="268">
        <f>+[7]R!N100</f>
        <v>0</v>
      </c>
      <c r="N65" s="268">
        <f>+[7]R!O100</f>
        <v>0</v>
      </c>
      <c r="O65" s="268">
        <f>+[7]R!P100</f>
        <v>0</v>
      </c>
      <c r="P65" s="306">
        <f>SUM(D65:O65)</f>
        <v>2021.1817960904123</v>
      </c>
      <c r="Q65" s="277"/>
      <c r="R65" s="249"/>
    </row>
    <row r="66" spans="1:248">
      <c r="C66" s="372" t="s">
        <v>126</v>
      </c>
      <c r="D66" s="345">
        <f>+SUM(D67:D68)</f>
        <v>5611.920000000001</v>
      </c>
      <c r="E66" s="345">
        <f t="shared" ref="E66:P66" si="18">+SUM(E67:E68)</f>
        <v>4928.87</v>
      </c>
      <c r="F66" s="345">
        <f t="shared" si="18"/>
        <v>4773.6600000000008</v>
      </c>
      <c r="G66" s="345">
        <f t="shared" si="18"/>
        <v>4626.53</v>
      </c>
      <c r="H66" s="345">
        <f t="shared" si="18"/>
        <v>5379.52</v>
      </c>
      <c r="I66" s="345">
        <f t="shared" si="18"/>
        <v>5254.3900000000012</v>
      </c>
      <c r="J66" s="345">
        <f t="shared" si="18"/>
        <v>7654.0599999999995</v>
      </c>
      <c r="K66" s="345">
        <f>+SUM(K67:K68)</f>
        <v>7573.5000000000009</v>
      </c>
      <c r="L66" s="345">
        <f>+SUM(L67:L68)</f>
        <v>7177.04</v>
      </c>
      <c r="M66" s="345">
        <f>+SUM(M67:M68)</f>
        <v>7445.7999999999993</v>
      </c>
      <c r="N66" s="345">
        <f>+SUM(N67:N68)</f>
        <v>5353.2199999999993</v>
      </c>
      <c r="O66" s="345">
        <f>+SUM(O67:O68)</f>
        <v>5683.35</v>
      </c>
      <c r="P66" s="352">
        <f t="shared" si="18"/>
        <v>71461.859999999986</v>
      </c>
      <c r="Q66" s="277"/>
      <c r="R66" s="249"/>
    </row>
    <row r="67" spans="1:248">
      <c r="C67" s="374" t="s">
        <v>127</v>
      </c>
      <c r="D67" s="348">
        <f>+[7]R!E102</f>
        <v>5611.920000000001</v>
      </c>
      <c r="E67" s="348">
        <f>+[7]R!F102</f>
        <v>4928.87</v>
      </c>
      <c r="F67" s="348">
        <f>+[7]R!G102</f>
        <v>4773.6600000000008</v>
      </c>
      <c r="G67" s="348">
        <f>+[7]R!H102</f>
        <v>4626.53</v>
      </c>
      <c r="H67" s="348">
        <f>+[7]R!I102</f>
        <v>5379.52</v>
      </c>
      <c r="I67" s="348">
        <f>+[7]R!J102</f>
        <v>5254.3900000000012</v>
      </c>
      <c r="J67" s="348">
        <f>+[7]R!K102</f>
        <v>5422.0599999999995</v>
      </c>
      <c r="K67" s="348">
        <f>+[7]R!L102</f>
        <v>5341.5000000000009</v>
      </c>
      <c r="L67" s="348">
        <f>+[7]R!M102</f>
        <v>5017.04</v>
      </c>
      <c r="M67" s="348">
        <f>+[7]R!N102</f>
        <v>5213.7999999999993</v>
      </c>
      <c r="N67" s="348">
        <f>+[7]R!O102</f>
        <v>3193.2199999999993</v>
      </c>
      <c r="O67" s="348">
        <f>+[7]R!P102</f>
        <v>3451.35</v>
      </c>
      <c r="P67" s="365">
        <f>SUM(D67:O67)</f>
        <v>58213.859999999993</v>
      </c>
      <c r="Q67" s="277"/>
      <c r="R67" s="249"/>
    </row>
    <row r="68" spans="1:248" ht="12" thickBot="1">
      <c r="C68" s="375" t="s">
        <v>138</v>
      </c>
      <c r="D68" s="367"/>
      <c r="E68" s="367"/>
      <c r="F68" s="367"/>
      <c r="G68" s="367"/>
      <c r="H68" s="367"/>
      <c r="I68" s="367"/>
      <c r="J68" s="367">
        <f>+[7]R!K103</f>
        <v>2232</v>
      </c>
      <c r="K68" s="367">
        <f>+[7]R!L103</f>
        <v>2232</v>
      </c>
      <c r="L68" s="367">
        <f>+[7]R!M103</f>
        <v>2160</v>
      </c>
      <c r="M68" s="367">
        <f>+[7]R!N103</f>
        <v>2232</v>
      </c>
      <c r="N68" s="367">
        <f>+[7]R!O103</f>
        <v>2160</v>
      </c>
      <c r="O68" s="367">
        <f>+[7]R!P103</f>
        <v>2232</v>
      </c>
      <c r="P68" s="368">
        <f>SUM(D68:O68)</f>
        <v>13248</v>
      </c>
      <c r="Q68" s="277"/>
      <c r="R68" s="249"/>
    </row>
    <row r="69" spans="1:248" ht="12" thickTop="1">
      <c r="D69" s="293">
        <f t="shared" ref="D69:O69" si="19">+D35/D28</f>
        <v>5.4372249184424229E-3</v>
      </c>
      <c r="E69" s="293">
        <f t="shared" si="19"/>
        <v>5.5054102567583304E-3</v>
      </c>
      <c r="F69" s="293">
        <f t="shared" si="19"/>
        <v>2.673329638569805E-3</v>
      </c>
      <c r="G69" s="293">
        <f t="shared" si="19"/>
        <v>3.1422760967359602E-3</v>
      </c>
      <c r="H69" s="293">
        <f t="shared" si="19"/>
        <v>4.4878910399142906E-3</v>
      </c>
      <c r="I69" s="293">
        <f t="shared" si="19"/>
        <v>4.4714720523620199E-3</v>
      </c>
      <c r="J69" s="293">
        <f t="shared" si="19"/>
        <v>4.3025576631275462E-3</v>
      </c>
      <c r="K69" s="293">
        <f t="shared" si="19"/>
        <v>3.9641537200793093E-3</v>
      </c>
      <c r="L69" s="293">
        <f t="shared" si="19"/>
        <v>4.1684324128318006E-3</v>
      </c>
      <c r="M69" s="293">
        <f t="shared" si="19"/>
        <v>3.9674488167462229E-3</v>
      </c>
      <c r="N69" s="293">
        <f t="shared" si="19"/>
        <v>4.125073146945467E-3</v>
      </c>
      <c r="O69" s="293">
        <f t="shared" si="19"/>
        <v>4.0428939293615102E-3</v>
      </c>
    </row>
    <row r="70" spans="1:248">
      <c r="D70" s="294"/>
      <c r="E70" s="295"/>
      <c r="F70" s="294"/>
      <c r="G70" s="294"/>
      <c r="H70" s="294"/>
      <c r="L70" s="246"/>
      <c r="M70" s="246"/>
    </row>
    <row r="71" spans="1:248">
      <c r="C71" s="221" t="s">
        <v>92</v>
      </c>
      <c r="D71" s="294"/>
      <c r="E71" s="295"/>
      <c r="F71" s="294"/>
      <c r="G71" s="294"/>
      <c r="H71" s="294"/>
      <c r="L71" s="246"/>
      <c r="M71" s="246"/>
    </row>
    <row r="72" spans="1:248" s="231" customFormat="1">
      <c r="A72" s="221"/>
      <c r="B72" s="221"/>
      <c r="C72" s="221"/>
      <c r="D72" s="370">
        <f>+D45+D52+D56+D66</f>
        <v>52460.687317058997</v>
      </c>
      <c r="E72" s="370">
        <f t="shared" ref="E72:L72" si="20">+E45+E52+E56+E66</f>
        <v>50773.455069031414</v>
      </c>
      <c r="F72" s="370">
        <f t="shared" si="20"/>
        <v>50127.536270000004</v>
      </c>
      <c r="G72" s="370">
        <f t="shared" si="20"/>
        <v>48648.248070000001</v>
      </c>
      <c r="H72" s="370">
        <f t="shared" si="20"/>
        <v>48526.640509999997</v>
      </c>
      <c r="I72" s="370">
        <f t="shared" si="20"/>
        <v>44969.498489999998</v>
      </c>
      <c r="J72" s="370">
        <f t="shared" si="20"/>
        <v>47858.150130000002</v>
      </c>
      <c r="K72" s="370">
        <f t="shared" si="20"/>
        <v>48601.576539999995</v>
      </c>
      <c r="L72" s="370">
        <f t="shared" si="20"/>
        <v>47505.693970000008</v>
      </c>
      <c r="M72" s="370">
        <f>+M45+M52+M56+M66</f>
        <v>49259.041530000002</v>
      </c>
      <c r="N72" s="370">
        <f>+N45+N52+N56+N66</f>
        <v>45762.014809999993</v>
      </c>
      <c r="O72" s="370">
        <f>+O45+O52+O56+O66</f>
        <v>47170.479320000006</v>
      </c>
    </row>
    <row r="73" spans="1:248">
      <c r="D73" s="296">
        <f t="shared" ref="D73:J73" si="21">+D56+D66</f>
        <v>9493.980727058999</v>
      </c>
      <c r="E73" s="296">
        <f t="shared" si="21"/>
        <v>8944.6114990314127</v>
      </c>
      <c r="F73" s="296">
        <f t="shared" si="21"/>
        <v>8100.9148100000011</v>
      </c>
      <c r="G73" s="296">
        <f t="shared" si="21"/>
        <v>8437.0012700000007</v>
      </c>
      <c r="H73" s="296">
        <f t="shared" si="21"/>
        <v>8768.16849</v>
      </c>
      <c r="I73" s="296">
        <f t="shared" si="21"/>
        <v>8411.6236300000019</v>
      </c>
      <c r="J73" s="296">
        <f t="shared" si="21"/>
        <v>10791.846949999999</v>
      </c>
      <c r="K73" s="296">
        <f>+K56+K66</f>
        <v>10719.1361</v>
      </c>
      <c r="L73" s="296">
        <f>+L56+L66</f>
        <v>10281.71776</v>
      </c>
      <c r="M73" s="296">
        <f>+M56+M66</f>
        <v>10593.11601</v>
      </c>
      <c r="N73" s="296">
        <f>+N56+N66</f>
        <v>8649.2044499999993</v>
      </c>
      <c r="O73" s="296">
        <f>+O56+O66</f>
        <v>8788.9705400000003</v>
      </c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  <c r="AK73" s="231"/>
      <c r="AL73" s="231"/>
      <c r="AM73" s="231"/>
      <c r="AN73" s="231"/>
      <c r="AO73" s="231"/>
      <c r="AP73" s="231"/>
      <c r="AQ73" s="231"/>
      <c r="AR73" s="231"/>
      <c r="AS73" s="231"/>
      <c r="AT73" s="231"/>
      <c r="AU73" s="231"/>
      <c r="AV73" s="231"/>
      <c r="AW73" s="231"/>
      <c r="AX73" s="231"/>
      <c r="AY73" s="231"/>
      <c r="AZ73" s="231"/>
      <c r="BA73" s="231"/>
      <c r="BB73" s="231"/>
      <c r="BC73" s="231"/>
      <c r="BD73" s="231"/>
      <c r="BE73" s="231"/>
      <c r="BF73" s="231"/>
      <c r="BG73" s="231"/>
      <c r="BH73" s="231"/>
      <c r="BI73" s="231"/>
      <c r="BJ73" s="231"/>
      <c r="BK73" s="231"/>
      <c r="BL73" s="231"/>
      <c r="BM73" s="231"/>
      <c r="BN73" s="231"/>
      <c r="BO73" s="231"/>
      <c r="BP73" s="231"/>
      <c r="BQ73" s="231"/>
      <c r="BR73" s="231"/>
      <c r="BS73" s="231"/>
      <c r="BT73" s="231"/>
      <c r="BU73" s="231"/>
      <c r="BV73" s="231"/>
      <c r="BW73" s="231"/>
      <c r="BX73" s="231"/>
      <c r="BY73" s="231"/>
      <c r="BZ73" s="231"/>
      <c r="CA73" s="231"/>
      <c r="CB73" s="231"/>
      <c r="CC73" s="231"/>
      <c r="CD73" s="231"/>
      <c r="CE73" s="231"/>
      <c r="CF73" s="231"/>
      <c r="CG73" s="231"/>
      <c r="CH73" s="231"/>
      <c r="CI73" s="231"/>
      <c r="CJ73" s="231"/>
      <c r="CK73" s="231"/>
      <c r="CL73" s="231"/>
      <c r="CM73" s="231"/>
      <c r="CN73" s="231"/>
      <c r="CO73" s="231"/>
      <c r="CP73" s="231"/>
      <c r="CQ73" s="231"/>
      <c r="CR73" s="231"/>
      <c r="CS73" s="231"/>
      <c r="CT73" s="231"/>
      <c r="CU73" s="231"/>
      <c r="CV73" s="231"/>
      <c r="CW73" s="231"/>
      <c r="CX73" s="231"/>
      <c r="CY73" s="231"/>
      <c r="CZ73" s="231"/>
      <c r="DA73" s="231"/>
      <c r="DB73" s="231"/>
      <c r="DC73" s="231"/>
      <c r="DD73" s="231"/>
      <c r="DE73" s="231"/>
      <c r="DF73" s="231"/>
      <c r="DG73" s="231"/>
      <c r="DH73" s="231"/>
      <c r="DI73" s="231"/>
      <c r="DJ73" s="231"/>
      <c r="DK73" s="231"/>
      <c r="DL73" s="231"/>
      <c r="DM73" s="231"/>
      <c r="DN73" s="231"/>
      <c r="DO73" s="231"/>
      <c r="DP73" s="231"/>
      <c r="DQ73" s="231"/>
      <c r="DR73" s="231"/>
      <c r="DS73" s="231"/>
      <c r="DT73" s="231"/>
      <c r="DU73" s="231"/>
      <c r="DV73" s="231"/>
      <c r="DW73" s="231"/>
      <c r="DX73" s="231"/>
      <c r="DY73" s="231"/>
      <c r="DZ73" s="231"/>
      <c r="EA73" s="231"/>
      <c r="EB73" s="231"/>
      <c r="EC73" s="231"/>
      <c r="ED73" s="231"/>
      <c r="EE73" s="231"/>
      <c r="EF73" s="231"/>
      <c r="EG73" s="231"/>
      <c r="EH73" s="231"/>
      <c r="EI73" s="231"/>
      <c r="EJ73" s="231"/>
      <c r="EK73" s="231"/>
      <c r="EL73" s="231"/>
      <c r="EM73" s="231"/>
      <c r="EN73" s="231"/>
      <c r="EO73" s="231"/>
      <c r="EP73" s="231"/>
      <c r="EQ73" s="231"/>
      <c r="ER73" s="231"/>
      <c r="ES73" s="231"/>
      <c r="ET73" s="231"/>
      <c r="EU73" s="231"/>
      <c r="EV73" s="231"/>
      <c r="EW73" s="231"/>
      <c r="EX73" s="231"/>
      <c r="EY73" s="231"/>
      <c r="EZ73" s="231"/>
      <c r="FA73" s="231"/>
      <c r="FB73" s="231"/>
      <c r="FC73" s="231"/>
      <c r="FD73" s="231"/>
      <c r="FE73" s="231"/>
      <c r="FF73" s="231"/>
      <c r="FG73" s="231"/>
      <c r="FH73" s="231"/>
      <c r="FI73" s="231"/>
      <c r="FJ73" s="231"/>
      <c r="FK73" s="231"/>
      <c r="FL73" s="231"/>
      <c r="FM73" s="231"/>
      <c r="FN73" s="231"/>
      <c r="FO73" s="231"/>
      <c r="FP73" s="231"/>
      <c r="FQ73" s="231"/>
      <c r="FR73" s="231"/>
      <c r="FS73" s="231"/>
      <c r="FT73" s="231"/>
      <c r="FU73" s="231"/>
      <c r="FV73" s="231"/>
      <c r="FW73" s="231"/>
      <c r="FX73" s="231"/>
      <c r="FY73" s="231"/>
      <c r="FZ73" s="231"/>
      <c r="GA73" s="231"/>
      <c r="GB73" s="231"/>
      <c r="GC73" s="231"/>
      <c r="GD73" s="231"/>
      <c r="GE73" s="231"/>
      <c r="GF73" s="231"/>
      <c r="GG73" s="231"/>
      <c r="GH73" s="231"/>
      <c r="GI73" s="231"/>
      <c r="GJ73" s="231"/>
      <c r="GK73" s="231"/>
      <c r="GL73" s="231"/>
      <c r="GM73" s="231"/>
      <c r="GN73" s="231"/>
      <c r="GO73" s="231"/>
      <c r="GP73" s="231"/>
      <c r="GQ73" s="231"/>
      <c r="GR73" s="231"/>
      <c r="GS73" s="231"/>
      <c r="GT73" s="231"/>
      <c r="GU73" s="231"/>
      <c r="GV73" s="231"/>
      <c r="GW73" s="231"/>
      <c r="GX73" s="231"/>
      <c r="GY73" s="231"/>
      <c r="GZ73" s="231"/>
      <c r="HA73" s="231"/>
      <c r="HB73" s="231"/>
      <c r="HC73" s="231"/>
      <c r="HD73" s="231"/>
      <c r="HE73" s="231"/>
      <c r="HF73" s="231"/>
      <c r="HG73" s="231"/>
      <c r="HH73" s="231"/>
      <c r="HI73" s="231"/>
      <c r="HJ73" s="231"/>
      <c r="HK73" s="231"/>
      <c r="HL73" s="231"/>
      <c r="HM73" s="231"/>
      <c r="HN73" s="231"/>
      <c r="HO73" s="231"/>
      <c r="HP73" s="231"/>
      <c r="HQ73" s="231"/>
      <c r="HR73" s="231"/>
      <c r="HS73" s="231"/>
      <c r="HT73" s="231"/>
      <c r="HU73" s="231"/>
      <c r="HV73" s="231"/>
      <c r="HW73" s="231"/>
      <c r="HX73" s="231"/>
      <c r="HY73" s="231"/>
      <c r="HZ73" s="231"/>
      <c r="IA73" s="231"/>
      <c r="IB73" s="231"/>
      <c r="IC73" s="231"/>
      <c r="ID73" s="231"/>
      <c r="IE73" s="231"/>
      <c r="IF73" s="231"/>
      <c r="IG73" s="231"/>
      <c r="IH73" s="231"/>
      <c r="II73" s="231"/>
      <c r="IJ73" s="231"/>
      <c r="IK73" s="231"/>
      <c r="IL73" s="231"/>
      <c r="IM73" s="231"/>
      <c r="IN73" s="231"/>
    </row>
    <row r="74" spans="1:248">
      <c r="D74" s="297">
        <f>+D40-D41</f>
        <v>0</v>
      </c>
      <c r="E74" s="297">
        <f t="shared" ref="E74:O74" si="22">+E40-E41</f>
        <v>0</v>
      </c>
      <c r="F74" s="297">
        <f t="shared" si="22"/>
        <v>0</v>
      </c>
      <c r="G74" s="297">
        <f t="shared" si="22"/>
        <v>0</v>
      </c>
      <c r="H74" s="297">
        <f t="shared" si="22"/>
        <v>0</v>
      </c>
      <c r="I74" s="297">
        <f t="shared" si="22"/>
        <v>0</v>
      </c>
      <c r="J74" s="297">
        <f t="shared" si="22"/>
        <v>0</v>
      </c>
      <c r="K74" s="297">
        <f t="shared" si="22"/>
        <v>0</v>
      </c>
      <c r="L74" s="297">
        <f t="shared" si="22"/>
        <v>0</v>
      </c>
      <c r="M74" s="297">
        <f t="shared" si="22"/>
        <v>0</v>
      </c>
      <c r="N74" s="297">
        <f t="shared" si="22"/>
        <v>0</v>
      </c>
      <c r="O74" s="297">
        <f t="shared" si="22"/>
        <v>0</v>
      </c>
      <c r="P74" s="297"/>
    </row>
    <row r="75" spans="1:248">
      <c r="B75" s="278"/>
      <c r="C75" s="249"/>
      <c r="D75" s="297">
        <f>+D74*0.4</f>
        <v>0</v>
      </c>
      <c r="E75" s="297">
        <f t="shared" ref="E75:O75" si="23">+E74*0.4</f>
        <v>0</v>
      </c>
      <c r="F75" s="297">
        <f t="shared" si="23"/>
        <v>0</v>
      </c>
      <c r="G75" s="297">
        <f t="shared" si="23"/>
        <v>0</v>
      </c>
      <c r="H75" s="297">
        <f t="shared" si="23"/>
        <v>0</v>
      </c>
      <c r="I75" s="297">
        <f t="shared" si="23"/>
        <v>0</v>
      </c>
      <c r="J75" s="297">
        <f t="shared" si="23"/>
        <v>0</v>
      </c>
      <c r="K75" s="297">
        <f t="shared" si="23"/>
        <v>0</v>
      </c>
      <c r="L75" s="297">
        <f t="shared" si="23"/>
        <v>0</v>
      </c>
      <c r="M75" s="297">
        <f t="shared" si="23"/>
        <v>0</v>
      </c>
      <c r="N75" s="297">
        <f t="shared" si="23"/>
        <v>0</v>
      </c>
      <c r="O75" s="297">
        <f t="shared" si="23"/>
        <v>0</v>
      </c>
      <c r="P75" s="297"/>
    </row>
    <row r="76" spans="1:248">
      <c r="B76" s="278"/>
      <c r="C76" s="249"/>
      <c r="D76" s="297">
        <f>+D74*0.6</f>
        <v>0</v>
      </c>
      <c r="E76" s="297">
        <f t="shared" ref="E76:O76" si="24">+E74*0.6</f>
        <v>0</v>
      </c>
      <c r="F76" s="297">
        <f t="shared" si="24"/>
        <v>0</v>
      </c>
      <c r="G76" s="297">
        <f t="shared" si="24"/>
        <v>0</v>
      </c>
      <c r="H76" s="297">
        <f t="shared" si="24"/>
        <v>0</v>
      </c>
      <c r="I76" s="297">
        <f t="shared" si="24"/>
        <v>0</v>
      </c>
      <c r="J76" s="297">
        <f t="shared" si="24"/>
        <v>0</v>
      </c>
      <c r="K76" s="297">
        <f t="shared" si="24"/>
        <v>0</v>
      </c>
      <c r="L76" s="297">
        <f t="shared" si="24"/>
        <v>0</v>
      </c>
      <c r="M76" s="297">
        <f t="shared" si="24"/>
        <v>0</v>
      </c>
      <c r="N76" s="297">
        <f t="shared" si="24"/>
        <v>0</v>
      </c>
      <c r="O76" s="297">
        <f t="shared" si="24"/>
        <v>0</v>
      </c>
      <c r="P76" s="297"/>
    </row>
    <row r="78" spans="1:248">
      <c r="D78" s="351">
        <f>+D37/D27</f>
        <v>1.794438043741722E-2</v>
      </c>
      <c r="E78" s="351">
        <f t="shared" ref="E78:P78" si="25">+E37/E27</f>
        <v>1.6865770534196356E-2</v>
      </c>
      <c r="F78" s="351">
        <f t="shared" si="25"/>
        <v>1.4370116876093478E-2</v>
      </c>
      <c r="G78" s="351">
        <f t="shared" si="25"/>
        <v>1.4397376734122763E-2</v>
      </c>
      <c r="H78" s="351">
        <f t="shared" si="25"/>
        <v>1.6523159143973464E-2</v>
      </c>
      <c r="I78" s="351">
        <f t="shared" si="25"/>
        <v>1.6335137357367007E-2</v>
      </c>
      <c r="J78" s="351">
        <f t="shared" si="25"/>
        <v>1.6355706430564963E-2</v>
      </c>
      <c r="K78" s="351">
        <f t="shared" si="25"/>
        <v>1.5615749204305838E-2</v>
      </c>
      <c r="L78" s="351">
        <f t="shared" si="25"/>
        <v>1.5840850747041495E-2</v>
      </c>
      <c r="M78" s="351">
        <f t="shared" si="25"/>
        <v>1.510355098313265E-2</v>
      </c>
      <c r="N78" s="351">
        <f t="shared" si="25"/>
        <v>1.4976984123319404E-2</v>
      </c>
      <c r="O78" s="351">
        <f t="shared" si="25"/>
        <v>1.5794740394352389E-2</v>
      </c>
      <c r="P78" s="351">
        <f t="shared" si="25"/>
        <v>1.5633015247934218E-2</v>
      </c>
    </row>
    <row r="80" spans="1:248">
      <c r="D80" s="277">
        <v>52460.687317058997</v>
      </c>
      <c r="E80" s="277">
        <v>50773.455069031414</v>
      </c>
      <c r="F80" s="277">
        <v>123440.85015586927</v>
      </c>
      <c r="G80" s="277">
        <v>98703.601249433152</v>
      </c>
      <c r="H80" s="277">
        <v>66101.633077922306</v>
      </c>
      <c r="I80" s="277">
        <v>65352.374707351824</v>
      </c>
      <c r="J80" s="277">
        <v>70519.937097377289</v>
      </c>
      <c r="K80" s="277">
        <v>73693.831463524461</v>
      </c>
      <c r="L80" s="277">
        <v>67036.915412788512</v>
      </c>
      <c r="M80" s="277">
        <v>69954.201542637456</v>
      </c>
      <c r="N80" s="277">
        <v>67005.318694858041</v>
      </c>
      <c r="O80" s="277">
        <v>68238.663984300088</v>
      </c>
    </row>
    <row r="81" spans="4:15">
      <c r="D81" s="278">
        <f>+D80-D41</f>
        <v>0</v>
      </c>
      <c r="E81" s="278">
        <f t="shared" ref="E81:O81" si="26">+E80-E41</f>
        <v>0</v>
      </c>
      <c r="F81" s="278">
        <f t="shared" si="26"/>
        <v>2.0267438667360693E-3</v>
      </c>
      <c r="G81" s="278">
        <f t="shared" si="26"/>
        <v>1.7462298274040222E-10</v>
      </c>
      <c r="H81" s="278">
        <f t="shared" si="26"/>
        <v>9.0221874415874481E-10</v>
      </c>
      <c r="I81" s="278">
        <f t="shared" si="26"/>
        <v>1.0186340659856796E-9</v>
      </c>
      <c r="J81" s="278">
        <f t="shared" si="26"/>
        <v>-0.88338531502813566</v>
      </c>
      <c r="K81" s="278">
        <f t="shared" si="26"/>
        <v>6.5701855515653733</v>
      </c>
      <c r="L81" s="278">
        <f t="shared" si="26"/>
        <v>6.4095466775033856</v>
      </c>
      <c r="M81" s="278">
        <f t="shared" si="26"/>
        <v>0.3618710279406514</v>
      </c>
      <c r="N81" s="278">
        <f t="shared" si="26"/>
        <v>0.34822445875033736</v>
      </c>
      <c r="O81" s="278">
        <f t="shared" si="26"/>
        <v>73.446282793040155</v>
      </c>
    </row>
    <row r="83" spans="4:15">
      <c r="D83" s="221">
        <v>30567.165129999998</v>
      </c>
      <c r="E83" s="221">
        <v>30222.723449999998</v>
      </c>
      <c r="F83" s="221">
        <v>30741.968510000002</v>
      </c>
      <c r="G83" s="221">
        <v>29476.517670000001</v>
      </c>
      <c r="H83" s="221">
        <v>28612.412310000003</v>
      </c>
      <c r="I83" s="221">
        <v>27480.46356</v>
      </c>
      <c r="J83" s="221">
        <v>28420.554270000001</v>
      </c>
      <c r="K83" s="221">
        <v>28432.236389999995</v>
      </c>
      <c r="L83" s="221">
        <v>27829.018100000005</v>
      </c>
      <c r="M83" s="221">
        <v>29025.485279999997</v>
      </c>
      <c r="N83" s="221">
        <v>28427.866309999998</v>
      </c>
      <c r="O83" s="221">
        <v>29551.066370000004</v>
      </c>
    </row>
    <row r="84" spans="4:15">
      <c r="D84" s="278">
        <f>+D83-D45</f>
        <v>0</v>
      </c>
      <c r="E84" s="278">
        <f t="shared" ref="E84:O84" si="27">+E83-E45</f>
        <v>0</v>
      </c>
      <c r="F84" s="278">
        <f t="shared" si="27"/>
        <v>0</v>
      </c>
      <c r="G84" s="278">
        <f t="shared" si="27"/>
        <v>0</v>
      </c>
      <c r="H84" s="278">
        <f t="shared" si="27"/>
        <v>0</v>
      </c>
      <c r="I84" s="278">
        <f t="shared" si="27"/>
        <v>0</v>
      </c>
      <c r="J84" s="278">
        <f t="shared" si="27"/>
        <v>0</v>
      </c>
      <c r="K84" s="278">
        <f t="shared" si="27"/>
        <v>0</v>
      </c>
      <c r="L84" s="278">
        <f t="shared" si="27"/>
        <v>0</v>
      </c>
      <c r="M84" s="278">
        <f t="shared" si="27"/>
        <v>0</v>
      </c>
      <c r="N84" s="278">
        <f t="shared" si="27"/>
        <v>0</v>
      </c>
      <c r="O84" s="278">
        <f t="shared" si="27"/>
        <v>0</v>
      </c>
    </row>
  </sheetData>
  <printOptions horizontalCentered="1"/>
  <pageMargins left="0.39370078740157483" right="0.39370078740157483" top="1.3779527559055118" bottom="1" header="0" footer="0"/>
  <pageSetup paperSize="9" scale="7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D039-7039-4F63-AD56-DBAC6A8E2D27}">
  <sheetPr codeName="Sheet22">
    <pageSetUpPr fitToPage="1"/>
  </sheetPr>
  <dimension ref="A1:IN76"/>
  <sheetViews>
    <sheetView view="pageBreakPreview" topLeftCell="A29" zoomScaleNormal="80" zoomScaleSheetLayoutView="100" zoomScalePageLayoutView="85" workbookViewId="0">
      <selection activeCell="D53" sqref="D53"/>
    </sheetView>
  </sheetViews>
  <sheetFormatPr baseColWidth="10" defaultColWidth="9" defaultRowHeight="11.25"/>
  <cols>
    <col min="1" max="1" width="3" style="221" customWidth="1"/>
    <col min="2" max="2" width="3.85546875" style="221" customWidth="1"/>
    <col min="3" max="3" width="26.85546875" style="221" bestFit="1" customWidth="1"/>
    <col min="4" max="4" width="10.7109375" style="221" customWidth="1"/>
    <col min="5" max="8" width="10.7109375" style="221" bestFit="1" customWidth="1"/>
    <col min="9" max="9" width="11.85546875" style="221" bestFit="1" customWidth="1"/>
    <col min="10" max="15" width="11.7109375" style="221" bestFit="1" customWidth="1"/>
    <col min="16" max="16" width="15.7109375" style="221" customWidth="1"/>
    <col min="17" max="17" width="10.42578125" style="221" bestFit="1" customWidth="1"/>
    <col min="18" max="19" width="9.85546875" style="221" bestFit="1" customWidth="1"/>
    <col min="20" max="16384" width="9" style="221"/>
  </cols>
  <sheetData>
    <row r="1" spans="3:23" hidden="1"/>
    <row r="2" spans="3:23" hidden="1"/>
    <row r="3" spans="3:23" hidden="1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23">
      <c r="C4" s="222" t="s">
        <v>136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23" ht="12" thickBot="1"/>
    <row r="6" spans="3:23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23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23">
      <c r="C8" s="234" t="s">
        <v>16</v>
      </c>
      <c r="D8" s="235">
        <f>+'[8]2024'!E8</f>
        <v>926.97495404577251</v>
      </c>
      <c r="E8" s="235">
        <f>+'[8]2024'!F8</f>
        <v>461.40711146468215</v>
      </c>
      <c r="F8" s="235">
        <f>+'[8]2024'!G8</f>
        <v>828.95046134578411</v>
      </c>
      <c r="G8" s="235">
        <f>+'[8]2024'!H8</f>
        <v>1171.7400253601074</v>
      </c>
      <c r="H8" s="235">
        <f>+'[8]2024'!I8</f>
        <v>1116.3305110563338</v>
      </c>
      <c r="I8" s="235">
        <f>+'[8]2024'!J8</f>
        <v>1041.0903302083016</v>
      </c>
      <c r="J8" s="235">
        <f>+'[9]2024'!K8</f>
        <v>0</v>
      </c>
      <c r="K8" s="235">
        <f>+'[9]2024'!L8</f>
        <v>0</v>
      </c>
      <c r="L8" s="235">
        <f>+'[9]2024'!M8</f>
        <v>0</v>
      </c>
      <c r="M8" s="235">
        <f>+'[9]2024'!N8</f>
        <v>0</v>
      </c>
      <c r="N8" s="235">
        <f>+'[9]2024'!O8</f>
        <v>0</v>
      </c>
      <c r="O8" s="235">
        <f>+'[9]2024'!P8</f>
        <v>0</v>
      </c>
      <c r="P8" s="239">
        <f t="shared" ref="P8:P14" si="0">+SUM(D8:O8)</f>
        <v>5546.4933934809806</v>
      </c>
    </row>
    <row r="9" spans="3:23">
      <c r="C9" s="234" t="s">
        <v>17</v>
      </c>
      <c r="D9" s="235">
        <f>+'[8]2024'!E9</f>
        <v>402.870262936926</v>
      </c>
      <c r="E9" s="235">
        <f>+'[8]2024'!F9</f>
        <v>208.30515888170851</v>
      </c>
      <c r="F9" s="235">
        <f>+'[8]2024'!G9</f>
        <v>349.37798729529652</v>
      </c>
      <c r="G9" s="235">
        <f>+'[8]2024'!H9</f>
        <v>384.88266591119765</v>
      </c>
      <c r="H9" s="235">
        <f>+'[8]2024'!I9</f>
        <v>399.46322554445265</v>
      </c>
      <c r="I9" s="235">
        <f>+'[8]2024'!J9</f>
        <v>398.1997900333954</v>
      </c>
      <c r="J9" s="235">
        <f>+'[9]2024'!K9</f>
        <v>0</v>
      </c>
      <c r="K9" s="235">
        <f>+'[9]2024'!L9</f>
        <v>0</v>
      </c>
      <c r="L9" s="235">
        <f>+'[9]2024'!M9</f>
        <v>0</v>
      </c>
      <c r="M9" s="235">
        <f>+'[9]2024'!N9</f>
        <v>0</v>
      </c>
      <c r="N9" s="235">
        <f>+'[9]2024'!O9</f>
        <v>0</v>
      </c>
      <c r="O9" s="235">
        <f>+'[9]2024'!P9</f>
        <v>0</v>
      </c>
      <c r="P9" s="239">
        <f t="shared" si="0"/>
        <v>2143.0990906029765</v>
      </c>
    </row>
    <row r="10" spans="3:23">
      <c r="C10" s="234" t="s">
        <v>18</v>
      </c>
      <c r="D10" s="235">
        <f>+'[8]2024'!E10</f>
        <v>2802.6901195259093</v>
      </c>
      <c r="E10" s="235">
        <f>+'[8]2024'!F10</f>
        <v>1599.6715765838605</v>
      </c>
      <c r="F10" s="235">
        <f>+'[8]2024'!G10</f>
        <v>2343.2853220167308</v>
      </c>
      <c r="G10" s="235">
        <f>+'[8]2024'!H10</f>
        <v>3186.261717338562</v>
      </c>
      <c r="H10" s="235">
        <f>+'[8]2024'!I10</f>
        <v>3320.8418933486937</v>
      </c>
      <c r="I10" s="235">
        <f>+'[8]2024'!J10</f>
        <v>2971.2549195591064</v>
      </c>
      <c r="J10" s="235">
        <f>+'[9]2024'!K10</f>
        <v>0</v>
      </c>
      <c r="K10" s="235">
        <f>+'[9]2024'!L10</f>
        <v>0</v>
      </c>
      <c r="L10" s="235">
        <f>+'[9]2024'!M10</f>
        <v>0</v>
      </c>
      <c r="M10" s="235">
        <f>+'[9]2024'!N10</f>
        <v>0</v>
      </c>
      <c r="N10" s="235">
        <f>+'[9]2024'!O10</f>
        <v>0</v>
      </c>
      <c r="O10" s="235">
        <f>+'[9]2024'!P10</f>
        <v>0</v>
      </c>
      <c r="P10" s="239">
        <f t="shared" si="0"/>
        <v>16224.005548372861</v>
      </c>
    </row>
    <row r="11" spans="3:23">
      <c r="C11" s="234" t="s">
        <v>19</v>
      </c>
      <c r="D11" s="235">
        <f>+'[8]2024'!E11</f>
        <v>5668.9583052101425</v>
      </c>
      <c r="E11" s="235">
        <f>+'[8]2024'!F11</f>
        <v>4589.5587625728376</v>
      </c>
      <c r="F11" s="235">
        <f>+'[8]2024'!G11</f>
        <v>10368.599402813437</v>
      </c>
      <c r="G11" s="235">
        <f>+'[8]2024'!H11</f>
        <v>9478.3303183154567</v>
      </c>
      <c r="H11" s="235">
        <f>+'[8]2024'!I11</f>
        <v>7684.0717533622774</v>
      </c>
      <c r="I11" s="235">
        <f>+'[8]2024'!J11</f>
        <v>7876.1240154026473</v>
      </c>
      <c r="J11" s="235">
        <f>+'[9]2024'!K11</f>
        <v>0</v>
      </c>
      <c r="K11" s="235">
        <f>+'[9]2024'!L11</f>
        <v>0</v>
      </c>
      <c r="L11" s="235">
        <f>+'[9]2024'!M11</f>
        <v>0</v>
      </c>
      <c r="M11" s="235">
        <f>+'[9]2024'!N11</f>
        <v>0</v>
      </c>
      <c r="N11" s="235">
        <f>+'[9]2024'!O11</f>
        <v>0</v>
      </c>
      <c r="O11" s="235">
        <f>+'[9]2024'!P11</f>
        <v>0</v>
      </c>
      <c r="P11" s="239">
        <f t="shared" si="0"/>
        <v>45665.642557676794</v>
      </c>
    </row>
    <row r="12" spans="3:23">
      <c r="C12" s="234" t="s">
        <v>20</v>
      </c>
      <c r="D12" s="235">
        <f>+'[8]2024'!E12</f>
        <v>39618.482833230388</v>
      </c>
      <c r="E12" s="235">
        <f>+'[8]2024'!F12</f>
        <v>39102.116138388752</v>
      </c>
      <c r="F12" s="235">
        <f>+'[8]2024'!G12</f>
        <v>105491.26078385663</v>
      </c>
      <c r="G12" s="235">
        <f>+'[8]2024'!H12</f>
        <v>80526.830714843993</v>
      </c>
      <c r="H12" s="235">
        <f>+'[8]2024'!I12</f>
        <v>50251.077631664411</v>
      </c>
      <c r="I12" s="235">
        <f>+'[8]2024'!J12</f>
        <v>49541.405805029928</v>
      </c>
      <c r="J12" s="235">
        <f>+'[9]2024'!K12</f>
        <v>0</v>
      </c>
      <c r="K12" s="235">
        <f>+'[9]2024'!L12</f>
        <v>0</v>
      </c>
      <c r="L12" s="235">
        <f>+'[9]2024'!M12</f>
        <v>0</v>
      </c>
      <c r="M12" s="235">
        <f>+'[9]2024'!N12</f>
        <v>0</v>
      </c>
      <c r="N12" s="235">
        <f>+'[9]2024'!O12</f>
        <v>0</v>
      </c>
      <c r="O12" s="235">
        <f>+'[9]2024'!P12</f>
        <v>0</v>
      </c>
      <c r="P12" s="239">
        <f t="shared" si="0"/>
        <v>364531.17390701408</v>
      </c>
      <c r="S12" s="221">
        <f>+J12/(24*31)</f>
        <v>0</v>
      </c>
      <c r="T12" s="221">
        <f>+K12/(24*31)</f>
        <v>0</v>
      </c>
      <c r="U12" s="221">
        <f>+L12/(24*30)</f>
        <v>0</v>
      </c>
      <c r="V12" s="221">
        <f>+U14-U12</f>
        <v>0</v>
      </c>
      <c r="W12" s="221">
        <f>+SUM(L8:L11,L13)/(24*30)</f>
        <v>0</v>
      </c>
    </row>
    <row r="13" spans="3:23">
      <c r="C13" s="234" t="s">
        <v>21</v>
      </c>
      <c r="D13" s="235">
        <f>+'[8]2024'!E13</f>
        <v>3421.4184920940397</v>
      </c>
      <c r="E13" s="235">
        <f>+'[8]2024'!F13</f>
        <v>2501.1813698993669</v>
      </c>
      <c r="F13" s="235">
        <f>+'[8]2024'!G13</f>
        <v>6048.9545388031001</v>
      </c>
      <c r="G13" s="235">
        <f>+'[8]2024'!H13</f>
        <v>5559.3143736362454</v>
      </c>
      <c r="H13" s="235">
        <f>+'[8]2024'!I13</f>
        <v>4620.7465813078343</v>
      </c>
      <c r="I13" s="235">
        <f>+'[8]2024'!J13</f>
        <v>4738.5689890530157</v>
      </c>
      <c r="J13" s="235">
        <f>+'[9]2024'!K13</f>
        <v>0</v>
      </c>
      <c r="K13" s="235">
        <f>+'[9]2024'!L13</f>
        <v>0</v>
      </c>
      <c r="L13" s="235">
        <f>+'[9]2024'!M13</f>
        <v>0</v>
      </c>
      <c r="M13" s="235">
        <f>+'[9]2024'!N13</f>
        <v>0</v>
      </c>
      <c r="N13" s="235">
        <f>+'[9]2024'!O13</f>
        <v>0</v>
      </c>
      <c r="O13" s="235">
        <f>+'[9]2024'!P13</f>
        <v>0</v>
      </c>
      <c r="P13" s="239">
        <f t="shared" si="0"/>
        <v>26890.184344793604</v>
      </c>
    </row>
    <row r="14" spans="3:23">
      <c r="C14" s="240" t="s">
        <v>22</v>
      </c>
      <c r="D14" s="241">
        <f t="shared" ref="D14:M14" si="1">SUM(D8:D13)</f>
        <v>52841.394967043176</v>
      </c>
      <c r="E14" s="241">
        <f t="shared" si="1"/>
        <v>48462.240117791203</v>
      </c>
      <c r="F14" s="241">
        <f>SUM(F8:F13)</f>
        <v>125430.42849613097</v>
      </c>
      <c r="G14" s="241">
        <f t="shared" si="1"/>
        <v>100307.35981540555</v>
      </c>
      <c r="H14" s="241">
        <f>SUM(H8:H13)</f>
        <v>67392.531596283996</v>
      </c>
      <c r="I14" s="241">
        <f>SUM(I8:I13)</f>
        <v>66566.643849286396</v>
      </c>
      <c r="J14" s="241">
        <f t="shared" si="1"/>
        <v>0</v>
      </c>
      <c r="K14" s="241">
        <f t="shared" si="1"/>
        <v>0</v>
      </c>
      <c r="L14" s="241">
        <f t="shared" si="1"/>
        <v>0</v>
      </c>
      <c r="M14" s="241">
        <f t="shared" si="1"/>
        <v>0</v>
      </c>
      <c r="N14" s="241">
        <f>SUM(N8:N13)</f>
        <v>0</v>
      </c>
      <c r="O14" s="242">
        <f>SUM(O8:O13)</f>
        <v>0</v>
      </c>
      <c r="P14" s="243">
        <f t="shared" si="0"/>
        <v>461000.59884194133</v>
      </c>
      <c r="S14" s="221">
        <f>+J14/(24*31)</f>
        <v>0</v>
      </c>
      <c r="T14" s="221">
        <f>+K14/(24*31)</f>
        <v>0</v>
      </c>
      <c r="U14" s="221">
        <f>+L14/(24*30)</f>
        <v>0</v>
      </c>
    </row>
    <row r="15" spans="3:23">
      <c r="C15" s="228" t="s">
        <v>23</v>
      </c>
      <c r="D15" s="244"/>
      <c r="E15" s="244"/>
      <c r="F15" s="244"/>
      <c r="G15" s="245"/>
      <c r="H15" s="245"/>
      <c r="I15" s="245"/>
      <c r="J15" s="245"/>
      <c r="K15" s="246"/>
      <c r="L15" s="236"/>
      <c r="M15" s="236"/>
      <c r="N15" s="236"/>
      <c r="O15" s="238"/>
      <c r="P15" s="247"/>
    </row>
    <row r="16" spans="3:23">
      <c r="C16" s="248" t="s">
        <v>24</v>
      </c>
      <c r="D16" s="235"/>
      <c r="E16" s="235"/>
      <c r="F16" s="235"/>
      <c r="G16" s="236"/>
      <c r="H16" s="236"/>
      <c r="I16" s="236"/>
      <c r="J16" s="236"/>
      <c r="K16" s="237"/>
      <c r="L16" s="236"/>
      <c r="M16" s="236"/>
      <c r="N16" s="236"/>
      <c r="O16" s="238"/>
      <c r="P16" s="239">
        <f t="shared" ref="P16:P22" si="2">+SUM(D16:O16)</f>
        <v>0</v>
      </c>
    </row>
    <row r="17" spans="3:20">
      <c r="C17" s="234" t="s">
        <v>25</v>
      </c>
      <c r="D17" s="235">
        <f>+'[8]2024'!E18</f>
        <v>0</v>
      </c>
      <c r="E17" s="235">
        <f>+'[8]2024'!F18</f>
        <v>3.3567107238769531</v>
      </c>
      <c r="F17" s="235">
        <f>+'[8]2024'!G18</f>
        <v>27.310176452636718</v>
      </c>
      <c r="G17" s="235">
        <f>+'[8]2024'!H18</f>
        <v>2.2337345581054686</v>
      </c>
      <c r="H17" s="235">
        <f>+'[8]2024'!I18</f>
        <v>1.820708251953125</v>
      </c>
      <c r="I17" s="235">
        <f>+'[8]2024'!J18</f>
        <v>27.936585601806641</v>
      </c>
      <c r="J17" s="235">
        <f>+'[9]2024'!K18</f>
        <v>0</v>
      </c>
      <c r="K17" s="235">
        <f>+'[9]2024'!L18</f>
        <v>0</v>
      </c>
      <c r="L17" s="235">
        <f>+'[9]2024'!M18</f>
        <v>0</v>
      </c>
      <c r="M17" s="235">
        <f>+'[9]2024'!N18</f>
        <v>0</v>
      </c>
      <c r="N17" s="235">
        <f>+'[9]2024'!O18</f>
        <v>0</v>
      </c>
      <c r="O17" s="235">
        <f>+'[9]2024'!P18</f>
        <v>0</v>
      </c>
      <c r="P17" s="239">
        <f t="shared" si="2"/>
        <v>62.657915588378913</v>
      </c>
    </row>
    <row r="18" spans="3:20">
      <c r="C18" s="248" t="s">
        <v>26</v>
      </c>
      <c r="D18" s="235">
        <f>+SUM('[8]2024'!E16:E17)</f>
        <v>10.345421070098878</v>
      </c>
      <c r="E18" s="235">
        <f>+SUM('[8]2024'!F16:F17)</f>
        <v>11.507578196167946</v>
      </c>
      <c r="F18" s="235">
        <f>+SUM('[8]2024'!G16:G17)</f>
        <v>10.751972915649414</v>
      </c>
      <c r="G18" s="235">
        <f>+SUM('[8]2024'!H16:H17)</f>
        <v>24.79071404965967</v>
      </c>
      <c r="H18" s="235">
        <f>+SUM('[8]2024'!I16:I17)</f>
        <v>14.839656448364257</v>
      </c>
      <c r="I18" s="235">
        <f>+SUM('[8]2024'!J16:J17)</f>
        <v>6.6027857005051924</v>
      </c>
      <c r="J18" s="235">
        <f>+'[9]2024'!K16+'[9]2024'!K17</f>
        <v>0</v>
      </c>
      <c r="K18" s="235">
        <f>+'[9]2024'!L16+'[9]2024'!L17</f>
        <v>0</v>
      </c>
      <c r="L18" s="235">
        <f>+'[9]2024'!M16+'[9]2024'!M17</f>
        <v>0</v>
      </c>
      <c r="M18" s="235">
        <f>+'[9]2024'!N16+'[9]2024'!N17</f>
        <v>0</v>
      </c>
      <c r="N18" s="235">
        <f>+'[9]2024'!O16+'[9]2024'!O17</f>
        <v>0</v>
      </c>
      <c r="O18" s="235">
        <f>+'[9]2024'!P16+'[9]2024'!P17</f>
        <v>0</v>
      </c>
      <c r="P18" s="239">
        <f t="shared" si="2"/>
        <v>78.838128380445355</v>
      </c>
      <c r="Q18" s="249"/>
    </row>
    <row r="19" spans="3:20">
      <c r="C19" s="248" t="s">
        <v>27</v>
      </c>
      <c r="D19" s="235">
        <f>+SUM('[8]2024'!E19:E21)</f>
        <v>24.784779594421387</v>
      </c>
      <c r="E19" s="235">
        <f>+SUM('[8]2024'!F19:F21)</f>
        <v>44.226588143477684</v>
      </c>
      <c r="F19" s="235">
        <f>+SUM('[8]2024'!G19:G21)</f>
        <v>0</v>
      </c>
      <c r="G19" s="235">
        <f>+SUM('[8]2024'!H19:H21)</f>
        <v>26.180859096527097</v>
      </c>
      <c r="H19" s="235">
        <f>+SUM('[8]2024'!I19:I21)</f>
        <v>0</v>
      </c>
      <c r="I19" s="235">
        <f>+SUM('[8]2024'!J19:J21)</f>
        <v>33.368395591735833</v>
      </c>
      <c r="J19" s="235">
        <f>+'[9]2024'!K19+'[9]2024'!K20+'[9]2024'!K21</f>
        <v>0</v>
      </c>
      <c r="K19" s="235">
        <f>+'[9]2024'!L19+'[9]2024'!L20+'[9]2024'!L21</f>
        <v>0</v>
      </c>
      <c r="L19" s="235">
        <f>+'[9]2024'!M19+'[9]2024'!M20+'[9]2024'!M21</f>
        <v>0</v>
      </c>
      <c r="M19" s="235">
        <f>+'[9]2024'!N19+'[9]2024'!N20+'[9]2024'!N21</f>
        <v>0</v>
      </c>
      <c r="N19" s="235">
        <f>+'[9]2024'!O19+'[9]2024'!O20+'[9]2024'!O21</f>
        <v>0</v>
      </c>
      <c r="O19" s="235">
        <f>+'[9]2024'!P19+'[9]2024'!P20+'[9]2024'!P21</f>
        <v>0</v>
      </c>
      <c r="P19" s="239">
        <f t="shared" si="2"/>
        <v>128.56062242616201</v>
      </c>
      <c r="Q19" s="249"/>
    </row>
    <row r="20" spans="3:20">
      <c r="C20" s="250" t="s">
        <v>46</v>
      </c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7"/>
      <c r="P20" s="239">
        <f t="shared" si="2"/>
        <v>0</v>
      </c>
      <c r="Q20" s="249"/>
    </row>
    <row r="21" spans="3:20">
      <c r="C21" s="240" t="s">
        <v>28</v>
      </c>
      <c r="D21" s="241">
        <f t="shared" ref="D21:O21" si="3">SUM(D16:D20)</f>
        <v>35.130200664520267</v>
      </c>
      <c r="E21" s="241">
        <f t="shared" si="3"/>
        <v>59.090877063522584</v>
      </c>
      <c r="F21" s="241">
        <f>SUM(F16:F20)</f>
        <v>38.062149368286128</v>
      </c>
      <c r="G21" s="241">
        <f t="shared" si="3"/>
        <v>53.205307704292238</v>
      </c>
      <c r="H21" s="241">
        <f>SUM(H16:H20)</f>
        <v>16.660364700317384</v>
      </c>
      <c r="I21" s="241">
        <f>SUM(I16:I20)</f>
        <v>67.907766894047668</v>
      </c>
      <c r="J21" s="241">
        <f t="shared" si="3"/>
        <v>0</v>
      </c>
      <c r="K21" s="241">
        <f t="shared" si="3"/>
        <v>0</v>
      </c>
      <c r="L21" s="241">
        <f t="shared" si="3"/>
        <v>0</v>
      </c>
      <c r="M21" s="241">
        <f t="shared" si="3"/>
        <v>0</v>
      </c>
      <c r="N21" s="241">
        <f t="shared" si="3"/>
        <v>0</v>
      </c>
      <c r="O21" s="242">
        <f t="shared" si="3"/>
        <v>0</v>
      </c>
      <c r="P21" s="243">
        <f t="shared" si="2"/>
        <v>270.05666639498628</v>
      </c>
    </row>
    <row r="22" spans="3:20" ht="12" thickBot="1">
      <c r="C22" s="251" t="s">
        <v>29</v>
      </c>
      <c r="D22" s="252">
        <f t="shared" ref="D22:O22" si="4">+D14+D21</f>
        <v>52876.525167707696</v>
      </c>
      <c r="E22" s="252">
        <f t="shared" si="4"/>
        <v>48521.330994854725</v>
      </c>
      <c r="F22" s="252">
        <f>+F14+F21</f>
        <v>125468.49064549926</v>
      </c>
      <c r="G22" s="252">
        <f t="shared" si="4"/>
        <v>100360.56512310985</v>
      </c>
      <c r="H22" s="252">
        <f>+H14+H21</f>
        <v>67409.191960984317</v>
      </c>
      <c r="I22" s="252">
        <f>+I14+I21</f>
        <v>66634.551616180441</v>
      </c>
      <c r="J22" s="252">
        <f t="shared" si="4"/>
        <v>0</v>
      </c>
      <c r="K22" s="252">
        <f t="shared" si="4"/>
        <v>0</v>
      </c>
      <c r="L22" s="252">
        <f t="shared" si="4"/>
        <v>0</v>
      </c>
      <c r="M22" s="252">
        <f t="shared" si="4"/>
        <v>0</v>
      </c>
      <c r="N22" s="252">
        <f t="shared" si="4"/>
        <v>0</v>
      </c>
      <c r="O22" s="253">
        <f t="shared" si="4"/>
        <v>0</v>
      </c>
      <c r="P22" s="254">
        <f t="shared" si="2"/>
        <v>461270.65550833632</v>
      </c>
    </row>
    <row r="23" spans="3:20" ht="12" thickTop="1">
      <c r="D23" s="329"/>
    </row>
    <row r="24" spans="3:20">
      <c r="C24" s="222" t="s">
        <v>137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20" ht="12" thickBot="1"/>
    <row r="26" spans="3:20" ht="12" thickTop="1">
      <c r="C26" s="310" t="s">
        <v>30</v>
      </c>
      <c r="D26" s="311" t="s">
        <v>2</v>
      </c>
      <c r="E26" s="311" t="s">
        <v>3</v>
      </c>
      <c r="F26" s="311" t="s">
        <v>4</v>
      </c>
      <c r="G26" s="311" t="s">
        <v>5</v>
      </c>
      <c r="H26" s="311" t="s">
        <v>6</v>
      </c>
      <c r="I26" s="311" t="s">
        <v>7</v>
      </c>
      <c r="J26" s="311" t="s">
        <v>8</v>
      </c>
      <c r="K26" s="311" t="s">
        <v>9</v>
      </c>
      <c r="L26" s="311" t="s">
        <v>10</v>
      </c>
      <c r="M26" s="311" t="s">
        <v>11</v>
      </c>
      <c r="N26" s="311" t="s">
        <v>12</v>
      </c>
      <c r="O26" s="311" t="s">
        <v>13</v>
      </c>
      <c r="P26" s="312" t="s">
        <v>14</v>
      </c>
    </row>
    <row r="27" spans="3:20">
      <c r="C27" s="313" t="s">
        <v>31</v>
      </c>
      <c r="D27" s="263">
        <f t="shared" ref="D27:O27" si="5">+D28+D29</f>
        <v>52876.525167707696</v>
      </c>
      <c r="E27" s="262">
        <f t="shared" si="5"/>
        <v>48521.330994854725</v>
      </c>
      <c r="F27" s="263">
        <f t="shared" si="5"/>
        <v>125468.49064549926</v>
      </c>
      <c r="G27" s="263">
        <f t="shared" si="5"/>
        <v>100360.56512310985</v>
      </c>
      <c r="H27" s="263">
        <f t="shared" si="5"/>
        <v>67409.191960984317</v>
      </c>
      <c r="I27" s="263">
        <f t="shared" si="5"/>
        <v>66634.551616180441</v>
      </c>
      <c r="J27" s="263">
        <f t="shared" si="5"/>
        <v>0</v>
      </c>
      <c r="K27" s="263">
        <f t="shared" si="5"/>
        <v>0</v>
      </c>
      <c r="L27" s="263">
        <f t="shared" si="5"/>
        <v>0</v>
      </c>
      <c r="M27" s="263">
        <f t="shared" si="5"/>
        <v>0</v>
      </c>
      <c r="N27" s="263">
        <f t="shared" si="5"/>
        <v>0</v>
      </c>
      <c r="O27" s="263">
        <f t="shared" si="5"/>
        <v>0</v>
      </c>
      <c r="P27" s="314">
        <f>SUM(D27:O27)</f>
        <v>461270.65550833632</v>
      </c>
      <c r="R27" s="305"/>
      <c r="T27" s="277"/>
    </row>
    <row r="28" spans="3:20">
      <c r="C28" s="315" t="s">
        <v>32</v>
      </c>
      <c r="D28" s="268">
        <f>+D14</f>
        <v>52841.394967043176</v>
      </c>
      <c r="E28" s="268">
        <f t="shared" ref="E28:O28" si="6">+E14</f>
        <v>48462.240117791203</v>
      </c>
      <c r="F28" s="268">
        <f t="shared" si="6"/>
        <v>125430.42849613097</v>
      </c>
      <c r="G28" s="268">
        <f t="shared" si="6"/>
        <v>100307.35981540555</v>
      </c>
      <c r="H28" s="268">
        <f t="shared" si="6"/>
        <v>67392.531596283996</v>
      </c>
      <c r="I28" s="268">
        <f t="shared" si="6"/>
        <v>66566.643849286396</v>
      </c>
      <c r="J28" s="268">
        <f t="shared" si="6"/>
        <v>0</v>
      </c>
      <c r="K28" s="268">
        <f t="shared" si="6"/>
        <v>0</v>
      </c>
      <c r="L28" s="268">
        <f t="shared" si="6"/>
        <v>0</v>
      </c>
      <c r="M28" s="268">
        <f t="shared" si="6"/>
        <v>0</v>
      </c>
      <c r="N28" s="268">
        <f t="shared" si="6"/>
        <v>0</v>
      </c>
      <c r="O28" s="268">
        <f t="shared" si="6"/>
        <v>0</v>
      </c>
      <c r="P28" s="306">
        <f t="shared" ref="P28:P63" si="7">SUM(D28:O28)</f>
        <v>461000.59884194133</v>
      </c>
      <c r="R28" s="305"/>
    </row>
    <row r="29" spans="3:20">
      <c r="C29" s="316" t="s">
        <v>33</v>
      </c>
      <c r="D29" s="272">
        <f>+D21</f>
        <v>35.130200664520267</v>
      </c>
      <c r="E29" s="272">
        <f t="shared" ref="E29:O29" si="8">+E21</f>
        <v>59.090877063522584</v>
      </c>
      <c r="F29" s="272">
        <f t="shared" si="8"/>
        <v>38.062149368286128</v>
      </c>
      <c r="G29" s="272">
        <f t="shared" si="8"/>
        <v>53.205307704292238</v>
      </c>
      <c r="H29" s="272">
        <f t="shared" si="8"/>
        <v>16.660364700317384</v>
      </c>
      <c r="I29" s="272">
        <f t="shared" si="8"/>
        <v>67.907766894047668</v>
      </c>
      <c r="J29" s="272">
        <f t="shared" si="8"/>
        <v>0</v>
      </c>
      <c r="K29" s="272">
        <f t="shared" si="8"/>
        <v>0</v>
      </c>
      <c r="L29" s="272">
        <f t="shared" si="8"/>
        <v>0</v>
      </c>
      <c r="M29" s="272">
        <f t="shared" si="8"/>
        <v>0</v>
      </c>
      <c r="N29" s="272">
        <f t="shared" si="8"/>
        <v>0</v>
      </c>
      <c r="O29" s="272">
        <f t="shared" si="8"/>
        <v>0</v>
      </c>
      <c r="P29" s="317">
        <f t="shared" si="7"/>
        <v>270.05666639498628</v>
      </c>
      <c r="R29" s="305"/>
    </row>
    <row r="30" spans="3:20">
      <c r="C30" s="313" t="s">
        <v>34</v>
      </c>
      <c r="D30" s="263">
        <f>+SUM(D31:D33)</f>
        <v>823.35785509759694</v>
      </c>
      <c r="E30" s="263">
        <f t="shared" ref="E30:P30" si="9">+SUM(E31:E33)</f>
        <v>3340.0947470195101</v>
      </c>
      <c r="F30" s="263">
        <f t="shared" si="9"/>
        <v>111.468</v>
      </c>
      <c r="G30" s="263">
        <f t="shared" si="9"/>
        <v>106.437</v>
      </c>
      <c r="H30" s="263">
        <f t="shared" si="9"/>
        <v>110.15900000000001</v>
      </c>
      <c r="I30" s="263">
        <f>+SUM(I31:I33)</f>
        <v>105.94931141757965</v>
      </c>
      <c r="J30" s="263">
        <f t="shared" si="9"/>
        <v>0</v>
      </c>
      <c r="K30" s="263">
        <f t="shared" si="9"/>
        <v>0</v>
      </c>
      <c r="L30" s="263">
        <f t="shared" si="9"/>
        <v>0</v>
      </c>
      <c r="M30" s="263">
        <f t="shared" si="9"/>
        <v>0</v>
      </c>
      <c r="N30" s="263">
        <f t="shared" si="9"/>
        <v>0</v>
      </c>
      <c r="O30" s="263">
        <f t="shared" si="9"/>
        <v>0</v>
      </c>
      <c r="P30" s="314">
        <f t="shared" si="9"/>
        <v>4597.4659135346865</v>
      </c>
    </row>
    <row r="31" spans="3:20">
      <c r="C31" s="307" t="s">
        <v>41</v>
      </c>
      <c r="D31" s="268">
        <v>713.85285509759694</v>
      </c>
      <c r="E31" s="268">
        <v>3237.65874701951</v>
      </c>
      <c r="F31" s="268">
        <v>0</v>
      </c>
      <c r="G31" s="268">
        <v>0</v>
      </c>
      <c r="H31" s="268">
        <v>0</v>
      </c>
      <c r="I31" s="268">
        <v>0</v>
      </c>
      <c r="J31" s="268"/>
      <c r="K31" s="268"/>
      <c r="L31" s="268"/>
      <c r="M31" s="268"/>
      <c r="N31" s="268"/>
      <c r="O31" s="268"/>
      <c r="P31" s="306">
        <f t="shared" si="7"/>
        <v>3951.511602117107</v>
      </c>
    </row>
    <row r="32" spans="3:20">
      <c r="C32" s="307" t="s">
        <v>109</v>
      </c>
      <c r="D32" s="268">
        <v>109.505</v>
      </c>
      <c r="E32" s="268">
        <v>102.43600000000001</v>
      </c>
      <c r="F32" s="268">
        <v>111.468</v>
      </c>
      <c r="G32" s="268">
        <v>106.437</v>
      </c>
      <c r="H32" s="268">
        <v>110.15900000000001</v>
      </c>
      <c r="I32" s="268">
        <v>105.94931141757965</v>
      </c>
      <c r="J32" s="268"/>
      <c r="K32" s="268"/>
      <c r="L32" s="268"/>
      <c r="M32" s="268"/>
      <c r="N32" s="268"/>
      <c r="O32" s="268"/>
      <c r="P32" s="306">
        <f t="shared" si="7"/>
        <v>645.95431141757967</v>
      </c>
      <c r="R32" s="278"/>
      <c r="S32" s="278"/>
    </row>
    <row r="33" spans="2:20">
      <c r="C33" s="322" t="s">
        <v>125</v>
      </c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317">
        <f>SUM(D33:O33)</f>
        <v>0</v>
      </c>
      <c r="R33" s="305"/>
      <c r="S33" s="305"/>
      <c r="T33" s="358"/>
    </row>
    <row r="34" spans="2:20">
      <c r="C34" s="313" t="s">
        <v>35</v>
      </c>
      <c r="D34" s="263">
        <f>+D35+D36</f>
        <v>290.35922192827775</v>
      </c>
      <c r="E34" s="263">
        <f t="shared" ref="E34:O34" si="10">+E35+E36</f>
        <v>269.62103826981161</v>
      </c>
      <c r="F34" s="263">
        <f t="shared" si="10"/>
        <v>336.11364153099112</v>
      </c>
      <c r="G34" s="263">
        <f t="shared" si="10"/>
        <v>318.47200835000217</v>
      </c>
      <c r="H34" s="263">
        <f t="shared" si="10"/>
        <v>303.90507652491431</v>
      </c>
      <c r="I34" s="263">
        <f t="shared" si="10"/>
        <v>299.99135543276867</v>
      </c>
      <c r="J34" s="263">
        <f t="shared" si="10"/>
        <v>313.81702152453022</v>
      </c>
      <c r="K34" s="263">
        <f t="shared" si="10"/>
        <v>0</v>
      </c>
      <c r="L34" s="263">
        <f>+L35+L36</f>
        <v>0</v>
      </c>
      <c r="M34" s="263">
        <f t="shared" si="10"/>
        <v>0</v>
      </c>
      <c r="N34" s="263">
        <f t="shared" si="10"/>
        <v>0</v>
      </c>
      <c r="O34" s="263">
        <f t="shared" si="10"/>
        <v>0</v>
      </c>
      <c r="P34" s="314">
        <f t="shared" si="7"/>
        <v>2132.2793635612961</v>
      </c>
    </row>
    <row r="35" spans="2:20">
      <c r="B35" s="277"/>
      <c r="C35" s="315" t="s">
        <v>32</v>
      </c>
      <c r="D35" s="268">
        <v>287.31054944006519</v>
      </c>
      <c r="E35" s="268">
        <v>266.80451380997272</v>
      </c>
      <c r="F35" s="268">
        <v>335.3168820772176</v>
      </c>
      <c r="G35" s="268">
        <v>315.19341907464207</v>
      </c>
      <c r="H35" s="268">
        <v>302.45033870810369</v>
      </c>
      <c r="I35" s="268">
        <v>297.65088759162029</v>
      </c>
      <c r="J35" s="268">
        <v>309.01336840258199</v>
      </c>
      <c r="K35" s="268"/>
      <c r="L35" s="268"/>
      <c r="M35" s="268"/>
      <c r="N35" s="268"/>
      <c r="O35" s="268"/>
      <c r="P35" s="306">
        <f t="shared" si="7"/>
        <v>2113.7399591042031</v>
      </c>
    </row>
    <row r="36" spans="2:20">
      <c r="B36" s="278"/>
      <c r="C36" s="316" t="s">
        <v>33</v>
      </c>
      <c r="D36" s="268">
        <v>3.0486724882125853</v>
      </c>
      <c r="E36" s="268">
        <v>2.8165244598388672</v>
      </c>
      <c r="F36" s="268">
        <v>0.79675945377349855</v>
      </c>
      <c r="G36" s="272">
        <v>3.2785892753601074</v>
      </c>
      <c r="H36" s="272">
        <v>1.454737816810608</v>
      </c>
      <c r="I36" s="272">
        <v>2.3404678411483766</v>
      </c>
      <c r="J36" s="272">
        <v>4.8036531219482423</v>
      </c>
      <c r="K36" s="272"/>
      <c r="L36" s="272"/>
      <c r="M36" s="268"/>
      <c r="N36" s="272"/>
      <c r="O36" s="272"/>
      <c r="P36" s="317">
        <f t="shared" si="7"/>
        <v>18.539404457092285</v>
      </c>
    </row>
    <row r="37" spans="2:20">
      <c r="C37" s="318" t="s">
        <v>36</v>
      </c>
      <c r="D37" s="263">
        <f t="shared" ref="D37:O37" si="11">+D38+D39</f>
        <v>948.51861850077694</v>
      </c>
      <c r="E37" s="263">
        <f t="shared" si="11"/>
        <v>825.42407109464693</v>
      </c>
      <c r="F37" s="263">
        <f t="shared" si="11"/>
        <v>1802.9948480989988</v>
      </c>
      <c r="G37" s="282">
        <f t="shared" si="11"/>
        <v>1444.9288653266995</v>
      </c>
      <c r="H37" s="282">
        <f t="shared" si="11"/>
        <v>1113.8128065370984</v>
      </c>
      <c r="I37" s="282">
        <f t="shared" si="11"/>
        <v>1088.4845533958505</v>
      </c>
      <c r="J37" s="282">
        <f t="shared" si="11"/>
        <v>1176.8168424607866</v>
      </c>
      <c r="K37" s="282">
        <f t="shared" si="11"/>
        <v>1165.3503022004443</v>
      </c>
      <c r="L37" s="282">
        <f t="shared" si="11"/>
        <v>1078.6811672615877</v>
      </c>
      <c r="M37" s="263">
        <f t="shared" si="11"/>
        <v>0</v>
      </c>
      <c r="N37" s="282">
        <f t="shared" si="11"/>
        <v>0</v>
      </c>
      <c r="O37" s="282">
        <f t="shared" si="11"/>
        <v>0</v>
      </c>
      <c r="P37" s="326">
        <f t="shared" si="7"/>
        <v>10645.01207487689</v>
      </c>
    </row>
    <row r="38" spans="2:20">
      <c r="B38" s="278"/>
      <c r="C38" s="315" t="s">
        <v>37</v>
      </c>
      <c r="D38" s="268">
        <v>379.40744740031079</v>
      </c>
      <c r="E38" s="268">
        <v>330.16962843785882</v>
      </c>
      <c r="F38" s="268">
        <v>721.19793923959958</v>
      </c>
      <c r="G38" s="268">
        <v>577.97154613067983</v>
      </c>
      <c r="H38" s="268">
        <v>445.52512261483935</v>
      </c>
      <c r="I38" s="268">
        <v>435.39382135834023</v>
      </c>
      <c r="J38" s="268">
        <v>470.72673698431464</v>
      </c>
      <c r="K38" s="268">
        <v>466.14012088017773</v>
      </c>
      <c r="L38" s="268">
        <v>431.4724669046351</v>
      </c>
      <c r="M38" s="268"/>
      <c r="N38" s="268"/>
      <c r="O38" s="268"/>
      <c r="P38" s="306">
        <f t="shared" si="7"/>
        <v>4258.0048299507562</v>
      </c>
    </row>
    <row r="39" spans="2:20">
      <c r="B39" s="285"/>
      <c r="C39" s="315" t="s">
        <v>38</v>
      </c>
      <c r="D39" s="272">
        <v>569.11117110046609</v>
      </c>
      <c r="E39" s="272">
        <v>495.25444265678811</v>
      </c>
      <c r="F39" s="272">
        <v>1081.7969088593993</v>
      </c>
      <c r="G39" s="268">
        <v>866.95731919601963</v>
      </c>
      <c r="H39" s="268">
        <v>668.28768392225902</v>
      </c>
      <c r="I39" s="268">
        <v>653.09073203751029</v>
      </c>
      <c r="J39" s="268">
        <v>706.09010547647188</v>
      </c>
      <c r="K39" s="272">
        <v>699.21018132026654</v>
      </c>
      <c r="L39" s="272">
        <v>647.20870035695259</v>
      </c>
      <c r="M39" s="272"/>
      <c r="N39" s="272"/>
      <c r="O39" s="272"/>
      <c r="P39" s="306">
        <f t="shared" si="7"/>
        <v>6387.0072449261324</v>
      </c>
    </row>
    <row r="40" spans="2:20">
      <c r="B40" s="285"/>
      <c r="C40" s="320" t="s">
        <v>39</v>
      </c>
      <c r="D40" s="302">
        <f t="shared" ref="D40:O40" si="12">+D27+D30-D34-D37</f>
        <v>52461.005182376233</v>
      </c>
      <c r="E40" s="302">
        <f t="shared" si="12"/>
        <v>50766.380632509776</v>
      </c>
      <c r="F40" s="302">
        <f t="shared" si="12"/>
        <v>123440.85015586927</v>
      </c>
      <c r="G40" s="302">
        <f t="shared" si="12"/>
        <v>98703.601249433152</v>
      </c>
      <c r="H40" s="302">
        <f t="shared" si="12"/>
        <v>66101.633077922306</v>
      </c>
      <c r="I40" s="302">
        <f t="shared" si="12"/>
        <v>65352.025018769411</v>
      </c>
      <c r="J40" s="302">
        <f t="shared" si="12"/>
        <v>-1490.6338639853168</v>
      </c>
      <c r="K40" s="302">
        <f t="shared" si="12"/>
        <v>-1165.3503022004443</v>
      </c>
      <c r="L40" s="302">
        <f t="shared" si="12"/>
        <v>-1078.6811672615877</v>
      </c>
      <c r="M40" s="302">
        <f t="shared" si="12"/>
        <v>0</v>
      </c>
      <c r="N40" s="302">
        <f t="shared" si="12"/>
        <v>0</v>
      </c>
      <c r="O40" s="302">
        <f t="shared" si="12"/>
        <v>0</v>
      </c>
      <c r="P40" s="321">
        <f t="shared" si="7"/>
        <v>453090.82998343289</v>
      </c>
    </row>
    <row r="41" spans="2:20">
      <c r="B41" s="285"/>
      <c r="C41" s="320" t="s">
        <v>40</v>
      </c>
      <c r="D41" s="302">
        <f>+D42+D45+D56+D52+D66</f>
        <v>52460.687317058997</v>
      </c>
      <c r="E41" s="302">
        <f t="shared" ref="E41:P41" si="13">+E42+E45+E56+E52+E66</f>
        <v>50773.455069031414</v>
      </c>
      <c r="F41" s="302">
        <f t="shared" si="13"/>
        <v>123440.8481291254</v>
      </c>
      <c r="G41" s="302">
        <f t="shared" si="13"/>
        <v>98703.601249432977</v>
      </c>
      <c r="H41" s="302">
        <f t="shared" si="13"/>
        <v>66101.633077921389</v>
      </c>
      <c r="I41" s="302">
        <f t="shared" si="13"/>
        <v>65070.102507864278</v>
      </c>
      <c r="J41" s="302">
        <f t="shared" si="13"/>
        <v>53280.210129999999</v>
      </c>
      <c r="K41" s="302">
        <f t="shared" si="13"/>
        <v>53943.076539999995</v>
      </c>
      <c r="L41" s="302">
        <f t="shared" si="13"/>
        <v>52522.733970000001</v>
      </c>
      <c r="M41" s="302">
        <f t="shared" si="13"/>
        <v>54472.841530000005</v>
      </c>
      <c r="N41" s="302">
        <f t="shared" si="13"/>
        <v>48955.234809999994</v>
      </c>
      <c r="O41" s="302">
        <f t="shared" si="13"/>
        <v>50621.829319999997</v>
      </c>
      <c r="P41" s="302">
        <f t="shared" si="13"/>
        <v>770346.25365043443</v>
      </c>
      <c r="Q41" s="278">
        <f>+P41-P43</f>
        <v>609301.99202609039</v>
      </c>
    </row>
    <row r="42" spans="2:20">
      <c r="C42" s="318" t="s">
        <v>44</v>
      </c>
      <c r="D42" s="263">
        <f t="shared" ref="D42:O42" si="14">+D43+D44</f>
        <v>0</v>
      </c>
      <c r="E42" s="263">
        <f t="shared" si="14"/>
        <v>0</v>
      </c>
      <c r="F42" s="263">
        <f t="shared" si="14"/>
        <v>73313.311859125388</v>
      </c>
      <c r="G42" s="263">
        <f>+G43+G44</f>
        <v>50055.353179432983</v>
      </c>
      <c r="H42" s="263">
        <f t="shared" si="14"/>
        <v>17574.992567921392</v>
      </c>
      <c r="I42" s="263">
        <f>+I43</f>
        <v>20100.60401786428</v>
      </c>
      <c r="J42" s="263">
        <f t="shared" si="14"/>
        <v>0</v>
      </c>
      <c r="K42" s="263">
        <f t="shared" si="14"/>
        <v>0</v>
      </c>
      <c r="L42" s="263">
        <f t="shared" si="14"/>
        <v>0</v>
      </c>
      <c r="M42" s="263">
        <f t="shared" si="14"/>
        <v>0</v>
      </c>
      <c r="N42" s="263">
        <f t="shared" si="14"/>
        <v>0</v>
      </c>
      <c r="O42" s="263">
        <f t="shared" si="14"/>
        <v>0</v>
      </c>
      <c r="P42" s="314">
        <f t="shared" si="7"/>
        <v>161044.26162434404</v>
      </c>
    </row>
    <row r="43" spans="2:20">
      <c r="B43" s="278"/>
      <c r="C43" s="315" t="s">
        <v>41</v>
      </c>
      <c r="D43" s="268">
        <v>0</v>
      </c>
      <c r="E43" s="268">
        <v>0</v>
      </c>
      <c r="F43" s="268">
        <v>73313.311859125388</v>
      </c>
      <c r="G43" s="268">
        <v>50055.353179432983</v>
      </c>
      <c r="H43" s="268">
        <v>17574.992567921392</v>
      </c>
      <c r="I43" s="268">
        <v>20100.60401786428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>
        <v>0</v>
      </c>
      <c r="P43" s="306">
        <f t="shared" si="7"/>
        <v>161044.26162434404</v>
      </c>
      <c r="Q43" s="246"/>
    </row>
    <row r="44" spans="2:20" hidden="1">
      <c r="C44" s="315" t="s">
        <v>45</v>
      </c>
      <c r="D44" s="268">
        <v>0</v>
      </c>
      <c r="E44" s="268">
        <v>0</v>
      </c>
      <c r="F44" s="268">
        <v>0</v>
      </c>
      <c r="G44" s="268">
        <v>0</v>
      </c>
      <c r="H44" s="268">
        <v>0</v>
      </c>
      <c r="I44" s="268">
        <v>0</v>
      </c>
      <c r="J44" s="268">
        <v>0</v>
      </c>
      <c r="K44" s="268">
        <v>0</v>
      </c>
      <c r="L44" s="268">
        <v>0</v>
      </c>
      <c r="M44" s="268">
        <v>0</v>
      </c>
      <c r="N44" s="268">
        <v>0</v>
      </c>
      <c r="O44" s="268"/>
      <c r="P44" s="306">
        <f t="shared" si="7"/>
        <v>0</v>
      </c>
      <c r="Q44" s="246"/>
    </row>
    <row r="45" spans="2:20">
      <c r="C45" s="318" t="s">
        <v>42</v>
      </c>
      <c r="D45" s="282">
        <f t="shared" ref="D45:P45" si="15">SUM(D46:D51)</f>
        <v>30567.165129999998</v>
      </c>
      <c r="E45" s="282">
        <f t="shared" si="15"/>
        <v>30222.723449999998</v>
      </c>
      <c r="F45" s="282">
        <f>SUM(F46:F51)</f>
        <v>30741.968510000002</v>
      </c>
      <c r="G45" s="282">
        <f>SUM(G46:G51)</f>
        <v>29476.517670000001</v>
      </c>
      <c r="H45" s="282">
        <f>SUM(H46:H51)</f>
        <v>28612.412310000003</v>
      </c>
      <c r="I45" s="282">
        <f>SUM(I46:I51)</f>
        <v>27480.46356</v>
      </c>
      <c r="J45" s="282">
        <f t="shared" si="15"/>
        <v>28420.554270000001</v>
      </c>
      <c r="K45" s="282">
        <f t="shared" si="15"/>
        <v>28432.236389999995</v>
      </c>
      <c r="L45" s="282">
        <f t="shared" si="15"/>
        <v>27829.018100000005</v>
      </c>
      <c r="M45" s="282">
        <f t="shared" si="15"/>
        <v>29025.485279999997</v>
      </c>
      <c r="N45" s="282">
        <f t="shared" si="15"/>
        <v>28427.866309999998</v>
      </c>
      <c r="O45" s="282">
        <f t="shared" si="15"/>
        <v>29551.066370000004</v>
      </c>
      <c r="P45" s="282">
        <f t="shared" si="15"/>
        <v>348787.47734999988</v>
      </c>
      <c r="R45" s="305"/>
    </row>
    <row r="46" spans="2:20">
      <c r="C46" s="307" t="s">
        <v>133</v>
      </c>
      <c r="D46" s="268">
        <f>+[7]R!E80</f>
        <v>7779.8529400000016</v>
      </c>
      <c r="E46" s="268">
        <f>+[7]R!F80</f>
        <v>7554.1624700000011</v>
      </c>
      <c r="F46" s="268">
        <f>+[7]R!G80</f>
        <v>7630.7829499999998</v>
      </c>
      <c r="G46" s="268">
        <f>+[7]R!H80</f>
        <v>7361.1082500000002</v>
      </c>
      <c r="H46" s="268">
        <f>+[7]R!I80</f>
        <v>7215.3365099999992</v>
      </c>
      <c r="I46" s="268">
        <f>+[7]R!J80</f>
        <v>6955.9726800000008</v>
      </c>
      <c r="J46" s="268">
        <f>+[7]R!K80</f>
        <v>7243.0156399999987</v>
      </c>
      <c r="K46" s="268">
        <f>+[7]R!L80</f>
        <v>7178.5934899999984</v>
      </c>
      <c r="L46" s="268">
        <f>+[7]R!M80</f>
        <v>7011.8145900000018</v>
      </c>
      <c r="M46" s="268">
        <f>+[7]R!N80</f>
        <v>7358.9933399999991</v>
      </c>
      <c r="N46" s="268">
        <f>+[7]R!O80</f>
        <v>7239.4790999999996</v>
      </c>
      <c r="O46" s="268">
        <f>+[7]R!P80</f>
        <v>7541.5345499999994</v>
      </c>
      <c r="P46" s="306">
        <f t="shared" si="7"/>
        <v>88070.646509999991</v>
      </c>
      <c r="Q46" s="277">
        <f>+P46+P54+P65</f>
        <v>147637.53097609041</v>
      </c>
      <c r="R46" s="305"/>
      <c r="S46" s="278"/>
      <c r="T46" s="277"/>
    </row>
    <row r="47" spans="2:20">
      <c r="C47" s="315" t="s">
        <v>48</v>
      </c>
      <c r="D47" s="268">
        <f>+[7]R!E81</f>
        <v>20652.573069999999</v>
      </c>
      <c r="E47" s="268">
        <f>+[7]R!F81</f>
        <v>20649.883539999999</v>
      </c>
      <c r="F47" s="268">
        <f>+[7]R!G81</f>
        <v>20951.30414</v>
      </c>
      <c r="G47" s="268">
        <f>+[7]R!H81</f>
        <v>19988.498540000001</v>
      </c>
      <c r="H47" s="268">
        <f>+[7]R!I81</f>
        <v>19262.252740000004</v>
      </c>
      <c r="I47" s="268">
        <f>+[7]R!J81</f>
        <v>18386.815579999999</v>
      </c>
      <c r="J47" s="268">
        <f>+[7]R!K81</f>
        <v>19010.374150000003</v>
      </c>
      <c r="K47" s="268">
        <f>+[7]R!L81</f>
        <v>19052.679539999997</v>
      </c>
      <c r="L47" s="268">
        <f>+[7]R!M81</f>
        <v>18622.934430000001</v>
      </c>
      <c r="M47" s="268">
        <f>+[7]R!N81</f>
        <v>19369.55416</v>
      </c>
      <c r="N47" s="268">
        <f>+[7]R!O81</f>
        <v>18962.206549999999</v>
      </c>
      <c r="O47" s="268">
        <f>+[7]R!P81</f>
        <v>19753.456100000003</v>
      </c>
      <c r="P47" s="306">
        <f t="shared" si="7"/>
        <v>234662.53253999996</v>
      </c>
      <c r="Q47" s="277">
        <f>+P50+P55</f>
        <v>91984.712140000018</v>
      </c>
      <c r="R47" s="305"/>
      <c r="S47" s="278"/>
      <c r="T47" s="277"/>
    </row>
    <row r="48" spans="2:20">
      <c r="C48" s="315" t="s">
        <v>50</v>
      </c>
      <c r="D48" s="268">
        <f>+[7]R!E82</f>
        <v>584.16279999999995</v>
      </c>
      <c r="E48" s="268">
        <f>+[7]R!F82</f>
        <v>563.54408000000001</v>
      </c>
      <c r="F48" s="268">
        <f>+[7]R!G82</f>
        <v>579.33838000000003</v>
      </c>
      <c r="G48" s="268">
        <f>+[7]R!H82</f>
        <v>545.02316000000008</v>
      </c>
      <c r="H48" s="268">
        <f>+[7]R!I82</f>
        <v>533.81511999999998</v>
      </c>
      <c r="I48" s="268">
        <f>+[7]R!J82</f>
        <v>514.44906000000003</v>
      </c>
      <c r="J48" s="268">
        <f>+[7]R!K82</f>
        <v>526.14530000000002</v>
      </c>
      <c r="K48" s="268">
        <f>+[7]R!L82</f>
        <v>533.85309999999993</v>
      </c>
      <c r="L48" s="268">
        <f>+[7]R!M82</f>
        <v>522.09730000000002</v>
      </c>
      <c r="M48" s="268">
        <f>+[7]R!N82</f>
        <v>554.90340000000003</v>
      </c>
      <c r="N48" s="268">
        <f>+[7]R!O82</f>
        <v>545.52152000000001</v>
      </c>
      <c r="O48" s="268">
        <f>+[7]R!P82</f>
        <v>581.0558400000001</v>
      </c>
      <c r="P48" s="306">
        <f t="shared" si="7"/>
        <v>6583.9090600000009</v>
      </c>
      <c r="Q48" s="277"/>
      <c r="R48" s="305"/>
      <c r="S48" s="278"/>
      <c r="T48" s="277"/>
    </row>
    <row r="49" spans="3:20">
      <c r="C49" s="315" t="s">
        <v>51</v>
      </c>
      <c r="D49" s="268">
        <f>+[7]R!E83</f>
        <v>505.66886000000005</v>
      </c>
      <c r="E49" s="268">
        <f>+[7]R!F83</f>
        <v>476.30848000000003</v>
      </c>
      <c r="F49" s="268">
        <f>+[7]R!G83</f>
        <v>527.99205999999992</v>
      </c>
      <c r="G49" s="268">
        <f>+[7]R!H83</f>
        <v>555.67529999999999</v>
      </c>
      <c r="H49" s="268">
        <f>+[7]R!I83</f>
        <v>552.16336000000001</v>
      </c>
      <c r="I49" s="268">
        <f>+[7]R!J83</f>
        <v>589.95594000000006</v>
      </c>
      <c r="J49" s="268">
        <f>+[7]R!K83</f>
        <v>562.86342000000002</v>
      </c>
      <c r="K49" s="268">
        <f>+[7]R!L83</f>
        <v>612.48464000000013</v>
      </c>
      <c r="L49" s="268">
        <f>+[7]R!M83</f>
        <v>611.52742000000001</v>
      </c>
      <c r="M49" s="268">
        <f>+[7]R!N83</f>
        <v>647.28634000000011</v>
      </c>
      <c r="N49" s="268">
        <f>+[7]R!O83</f>
        <v>606.68478000000005</v>
      </c>
      <c r="O49" s="268">
        <f>+[7]R!P83</f>
        <v>601.67564000000004</v>
      </c>
      <c r="P49" s="306">
        <f t="shared" si="7"/>
        <v>6850.2862400000004</v>
      </c>
      <c r="Q49" s="277"/>
      <c r="R49" s="305"/>
      <c r="S49" s="278"/>
      <c r="T49" s="277"/>
    </row>
    <row r="50" spans="3:20">
      <c r="C50" s="315" t="s">
        <v>52</v>
      </c>
      <c r="D50" s="268">
        <f>+[7]R!E84</f>
        <v>402.01158000000004</v>
      </c>
      <c r="E50" s="268">
        <f>+[7]R!F84</f>
        <v>374.06088</v>
      </c>
      <c r="F50" s="268">
        <f>+[7]R!G84</f>
        <v>406.72620000000006</v>
      </c>
      <c r="G50" s="268">
        <f>+[7]R!H84</f>
        <v>394.62706000000003</v>
      </c>
      <c r="H50" s="268">
        <f>+[7]R!I84</f>
        <v>400.08252000000005</v>
      </c>
      <c r="I50" s="268">
        <f>+[7]R!J84</f>
        <v>399.47104000000002</v>
      </c>
      <c r="J50" s="268">
        <f>+[7]R!K84</f>
        <v>439.03462000000002</v>
      </c>
      <c r="K50" s="268">
        <f>+[7]R!L84</f>
        <v>398.35216000000003</v>
      </c>
      <c r="L50" s="268">
        <f>+[7]R!M84</f>
        <v>404.51766000000003</v>
      </c>
      <c r="M50" s="268">
        <f>+[7]R!N84</f>
        <v>417.85040000000004</v>
      </c>
      <c r="N50" s="268">
        <f>+[7]R!O84</f>
        <v>406.73685999999998</v>
      </c>
      <c r="O50" s="268">
        <f>+[7]R!P84</f>
        <v>399.46429999999998</v>
      </c>
      <c r="P50" s="306">
        <f t="shared" si="7"/>
        <v>4842.9352799999997</v>
      </c>
      <c r="Q50" s="277"/>
      <c r="R50" s="305"/>
      <c r="S50" s="278"/>
      <c r="T50" s="277"/>
    </row>
    <row r="51" spans="3:20">
      <c r="C51" s="315" t="s">
        <v>90</v>
      </c>
      <c r="D51" s="268">
        <f>+[7]R!E85</f>
        <v>642.89588000000003</v>
      </c>
      <c r="E51" s="268">
        <f>+[7]R!F85</f>
        <v>604.76400000000001</v>
      </c>
      <c r="F51" s="268">
        <f>+[7]R!G85</f>
        <v>645.82478000000003</v>
      </c>
      <c r="G51" s="268">
        <f>+[7]R!H85</f>
        <v>631.58536000000004</v>
      </c>
      <c r="H51" s="268">
        <f>+[7]R!I85</f>
        <v>648.76206000000002</v>
      </c>
      <c r="I51" s="268">
        <f>+[7]R!J85</f>
        <v>633.79925999999989</v>
      </c>
      <c r="J51" s="268">
        <f>+[7]R!K85</f>
        <v>639.12113999999985</v>
      </c>
      <c r="K51" s="268">
        <f>+[7]R!L85</f>
        <v>656.27346</v>
      </c>
      <c r="L51" s="268">
        <f>+[7]R!M85</f>
        <v>656.12669999999991</v>
      </c>
      <c r="M51" s="268">
        <f>+[7]R!N85</f>
        <v>676.89764000000014</v>
      </c>
      <c r="N51" s="268">
        <f>+[7]R!O85</f>
        <v>667.23749999999995</v>
      </c>
      <c r="O51" s="268">
        <f>+[7]R!P85</f>
        <v>673.87993999999992</v>
      </c>
      <c r="P51" s="306">
        <f t="shared" si="7"/>
        <v>7777.1677200000004</v>
      </c>
      <c r="Q51" s="277"/>
      <c r="R51" s="305"/>
      <c r="S51" s="278"/>
      <c r="T51" s="277"/>
    </row>
    <row r="52" spans="3:20">
      <c r="C52" s="318" t="s">
        <v>124</v>
      </c>
      <c r="D52" s="282">
        <f>+SUM(D53:D55)</f>
        <v>12399.54146</v>
      </c>
      <c r="E52" s="282">
        <f t="shared" ref="E52:P52" si="16">+SUM(E53:E55)</f>
        <v>11606.12012</v>
      </c>
      <c r="F52" s="282">
        <f>+SUM(F53:F55)</f>
        <v>11284.65295</v>
      </c>
      <c r="G52" s="282">
        <f>+SUM(G53:G55)</f>
        <v>10734.72913</v>
      </c>
      <c r="H52" s="282">
        <f>+SUM(H53:H55)</f>
        <v>11146.059710000001</v>
      </c>
      <c r="I52" s="282">
        <f>+SUM(I53:I55)</f>
        <v>9077.4112999999998</v>
      </c>
      <c r="J52" s="282">
        <f t="shared" si="16"/>
        <v>8645.7489100000003</v>
      </c>
      <c r="K52" s="282">
        <f t="shared" si="16"/>
        <v>9450.2040500000003</v>
      </c>
      <c r="L52" s="282">
        <f t="shared" si="16"/>
        <v>9394.9581099999996</v>
      </c>
      <c r="M52" s="282">
        <f t="shared" si="16"/>
        <v>9640.4402400000017</v>
      </c>
      <c r="N52" s="282">
        <f t="shared" si="16"/>
        <v>8684.9440500000001</v>
      </c>
      <c r="O52" s="282">
        <f t="shared" si="16"/>
        <v>8830.4424099999997</v>
      </c>
      <c r="P52" s="282">
        <f t="shared" si="16"/>
        <v>120895.25244000001</v>
      </c>
      <c r="Q52" s="277"/>
      <c r="R52" s="305"/>
      <c r="S52" s="278"/>
    </row>
    <row r="53" spans="3:20">
      <c r="C53" s="307" t="s">
        <v>93</v>
      </c>
      <c r="D53" s="268">
        <f>+[7]R!E88</f>
        <v>1388.2054699999999</v>
      </c>
      <c r="E53" s="268">
        <f>+[7]R!F88</f>
        <v>1384.77602</v>
      </c>
      <c r="F53" s="268">
        <f>+[7]R!G88</f>
        <v>1339.4636</v>
      </c>
      <c r="G53" s="268">
        <f>+[7]R!H88</f>
        <v>1349.0189700000001</v>
      </c>
      <c r="H53" s="268">
        <f>+[7]R!I88</f>
        <v>1646.0154100000002</v>
      </c>
      <c r="I53" s="268">
        <f>+[7]R!J88</f>
        <v>1519.5745200000001</v>
      </c>
      <c r="J53" s="268">
        <f>+[7]R!K88</f>
        <v>1461.9911299999999</v>
      </c>
      <c r="K53" s="268">
        <f>+[7]R!L88</f>
        <v>1603.8830499999999</v>
      </c>
      <c r="L53" s="268">
        <f>+[7]R!M88</f>
        <v>1470.5257799999999</v>
      </c>
      <c r="M53" s="268">
        <f>+[7]R!N88</f>
        <v>1504.1333999999999</v>
      </c>
      <c r="N53" s="268">
        <f>+[7]R!O88</f>
        <v>1262.5426400000001</v>
      </c>
      <c r="O53" s="268">
        <f>+[7]R!P88</f>
        <v>1164.61292</v>
      </c>
      <c r="P53" s="268">
        <f t="shared" si="7"/>
        <v>17094.742910000001</v>
      </c>
      <c r="Q53" s="277"/>
      <c r="R53" s="305"/>
      <c r="S53" s="278"/>
    </row>
    <row r="54" spans="3:20">
      <c r="C54" s="307" t="s">
        <v>133</v>
      </c>
      <c r="D54" s="268">
        <f>+[7]R!E89</f>
        <v>4529.2874400000001</v>
      </c>
      <c r="E54" s="268">
        <f>+[7]R!F89</f>
        <v>4177.6049500000008</v>
      </c>
      <c r="F54" s="268">
        <f>+[7]R!G89</f>
        <v>3254.7407600000006</v>
      </c>
      <c r="G54" s="268">
        <f>+[7]R!H89</f>
        <v>2466.0054499999997</v>
      </c>
      <c r="H54" s="268">
        <f>+[7]R!I89</f>
        <v>2231.0940700000001</v>
      </c>
      <c r="I54" s="268">
        <f>+[7]R!J89</f>
        <v>0</v>
      </c>
      <c r="J54" s="268">
        <f>+[7]R!K89</f>
        <v>0</v>
      </c>
      <c r="K54" s="268">
        <f>+[7]R!L89</f>
        <v>0</v>
      </c>
      <c r="L54" s="268">
        <f>+[7]R!M89</f>
        <v>0</v>
      </c>
      <c r="M54" s="268">
        <f>+[7]R!N89</f>
        <v>0</v>
      </c>
      <c r="N54" s="268">
        <f>+[7]R!O89</f>
        <v>0</v>
      </c>
      <c r="O54" s="268">
        <f>+[7]R!P89</f>
        <v>0</v>
      </c>
      <c r="P54" s="268">
        <f t="shared" si="7"/>
        <v>16658.732670000001</v>
      </c>
      <c r="Q54" s="277"/>
      <c r="R54" s="305"/>
      <c r="S54" s="278"/>
    </row>
    <row r="55" spans="3:20">
      <c r="C55" s="307" t="s">
        <v>134</v>
      </c>
      <c r="D55" s="268">
        <f>+[7]R!E90</f>
        <v>6482.0485499999995</v>
      </c>
      <c r="E55" s="268">
        <f>+[7]R!F90</f>
        <v>6043.7391499999994</v>
      </c>
      <c r="F55" s="268">
        <f>+[7]R!G90</f>
        <v>6690.44859</v>
      </c>
      <c r="G55" s="268">
        <f>+[7]R!H90</f>
        <v>6919.7047100000009</v>
      </c>
      <c r="H55" s="268">
        <f>+[7]R!I90</f>
        <v>7268.9502300000004</v>
      </c>
      <c r="I55" s="268">
        <f>+[7]R!J90</f>
        <v>7557.8367799999996</v>
      </c>
      <c r="J55" s="268">
        <f>+[7]R!K90</f>
        <v>7183.7577800000008</v>
      </c>
      <c r="K55" s="268">
        <f>+[7]R!L90</f>
        <v>7846.3210000000008</v>
      </c>
      <c r="L55" s="268">
        <f>+[7]R!M90</f>
        <v>7924.4323299999996</v>
      </c>
      <c r="M55" s="268">
        <f>+[7]R!N90</f>
        <v>8136.3068400000011</v>
      </c>
      <c r="N55" s="268">
        <f>+[7]R!O90</f>
        <v>7422.4014100000004</v>
      </c>
      <c r="O55" s="268">
        <f>+[7]R!P90</f>
        <v>7665.8294900000001</v>
      </c>
      <c r="P55" s="268">
        <f t="shared" si="7"/>
        <v>87141.776860000013</v>
      </c>
      <c r="Q55" s="277"/>
      <c r="R55" s="305"/>
      <c r="S55" s="278"/>
    </row>
    <row r="56" spans="3:20">
      <c r="C56" s="318" t="s">
        <v>43</v>
      </c>
      <c r="D56" s="282">
        <f>+SUM(D57:D65)</f>
        <v>3882.0607270589985</v>
      </c>
      <c r="E56" s="282">
        <f t="shared" ref="E56:P56" si="17">+SUM(E57:E65)</f>
        <v>4015.7414990314137</v>
      </c>
      <c r="F56" s="282">
        <f>+SUM(F57:F65)</f>
        <v>3327.2548100000004</v>
      </c>
      <c r="G56" s="282">
        <f>+SUM(G57:G65)</f>
        <v>3810.4712700000005</v>
      </c>
      <c r="H56" s="282">
        <f>+SUM(H57:H65)</f>
        <v>3388.6484900000005</v>
      </c>
      <c r="I56" s="282">
        <f>+SUM(I57:I65)</f>
        <v>3157.2336299999997</v>
      </c>
      <c r="J56" s="282">
        <f t="shared" si="17"/>
        <v>10791.846949999999</v>
      </c>
      <c r="K56" s="282">
        <f t="shared" si="17"/>
        <v>10719.1361</v>
      </c>
      <c r="L56" s="282">
        <f t="shared" si="17"/>
        <v>10281.71776</v>
      </c>
      <c r="M56" s="282">
        <f t="shared" si="17"/>
        <v>10593.11601</v>
      </c>
      <c r="N56" s="282">
        <f t="shared" si="17"/>
        <v>8649.2044499999993</v>
      </c>
      <c r="O56" s="282">
        <f t="shared" si="17"/>
        <v>8788.9705400000003</v>
      </c>
      <c r="P56" s="282">
        <f t="shared" si="17"/>
        <v>81405.402236090405</v>
      </c>
      <c r="Q56" s="277"/>
      <c r="R56" s="305"/>
    </row>
    <row r="57" spans="3:20">
      <c r="C57" s="307" t="s">
        <v>116</v>
      </c>
      <c r="D57" s="268">
        <f>+[7]R!E92</f>
        <v>787.18965000000003</v>
      </c>
      <c r="E57" s="268">
        <f>+[7]R!F92</f>
        <v>836.19124999999997</v>
      </c>
      <c r="F57" s="268">
        <f>+[7]R!G92</f>
        <v>915.68350999999996</v>
      </c>
      <c r="G57" s="268">
        <f>+[7]R!H92</f>
        <v>785.28082000000006</v>
      </c>
      <c r="H57" s="268">
        <f>+[7]R!I92</f>
        <v>831.62536999999998</v>
      </c>
      <c r="I57" s="268">
        <f>+[7]R!J92</f>
        <v>828.33642999999995</v>
      </c>
      <c r="J57" s="268">
        <f>+[7]R!K92</f>
        <v>867.36810000000003</v>
      </c>
      <c r="K57" s="268">
        <f>+[7]R!L92</f>
        <v>898.37594999999999</v>
      </c>
      <c r="L57" s="268">
        <f>+[7]R!M92</f>
        <v>889.72117999999989</v>
      </c>
      <c r="M57" s="268">
        <f>+[7]R!N92</f>
        <v>858.78426999999999</v>
      </c>
      <c r="N57" s="268">
        <f>+[7]R!O92</f>
        <v>951.28777000000002</v>
      </c>
      <c r="O57" s="268">
        <f>+[7]R!P92</f>
        <v>952.37075000000004</v>
      </c>
      <c r="P57" s="306">
        <f t="shared" si="7"/>
        <v>10402.215049999999</v>
      </c>
      <c r="Q57" s="327"/>
      <c r="R57" s="305"/>
    </row>
    <row r="58" spans="3:20">
      <c r="C58" s="307" t="s">
        <v>117</v>
      </c>
      <c r="D58" s="268">
        <f>+[7]R!E93</f>
        <v>1355.8300300000001</v>
      </c>
      <c r="E58" s="268">
        <f>+[7]R!F93</f>
        <v>1353.2685699999997</v>
      </c>
      <c r="F58" s="268">
        <f>+[7]R!G93</f>
        <v>1450.4446500000001</v>
      </c>
      <c r="G58" s="268">
        <f>+[7]R!H93</f>
        <v>1536.4170200000001</v>
      </c>
      <c r="H58" s="268">
        <f>+[7]R!I93</f>
        <v>1556.28178</v>
      </c>
      <c r="I58" s="268">
        <f>+[7]R!J93</f>
        <v>1374.2666800000002</v>
      </c>
      <c r="J58" s="268">
        <f>+[7]R!K93</f>
        <v>1283.0519899999999</v>
      </c>
      <c r="K58" s="268">
        <f>+[7]R!L93</f>
        <v>1214.12844</v>
      </c>
      <c r="L58" s="268">
        <f>+[7]R!M93</f>
        <v>1227.3985599999999</v>
      </c>
      <c r="M58" s="268">
        <f>+[7]R!N93</f>
        <v>1324.7961399999999</v>
      </c>
      <c r="N58" s="268">
        <f>+[7]R!O93</f>
        <v>1294.1802600000001</v>
      </c>
      <c r="O58" s="268">
        <f>+[7]R!P93</f>
        <v>1145.6493400000002</v>
      </c>
      <c r="P58" s="306">
        <f t="shared" si="7"/>
        <v>16115.713459999999</v>
      </c>
      <c r="Q58" s="327"/>
      <c r="R58" s="305"/>
    </row>
    <row r="59" spans="3:20">
      <c r="C59" s="307" t="s">
        <v>118</v>
      </c>
      <c r="D59" s="268">
        <f>+[7]R!E94</f>
        <v>261.01960000000003</v>
      </c>
      <c r="E59" s="268">
        <f>+[7]R!F94</f>
        <v>268.50232</v>
      </c>
      <c r="F59" s="268">
        <f>+[7]R!G94</f>
        <v>264.48521</v>
      </c>
      <c r="G59" s="268">
        <f>+[7]R!H94</f>
        <v>310.51703000000003</v>
      </c>
      <c r="H59" s="268">
        <f>+[7]R!I94</f>
        <v>334.14855999999997</v>
      </c>
      <c r="I59" s="268">
        <f>+[7]R!J94</f>
        <v>333.78251999999998</v>
      </c>
      <c r="J59" s="268">
        <f>+[7]R!K94</f>
        <v>320.41665999999998</v>
      </c>
      <c r="K59" s="268">
        <f>+[7]R!L94</f>
        <v>288.12952000000001</v>
      </c>
      <c r="L59" s="268">
        <f>+[7]R!M94</f>
        <v>273.79689000000002</v>
      </c>
      <c r="M59" s="268">
        <f>+[7]R!N94</f>
        <v>290.73987</v>
      </c>
      <c r="N59" s="268">
        <f>+[7]R!O94</f>
        <v>255.39467999999999</v>
      </c>
      <c r="O59" s="268">
        <f>+[7]R!P94</f>
        <v>114.98566000000001</v>
      </c>
      <c r="P59" s="306">
        <f t="shared" si="7"/>
        <v>3315.9185199999997</v>
      </c>
      <c r="Q59" s="277"/>
      <c r="R59" s="305"/>
    </row>
    <row r="60" spans="3:20">
      <c r="C60" s="307" t="s">
        <v>119</v>
      </c>
      <c r="D60" s="268">
        <f>+[7]R!E95</f>
        <v>204.30745999999999</v>
      </c>
      <c r="E60" s="268">
        <f>+[7]R!F95</f>
        <v>187.10008000000002</v>
      </c>
      <c r="F60" s="268">
        <f>+[7]R!G95</f>
        <v>178.65026999999998</v>
      </c>
      <c r="G60" s="268">
        <f>+[7]R!H95</f>
        <v>210.47212999999999</v>
      </c>
      <c r="H60" s="268">
        <f>+[7]R!I95</f>
        <v>206.93913000000001</v>
      </c>
      <c r="I60" s="268">
        <f>+[7]R!J95</f>
        <v>177.26256000000001</v>
      </c>
      <c r="J60" s="268">
        <f>+[7]R!K95</f>
        <v>189.20376000000002</v>
      </c>
      <c r="K60" s="268">
        <f>+[7]R!L95</f>
        <v>193.27842999999999</v>
      </c>
      <c r="L60" s="268">
        <f>+[7]R!M95</f>
        <v>195.29048999999998</v>
      </c>
      <c r="M60" s="268">
        <f>+[7]R!N95</f>
        <v>208.21604000000002</v>
      </c>
      <c r="N60" s="268">
        <f>+[7]R!O95</f>
        <v>186.95211</v>
      </c>
      <c r="O60" s="268">
        <f>+[7]R!P95</f>
        <v>175.41404999999997</v>
      </c>
      <c r="P60" s="306">
        <f t="shared" si="7"/>
        <v>2313.0865100000001</v>
      </c>
      <c r="Q60" s="277"/>
      <c r="R60" s="305"/>
    </row>
    <row r="61" spans="3:20">
      <c r="C61" s="307" t="s">
        <v>120</v>
      </c>
      <c r="D61" s="268">
        <f>+[7]R!E96</f>
        <v>394.31763999999998</v>
      </c>
      <c r="E61" s="268">
        <f>+[7]R!F96</f>
        <v>310.81604999999996</v>
      </c>
      <c r="F61" s="268">
        <f>+[7]R!G96</f>
        <v>303.86313000000001</v>
      </c>
      <c r="G61" s="268">
        <f>+[7]R!H96</f>
        <v>266.96583000000004</v>
      </c>
      <c r="H61" s="268">
        <f>+[7]R!I96</f>
        <v>253.49319999999997</v>
      </c>
      <c r="I61" s="268">
        <f>+[7]R!J96</f>
        <v>254.73251999999999</v>
      </c>
      <c r="J61" s="268">
        <f>+[7]R!K96</f>
        <v>294.1986</v>
      </c>
      <c r="K61" s="268">
        <f>+[7]R!L96</f>
        <v>369.21507000000003</v>
      </c>
      <c r="L61" s="268">
        <f>+[7]R!M96</f>
        <v>324.96040999999997</v>
      </c>
      <c r="M61" s="268">
        <f>+[7]R!N96</f>
        <v>256.68705</v>
      </c>
      <c r="N61" s="268">
        <f>+[7]R!O96</f>
        <v>403.69002</v>
      </c>
      <c r="O61" s="268">
        <f>+[7]R!P96</f>
        <v>523.78347999999994</v>
      </c>
      <c r="P61" s="306">
        <f t="shared" si="7"/>
        <v>3956.7230000000004</v>
      </c>
      <c r="Q61" s="277"/>
      <c r="R61" s="305"/>
    </row>
    <row r="62" spans="3:20">
      <c r="C62" s="307" t="s">
        <v>121</v>
      </c>
      <c r="D62" s="268">
        <f>+[7]R!E97</f>
        <v>148.56241999999997</v>
      </c>
      <c r="E62" s="268">
        <f>+[7]R!F97</f>
        <v>143.94636</v>
      </c>
      <c r="F62" s="268">
        <f>+[7]R!G97</f>
        <v>148.14072999999999</v>
      </c>
      <c r="G62" s="268">
        <f>+[7]R!H97</f>
        <v>139.38723000000002</v>
      </c>
      <c r="H62" s="268">
        <f>+[7]R!I97</f>
        <v>131.86365000000001</v>
      </c>
      <c r="I62" s="268">
        <f>+[7]R!J97</f>
        <v>124.01380999999999</v>
      </c>
      <c r="J62" s="268">
        <f>+[7]R!K97</f>
        <v>125.14871000000001</v>
      </c>
      <c r="K62" s="268">
        <f>+[7]R!L97</f>
        <v>124.93315</v>
      </c>
      <c r="L62" s="268">
        <f>+[7]R!M97</f>
        <v>123.41870999999999</v>
      </c>
      <c r="M62" s="268">
        <f>+[7]R!N97</f>
        <v>133.13103000000001</v>
      </c>
      <c r="N62" s="268">
        <f>+[7]R!O97</f>
        <v>135.10828000000001</v>
      </c>
      <c r="O62" s="268">
        <f>+[7]R!P97</f>
        <v>139.92059</v>
      </c>
      <c r="P62" s="306">
        <f t="shared" si="7"/>
        <v>1617.57467</v>
      </c>
      <c r="Q62" s="277"/>
      <c r="R62" s="305"/>
    </row>
    <row r="63" spans="3:20">
      <c r="C63" s="307" t="s">
        <v>122</v>
      </c>
      <c r="D63" s="268">
        <f>+[7]R!E98</f>
        <v>60.877420000000001</v>
      </c>
      <c r="E63" s="268">
        <f>+[7]R!F98</f>
        <v>49.691580000000002</v>
      </c>
      <c r="F63" s="268">
        <f>+[7]R!G98</f>
        <v>65.987309999999994</v>
      </c>
      <c r="G63" s="268">
        <f>+[7]R!H98</f>
        <v>76.431209999999993</v>
      </c>
      <c r="H63" s="268">
        <f>+[7]R!I98</f>
        <v>74.296800000000005</v>
      </c>
      <c r="I63" s="268">
        <f>+[7]R!J98</f>
        <v>64.839110000000005</v>
      </c>
      <c r="J63" s="268">
        <f>+[7]R!K98</f>
        <v>58.399130000000007</v>
      </c>
      <c r="K63" s="268">
        <f>+[7]R!L98</f>
        <v>57.575540000000004</v>
      </c>
      <c r="L63" s="268">
        <f>+[7]R!M98</f>
        <v>70.091520000000003</v>
      </c>
      <c r="M63" s="268">
        <f>+[7]R!N98</f>
        <v>74.961610000000007</v>
      </c>
      <c r="N63" s="268">
        <f>+[7]R!O98</f>
        <v>69.37133</v>
      </c>
      <c r="O63" s="268">
        <f>+[7]R!P98</f>
        <v>53.496670000000002</v>
      </c>
      <c r="P63" s="306">
        <f t="shared" si="7"/>
        <v>776.01922999999988</v>
      </c>
      <c r="Q63" s="277"/>
      <c r="R63" s="305"/>
    </row>
    <row r="64" spans="3:20">
      <c r="C64" s="307" t="s">
        <v>123</v>
      </c>
      <c r="D64" s="268">
        <f>+[7]R!E99</f>
        <v>0</v>
      </c>
      <c r="E64" s="268">
        <f>+[7]R!F99</f>
        <v>0</v>
      </c>
      <c r="F64" s="268">
        <f>+[7]R!G99</f>
        <v>0</v>
      </c>
      <c r="G64" s="268">
        <f>+[7]R!H99</f>
        <v>0</v>
      </c>
      <c r="H64" s="268">
        <f>+[7]R!I99</f>
        <v>0</v>
      </c>
      <c r="I64" s="268">
        <f>+[7]R!J99</f>
        <v>0</v>
      </c>
      <c r="J64" s="268">
        <f>+[7]R!K99</f>
        <v>0</v>
      </c>
      <c r="K64" s="268">
        <f>+[7]R!L99</f>
        <v>0</v>
      </c>
      <c r="L64" s="268">
        <f>+[7]R!M99</f>
        <v>0</v>
      </c>
      <c r="M64" s="268">
        <f>+[7]R!N99</f>
        <v>0</v>
      </c>
      <c r="N64" s="268">
        <f>+[7]R!O99</f>
        <v>0</v>
      </c>
      <c r="O64" s="268">
        <f>+[7]R!P99</f>
        <v>0</v>
      </c>
      <c r="P64" s="306">
        <f>SUM(D64:O64)</f>
        <v>0</v>
      </c>
      <c r="Q64" s="277"/>
      <c r="R64" s="305"/>
    </row>
    <row r="65" spans="1:248">
      <c r="C65" s="307" t="s">
        <v>133</v>
      </c>
      <c r="D65" s="268">
        <f>+[7]R!E100</f>
        <v>669.95650705899834</v>
      </c>
      <c r="E65" s="268">
        <f>+[7]R!F100</f>
        <v>866.22528903141381</v>
      </c>
      <c r="F65" s="268">
        <f>+[7]R!G100</f>
        <v>0</v>
      </c>
      <c r="G65" s="268">
        <f>+[7]R!H100</f>
        <v>485.00000000000006</v>
      </c>
      <c r="H65" s="268">
        <f>+[7]R!I100</f>
        <v>0</v>
      </c>
      <c r="I65" s="268">
        <f>+[7]R!J100</f>
        <v>0</v>
      </c>
      <c r="J65" s="268">
        <f>+[7]R!K101</f>
        <v>7654.0599999999995</v>
      </c>
      <c r="K65" s="268">
        <f>+[7]R!L101</f>
        <v>7573.5000000000009</v>
      </c>
      <c r="L65" s="268">
        <f>+[7]R!M101</f>
        <v>7177.04</v>
      </c>
      <c r="M65" s="268">
        <f>+[7]R!N101</f>
        <v>7445.7999999999993</v>
      </c>
      <c r="N65" s="268">
        <f>+[7]R!O101</f>
        <v>5353.2199999999993</v>
      </c>
      <c r="O65" s="268">
        <f>+[7]R!P101</f>
        <v>5683.35</v>
      </c>
      <c r="P65" s="306">
        <f>SUM(D65:O65)</f>
        <v>42908.151796090409</v>
      </c>
      <c r="Q65" s="277"/>
      <c r="R65" s="305"/>
    </row>
    <row r="66" spans="1:248">
      <c r="C66" s="353" t="s">
        <v>126</v>
      </c>
      <c r="D66" s="345">
        <f>+SUM(D67)</f>
        <v>5611.920000000001</v>
      </c>
      <c r="E66" s="345">
        <f t="shared" ref="E66:P66" si="18">+SUM(E67)</f>
        <v>4928.87</v>
      </c>
      <c r="F66" s="345">
        <f t="shared" si="18"/>
        <v>4773.6600000000008</v>
      </c>
      <c r="G66" s="345">
        <f t="shared" si="18"/>
        <v>4626.53</v>
      </c>
      <c r="H66" s="345">
        <f t="shared" si="18"/>
        <v>5379.52</v>
      </c>
      <c r="I66" s="345">
        <f t="shared" si="18"/>
        <v>5254.3900000000012</v>
      </c>
      <c r="J66" s="345">
        <f t="shared" si="18"/>
        <v>5422.0599999999995</v>
      </c>
      <c r="K66" s="345">
        <f t="shared" si="18"/>
        <v>5341.5000000000009</v>
      </c>
      <c r="L66" s="345">
        <f t="shared" si="18"/>
        <v>5017.04</v>
      </c>
      <c r="M66" s="345">
        <f t="shared" si="18"/>
        <v>5213.7999999999993</v>
      </c>
      <c r="N66" s="345">
        <f t="shared" si="18"/>
        <v>3193.2199999999993</v>
      </c>
      <c r="O66" s="345">
        <f t="shared" si="18"/>
        <v>3451.35</v>
      </c>
      <c r="P66" s="345">
        <f t="shared" si="18"/>
        <v>58213.859999999993</v>
      </c>
      <c r="Q66" s="277"/>
      <c r="R66" s="305"/>
    </row>
    <row r="67" spans="1:248">
      <c r="C67" s="354" t="s">
        <v>127</v>
      </c>
      <c r="D67" s="355">
        <f>+[7]R!E102</f>
        <v>5611.920000000001</v>
      </c>
      <c r="E67" s="355">
        <f>+[7]R!F102</f>
        <v>4928.87</v>
      </c>
      <c r="F67" s="355">
        <f>+[7]R!G102</f>
        <v>4773.6600000000008</v>
      </c>
      <c r="G67" s="355">
        <f>+[7]R!H102</f>
        <v>4626.53</v>
      </c>
      <c r="H67" s="355">
        <f>+[7]R!I102</f>
        <v>5379.52</v>
      </c>
      <c r="I67" s="355">
        <f>+[7]R!J102</f>
        <v>5254.3900000000012</v>
      </c>
      <c r="J67" s="355">
        <f>+[7]R!K102</f>
        <v>5422.0599999999995</v>
      </c>
      <c r="K67" s="355">
        <f>+[7]R!L102</f>
        <v>5341.5000000000009</v>
      </c>
      <c r="L67" s="355">
        <f>+[7]R!M102</f>
        <v>5017.04</v>
      </c>
      <c r="M67" s="355">
        <f>+[7]R!N102</f>
        <v>5213.7999999999993</v>
      </c>
      <c r="N67" s="355">
        <f>+[7]R!O102</f>
        <v>3193.2199999999993</v>
      </c>
      <c r="O67" s="355">
        <f>+[7]R!P102</f>
        <v>3451.35</v>
      </c>
      <c r="P67" s="355">
        <f>SUM(D67:O67)</f>
        <v>58213.859999999993</v>
      </c>
      <c r="Q67" s="277"/>
      <c r="R67" s="305"/>
    </row>
    <row r="68" spans="1:248">
      <c r="D68" s="293">
        <f t="shared" ref="D68:O68" si="19">+D35/D28</f>
        <v>5.4372249184424229E-3</v>
      </c>
      <c r="E68" s="293">
        <f t="shared" si="19"/>
        <v>5.5054102567583304E-3</v>
      </c>
      <c r="F68" s="293">
        <f t="shared" si="19"/>
        <v>2.673329638569805E-3</v>
      </c>
      <c r="G68" s="293">
        <f t="shared" si="19"/>
        <v>3.1422760967359602E-3</v>
      </c>
      <c r="H68" s="293">
        <f t="shared" si="19"/>
        <v>4.4878910399142906E-3</v>
      </c>
      <c r="I68" s="293">
        <f t="shared" si="19"/>
        <v>4.4714720523620199E-3</v>
      </c>
      <c r="J68" s="293" t="e">
        <f t="shared" si="19"/>
        <v>#DIV/0!</v>
      </c>
      <c r="K68" s="293" t="e">
        <f t="shared" si="19"/>
        <v>#DIV/0!</v>
      </c>
      <c r="L68" s="293" t="e">
        <f t="shared" si="19"/>
        <v>#DIV/0!</v>
      </c>
      <c r="M68" s="293" t="e">
        <f t="shared" si="19"/>
        <v>#DIV/0!</v>
      </c>
      <c r="N68" s="293" t="e">
        <f t="shared" si="19"/>
        <v>#DIV/0!</v>
      </c>
      <c r="O68" s="293" t="e">
        <f t="shared" si="19"/>
        <v>#DIV/0!</v>
      </c>
    </row>
    <row r="69" spans="1:248">
      <c r="D69" s="294"/>
      <c r="E69" s="295"/>
      <c r="F69" s="294"/>
      <c r="G69" s="294"/>
      <c r="H69" s="294"/>
      <c r="L69" s="246"/>
      <c r="M69" s="246"/>
    </row>
    <row r="70" spans="1:248">
      <c r="C70" s="221" t="s">
        <v>92</v>
      </c>
      <c r="D70" s="294"/>
      <c r="E70" s="295"/>
      <c r="F70" s="294"/>
      <c r="G70" s="294"/>
      <c r="H70" s="294"/>
      <c r="L70" s="246"/>
      <c r="M70" s="246"/>
    </row>
    <row r="71" spans="1:248" s="231" customFormat="1">
      <c r="A71" s="221"/>
      <c r="B71" s="221"/>
      <c r="C71" s="221"/>
      <c r="D71" s="106">
        <f t="shared" ref="D71:I71" si="20">+D45+D52</f>
        <v>42966.706590000002</v>
      </c>
      <c r="E71" s="106">
        <f t="shared" si="20"/>
        <v>41828.843569999997</v>
      </c>
      <c r="F71" s="106">
        <f t="shared" si="20"/>
        <v>42026.621460000002</v>
      </c>
      <c r="G71" s="106">
        <f t="shared" si="20"/>
        <v>40211.246800000001</v>
      </c>
      <c r="H71" s="106">
        <f t="shared" si="20"/>
        <v>39758.472020000001</v>
      </c>
      <c r="I71" s="106">
        <f t="shared" si="20"/>
        <v>36557.874859999996</v>
      </c>
      <c r="J71" s="106"/>
      <c r="K71" s="106"/>
      <c r="L71" s="106"/>
      <c r="M71" s="106"/>
      <c r="N71" s="106"/>
      <c r="O71" s="106"/>
    </row>
    <row r="72" spans="1:248">
      <c r="D72" s="296">
        <f t="shared" ref="D72:I72" si="21">+D56+D66</f>
        <v>9493.980727058999</v>
      </c>
      <c r="E72" s="296">
        <f t="shared" si="21"/>
        <v>8944.6114990314127</v>
      </c>
      <c r="F72" s="296">
        <f t="shared" si="21"/>
        <v>8100.9148100000011</v>
      </c>
      <c r="G72" s="296">
        <f t="shared" si="21"/>
        <v>8437.0012700000007</v>
      </c>
      <c r="H72" s="296">
        <f t="shared" si="21"/>
        <v>8768.16849</v>
      </c>
      <c r="I72" s="296">
        <f t="shared" si="21"/>
        <v>8411.6236300000019</v>
      </c>
      <c r="J72" s="296"/>
      <c r="K72" s="296"/>
      <c r="L72" s="296"/>
      <c r="M72" s="296"/>
      <c r="N72" s="296"/>
      <c r="O72" s="296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231"/>
      <c r="AO72" s="231"/>
      <c r="AP72" s="231"/>
      <c r="AQ72" s="231"/>
      <c r="AR72" s="231"/>
      <c r="AS72" s="231"/>
      <c r="AT72" s="231"/>
      <c r="AU72" s="231"/>
      <c r="AV72" s="231"/>
      <c r="AW72" s="231"/>
      <c r="AX72" s="231"/>
      <c r="AY72" s="231"/>
      <c r="AZ72" s="231"/>
      <c r="BA72" s="231"/>
      <c r="BB72" s="231"/>
      <c r="BC72" s="231"/>
      <c r="BD72" s="231"/>
      <c r="BE72" s="231"/>
      <c r="BF72" s="231"/>
      <c r="BG72" s="231"/>
      <c r="BH72" s="231"/>
      <c r="BI72" s="231"/>
      <c r="BJ72" s="231"/>
      <c r="BK72" s="231"/>
      <c r="BL72" s="231"/>
      <c r="BM72" s="231"/>
      <c r="BN72" s="231"/>
      <c r="BO72" s="231"/>
      <c r="BP72" s="231"/>
      <c r="BQ72" s="231"/>
      <c r="BR72" s="231"/>
      <c r="BS72" s="231"/>
      <c r="BT72" s="231"/>
      <c r="BU72" s="231"/>
      <c r="BV72" s="231"/>
      <c r="BW72" s="231"/>
      <c r="BX72" s="231"/>
      <c r="BY72" s="231"/>
      <c r="BZ72" s="231"/>
      <c r="CA72" s="231"/>
      <c r="CB72" s="231"/>
      <c r="CC72" s="231"/>
      <c r="CD72" s="231"/>
      <c r="CE72" s="231"/>
      <c r="CF72" s="231"/>
      <c r="CG72" s="231"/>
      <c r="CH72" s="231"/>
      <c r="CI72" s="231"/>
      <c r="CJ72" s="231"/>
      <c r="CK72" s="231"/>
      <c r="CL72" s="231"/>
      <c r="CM72" s="231"/>
      <c r="CN72" s="231"/>
      <c r="CO72" s="231"/>
      <c r="CP72" s="231"/>
      <c r="CQ72" s="231"/>
      <c r="CR72" s="231"/>
      <c r="CS72" s="231"/>
      <c r="CT72" s="231"/>
      <c r="CU72" s="231"/>
      <c r="CV72" s="231"/>
      <c r="CW72" s="231"/>
      <c r="CX72" s="231"/>
      <c r="CY72" s="231"/>
      <c r="CZ72" s="231"/>
      <c r="DA72" s="231"/>
      <c r="DB72" s="231"/>
      <c r="DC72" s="231"/>
      <c r="DD72" s="231"/>
      <c r="DE72" s="231"/>
      <c r="DF72" s="231"/>
      <c r="DG72" s="231"/>
      <c r="DH72" s="231"/>
      <c r="DI72" s="231"/>
      <c r="DJ72" s="231"/>
      <c r="DK72" s="231"/>
      <c r="DL72" s="231"/>
      <c r="DM72" s="231"/>
      <c r="DN72" s="231"/>
      <c r="DO72" s="231"/>
      <c r="DP72" s="231"/>
      <c r="DQ72" s="231"/>
      <c r="DR72" s="231"/>
      <c r="DS72" s="231"/>
      <c r="DT72" s="231"/>
      <c r="DU72" s="231"/>
      <c r="DV72" s="231"/>
      <c r="DW72" s="231"/>
      <c r="DX72" s="231"/>
      <c r="DY72" s="231"/>
      <c r="DZ72" s="231"/>
      <c r="EA72" s="231"/>
      <c r="EB72" s="231"/>
      <c r="EC72" s="231"/>
      <c r="ED72" s="231"/>
      <c r="EE72" s="231"/>
      <c r="EF72" s="231"/>
      <c r="EG72" s="231"/>
      <c r="EH72" s="231"/>
      <c r="EI72" s="231"/>
      <c r="EJ72" s="231"/>
      <c r="EK72" s="231"/>
      <c r="EL72" s="231"/>
      <c r="EM72" s="231"/>
      <c r="EN72" s="231"/>
      <c r="EO72" s="231"/>
      <c r="EP72" s="231"/>
      <c r="EQ72" s="231"/>
      <c r="ER72" s="231"/>
      <c r="ES72" s="231"/>
      <c r="ET72" s="231"/>
      <c r="EU72" s="231"/>
      <c r="EV72" s="231"/>
      <c r="EW72" s="231"/>
      <c r="EX72" s="231"/>
      <c r="EY72" s="231"/>
      <c r="EZ72" s="231"/>
      <c r="FA72" s="231"/>
      <c r="FB72" s="231"/>
      <c r="FC72" s="231"/>
      <c r="FD72" s="231"/>
      <c r="FE72" s="231"/>
      <c r="FF72" s="231"/>
      <c r="FG72" s="231"/>
      <c r="FH72" s="231"/>
      <c r="FI72" s="231"/>
      <c r="FJ72" s="231"/>
      <c r="FK72" s="231"/>
      <c r="FL72" s="231"/>
      <c r="FM72" s="231"/>
      <c r="FN72" s="231"/>
      <c r="FO72" s="231"/>
      <c r="FP72" s="231"/>
      <c r="FQ72" s="231"/>
      <c r="FR72" s="231"/>
      <c r="FS72" s="231"/>
      <c r="FT72" s="231"/>
      <c r="FU72" s="231"/>
      <c r="FV72" s="231"/>
      <c r="FW72" s="231"/>
      <c r="FX72" s="231"/>
      <c r="FY72" s="231"/>
      <c r="FZ72" s="231"/>
      <c r="GA72" s="231"/>
      <c r="GB72" s="231"/>
      <c r="GC72" s="231"/>
      <c r="GD72" s="231"/>
      <c r="GE72" s="231"/>
      <c r="GF72" s="231"/>
      <c r="GG72" s="231"/>
      <c r="GH72" s="231"/>
      <c r="GI72" s="231"/>
      <c r="GJ72" s="231"/>
      <c r="GK72" s="231"/>
      <c r="GL72" s="231"/>
      <c r="GM72" s="231"/>
      <c r="GN72" s="231"/>
      <c r="GO72" s="231"/>
      <c r="GP72" s="231"/>
      <c r="GQ72" s="231"/>
      <c r="GR72" s="231"/>
      <c r="GS72" s="231"/>
      <c r="GT72" s="231"/>
      <c r="GU72" s="231"/>
      <c r="GV72" s="231"/>
      <c r="GW72" s="231"/>
      <c r="GX72" s="231"/>
      <c r="GY72" s="231"/>
      <c r="GZ72" s="231"/>
      <c r="HA72" s="231"/>
      <c r="HB72" s="231"/>
      <c r="HC72" s="231"/>
      <c r="HD72" s="231"/>
      <c r="HE72" s="231"/>
      <c r="HF72" s="231"/>
      <c r="HG72" s="231"/>
      <c r="HH72" s="231"/>
      <c r="HI72" s="231"/>
      <c r="HJ72" s="231"/>
      <c r="HK72" s="231"/>
      <c r="HL72" s="231"/>
      <c r="HM72" s="231"/>
      <c r="HN72" s="231"/>
      <c r="HO72" s="231"/>
      <c r="HP72" s="231"/>
      <c r="HQ72" s="231"/>
      <c r="HR72" s="231"/>
      <c r="HS72" s="231"/>
      <c r="HT72" s="231"/>
      <c r="HU72" s="231"/>
      <c r="HV72" s="231"/>
      <c r="HW72" s="231"/>
      <c r="HX72" s="231"/>
      <c r="HY72" s="231"/>
      <c r="HZ72" s="231"/>
      <c r="IA72" s="231"/>
      <c r="IB72" s="231"/>
      <c r="IC72" s="231"/>
      <c r="ID72" s="231"/>
      <c r="IE72" s="231"/>
      <c r="IF72" s="231"/>
      <c r="IG72" s="231"/>
      <c r="IH72" s="231"/>
      <c r="II72" s="231"/>
      <c r="IJ72" s="231"/>
      <c r="IK72" s="231"/>
      <c r="IL72" s="231"/>
      <c r="IM72" s="231"/>
      <c r="IN72" s="231"/>
    </row>
    <row r="73" spans="1:248">
      <c r="D73" s="297">
        <f>+D40-D41</f>
        <v>0.31786531723628286</v>
      </c>
      <c r="E73" s="297">
        <f t="shared" ref="E73:O73" si="22">+E40-E41</f>
        <v>-7.0744365216378355</v>
      </c>
      <c r="F73" s="297">
        <f t="shared" si="22"/>
        <v>2.0267438667360693E-3</v>
      </c>
      <c r="G73" s="297">
        <f t="shared" si="22"/>
        <v>1.7462298274040222E-10</v>
      </c>
      <c r="H73" s="297">
        <f t="shared" si="22"/>
        <v>9.1677065938711166E-10</v>
      </c>
      <c r="I73" s="297">
        <f t="shared" si="22"/>
        <v>281.92251090513309</v>
      </c>
      <c r="J73" s="297">
        <f t="shared" si="22"/>
        <v>-54770.84399398532</v>
      </c>
      <c r="K73" s="297">
        <f t="shared" si="22"/>
        <v>-55108.426842200439</v>
      </c>
      <c r="L73" s="297">
        <f t="shared" si="22"/>
        <v>-53601.415137261589</v>
      </c>
      <c r="M73" s="297">
        <f t="shared" si="22"/>
        <v>-54472.841530000005</v>
      </c>
      <c r="N73" s="297">
        <f t="shared" si="22"/>
        <v>-48955.234809999994</v>
      </c>
      <c r="O73" s="297">
        <f t="shared" si="22"/>
        <v>-50621.829319999997</v>
      </c>
      <c r="P73" s="297"/>
    </row>
    <row r="74" spans="1:248">
      <c r="B74" s="278"/>
      <c r="C74" s="249"/>
      <c r="D74" s="297">
        <f>+D73*0.4</f>
        <v>0.12714612689451316</v>
      </c>
      <c r="E74" s="297">
        <f t="shared" ref="E74:O74" si="23">+E73*0.4</f>
        <v>-2.8297746086551343</v>
      </c>
      <c r="F74" s="297">
        <f t="shared" si="23"/>
        <v>8.1069754669442777E-4</v>
      </c>
      <c r="G74" s="297">
        <f t="shared" si="23"/>
        <v>6.9849193096160899E-11</v>
      </c>
      <c r="H74" s="297">
        <f t="shared" si="23"/>
        <v>3.6670826375484471E-10</v>
      </c>
      <c r="I74" s="297">
        <f t="shared" si="23"/>
        <v>112.76900436205324</v>
      </c>
      <c r="J74" s="297">
        <f t="shared" si="23"/>
        <v>-21908.337597594131</v>
      </c>
      <c r="K74" s="297">
        <f t="shared" si="23"/>
        <v>-22043.370736880177</v>
      </c>
      <c r="L74" s="297">
        <f t="shared" si="23"/>
        <v>-21440.566054904637</v>
      </c>
      <c r="M74" s="297">
        <f t="shared" si="23"/>
        <v>-21789.136612000002</v>
      </c>
      <c r="N74" s="297">
        <f t="shared" si="23"/>
        <v>-19582.093923999997</v>
      </c>
      <c r="O74" s="297">
        <f t="shared" si="23"/>
        <v>-20248.731727999999</v>
      </c>
      <c r="P74" s="297"/>
    </row>
    <row r="75" spans="1:248">
      <c r="B75" s="278"/>
      <c r="C75" s="249"/>
      <c r="D75" s="297">
        <f>+D73*0.6</f>
        <v>0.19071919034176971</v>
      </c>
      <c r="E75" s="297">
        <f t="shared" ref="E75:O75" si="24">+E73*0.6</f>
        <v>-4.2446619129827008</v>
      </c>
      <c r="F75" s="297">
        <f t="shared" si="24"/>
        <v>1.2160463200416415E-3</v>
      </c>
      <c r="G75" s="297">
        <f t="shared" si="24"/>
        <v>1.0477378964424132E-10</v>
      </c>
      <c r="H75" s="297">
        <f t="shared" si="24"/>
        <v>5.5006239563226696E-10</v>
      </c>
      <c r="I75" s="297">
        <f t="shared" si="24"/>
        <v>169.15350654307986</v>
      </c>
      <c r="J75" s="297">
        <f t="shared" si="24"/>
        <v>-32862.506396391189</v>
      </c>
      <c r="K75" s="297">
        <f t="shared" si="24"/>
        <v>-33065.056105320262</v>
      </c>
      <c r="L75" s="297">
        <f t="shared" si="24"/>
        <v>-32160.849082356952</v>
      </c>
      <c r="M75" s="297">
        <f t="shared" si="24"/>
        <v>-32683.704918000003</v>
      </c>
      <c r="N75" s="297">
        <f t="shared" si="24"/>
        <v>-29373.140885999997</v>
      </c>
      <c r="O75" s="297">
        <f t="shared" si="24"/>
        <v>-30373.097591999998</v>
      </c>
      <c r="P75" s="297"/>
    </row>
    <row r="76" spans="1:248">
      <c r="B76" s="278"/>
      <c r="C76" s="249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</row>
  </sheetData>
  <printOptions horizontalCentered="1"/>
  <pageMargins left="0.39370078740157483" right="0.39370078740157483" top="1.3779527559055118" bottom="1" header="0" footer="0"/>
  <pageSetup paperSize="9" scale="77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BE11-4DA0-4C11-9E50-DADD553D8FDE}">
  <sheetPr codeName="Sheet23">
    <pageSetUpPr fitToPage="1"/>
  </sheetPr>
  <dimension ref="A2:IN95"/>
  <sheetViews>
    <sheetView view="pageBreakPreview" topLeftCell="B9" zoomScaleNormal="80" zoomScaleSheetLayoutView="100" zoomScalePageLayoutView="85" workbookViewId="0">
      <selection activeCell="P68" sqref="P68:P69"/>
    </sheetView>
  </sheetViews>
  <sheetFormatPr baseColWidth="10" defaultColWidth="9" defaultRowHeight="11.25"/>
  <cols>
    <col min="1" max="1" width="3" style="221" customWidth="1"/>
    <col min="2" max="2" width="3.85546875" style="221" customWidth="1"/>
    <col min="3" max="3" width="26.85546875" style="221" bestFit="1" customWidth="1"/>
    <col min="4" max="4" width="10.7109375" style="221" customWidth="1"/>
    <col min="5" max="5" width="10.7109375" style="221" bestFit="1" customWidth="1"/>
    <col min="6" max="8" width="10.7109375" style="221" customWidth="1"/>
    <col min="9" max="9" width="11.85546875" style="221" customWidth="1"/>
    <col min="10" max="15" width="11.7109375" style="221" customWidth="1"/>
    <col min="16" max="16" width="15.7109375" style="221" customWidth="1"/>
    <col min="17" max="17" width="3.28515625" style="221" customWidth="1"/>
    <col min="18" max="18" width="10.5703125" style="221" bestFit="1" customWidth="1"/>
    <col min="19" max="19" width="9.85546875" style="221" bestFit="1" customWidth="1"/>
    <col min="20" max="20" width="9.42578125" style="221" bestFit="1" customWidth="1"/>
    <col min="21" max="16384" width="9" style="221"/>
  </cols>
  <sheetData>
    <row r="2" spans="3:16" ht="13.5" customHeight="1"/>
    <row r="3" spans="3:16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168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360">
        <v>1071.4801257123947</v>
      </c>
      <c r="E8" s="360">
        <v>641.48354343147889</v>
      </c>
      <c r="F8" s="360">
        <v>1070.9441155992747</v>
      </c>
      <c r="G8" s="360">
        <v>1112.831780352499</v>
      </c>
      <c r="H8" s="360">
        <v>1111.4552526048421</v>
      </c>
      <c r="I8" s="360">
        <v>1179.1163690490723</v>
      </c>
      <c r="J8" s="360">
        <v>1227.3952107833361</v>
      </c>
      <c r="K8" s="360">
        <v>1234.0160851449966</v>
      </c>
      <c r="L8" s="360">
        <v>1098.9526686256986</v>
      </c>
      <c r="M8" s="360">
        <v>1196.4329496154785</v>
      </c>
      <c r="N8" s="360">
        <v>1109.5140981475115</v>
      </c>
      <c r="O8" s="360"/>
      <c r="P8" s="269">
        <f t="shared" ref="P8:P14" si="0">+SUM(D8:O8)</f>
        <v>12053.622199066584</v>
      </c>
    </row>
    <row r="9" spans="3:16">
      <c r="C9" s="234" t="s">
        <v>17</v>
      </c>
      <c r="D9" s="360">
        <v>404.07446083474161</v>
      </c>
      <c r="E9" s="360">
        <v>240.09358940844595</v>
      </c>
      <c r="F9" s="360">
        <v>307.68512540183553</v>
      </c>
      <c r="G9" s="360">
        <v>289.89299666596031</v>
      </c>
      <c r="H9" s="360">
        <v>401.21818551334741</v>
      </c>
      <c r="I9" s="360">
        <v>392.73166775226463</v>
      </c>
      <c r="J9" s="360">
        <v>412.36309768211919</v>
      </c>
      <c r="K9" s="360">
        <v>415.9599274068164</v>
      </c>
      <c r="L9" s="360">
        <v>397.44116822347047</v>
      </c>
      <c r="M9" s="360">
        <v>414.96536869551824</v>
      </c>
      <c r="N9" s="360">
        <v>397.44756723966833</v>
      </c>
      <c r="O9" s="360"/>
      <c r="P9" s="269">
        <f t="shared" si="0"/>
        <v>4073.8731548241885</v>
      </c>
    </row>
    <row r="10" spans="3:16">
      <c r="C10" s="234" t="s">
        <v>18</v>
      </c>
      <c r="D10" s="360">
        <v>3247.1436416816709</v>
      </c>
      <c r="E10" s="360">
        <v>1937.0824618477523</v>
      </c>
      <c r="F10" s="360">
        <v>3152.9510521995426</v>
      </c>
      <c r="G10" s="360">
        <v>3217.7276859518288</v>
      </c>
      <c r="H10" s="360">
        <v>3250.2231558488606</v>
      </c>
      <c r="I10" s="360">
        <v>3316.9198746948241</v>
      </c>
      <c r="J10" s="360">
        <v>3342.7577209835054</v>
      </c>
      <c r="K10" s="360">
        <v>3460.3538351020811</v>
      </c>
      <c r="L10" s="360">
        <v>3253.4667921400069</v>
      </c>
      <c r="M10" s="360">
        <v>3469.1438617248537</v>
      </c>
      <c r="N10" s="360">
        <v>3236.668688128233</v>
      </c>
      <c r="O10" s="360"/>
      <c r="P10" s="269">
        <f t="shared" si="0"/>
        <v>34884.438770303153</v>
      </c>
    </row>
    <row r="11" spans="3:16">
      <c r="C11" s="234" t="s">
        <v>19</v>
      </c>
      <c r="D11" s="360">
        <v>4544.3818629291873</v>
      </c>
      <c r="E11" s="360">
        <v>268.0055301438681</v>
      </c>
      <c r="F11" s="360">
        <v>4915.6273986550814</v>
      </c>
      <c r="G11" s="360">
        <v>7198.528393291218</v>
      </c>
      <c r="H11" s="360">
        <v>8175.1059603481872</v>
      </c>
      <c r="I11" s="360">
        <v>8617.9938681294025</v>
      </c>
      <c r="J11" s="360">
        <v>8899.9958844158355</v>
      </c>
      <c r="K11" s="360">
        <v>9125.2142678133278</v>
      </c>
      <c r="L11" s="360">
        <v>9020.468833935347</v>
      </c>
      <c r="M11" s="360">
        <v>9029.9013549556566</v>
      </c>
      <c r="N11" s="360">
        <v>8811.3212131629734</v>
      </c>
      <c r="O11" s="360"/>
      <c r="P11" s="269">
        <f t="shared" si="0"/>
        <v>78606.544567780074</v>
      </c>
    </row>
    <row r="12" spans="3:16">
      <c r="C12" s="234" t="s">
        <v>20</v>
      </c>
      <c r="D12" s="360">
        <v>48993.449982387545</v>
      </c>
      <c r="E12" s="360">
        <v>73638.445548386095</v>
      </c>
      <c r="F12" s="360">
        <v>103348.24450420434</v>
      </c>
      <c r="G12" s="360">
        <v>89778.412216391895</v>
      </c>
      <c r="H12" s="360">
        <v>55201.793487043869</v>
      </c>
      <c r="I12" s="360">
        <v>54628.248451390864</v>
      </c>
      <c r="J12" s="360">
        <v>55641.347944330242</v>
      </c>
      <c r="K12" s="360">
        <v>57478.526284375264</v>
      </c>
      <c r="L12" s="360">
        <v>58425.001062251387</v>
      </c>
      <c r="M12" s="360">
        <v>58873.805630592586</v>
      </c>
      <c r="N12" s="360">
        <v>56862.163104238301</v>
      </c>
      <c r="O12" s="360"/>
      <c r="P12" s="269">
        <f t="shared" si="0"/>
        <v>712869.43821559253</v>
      </c>
    </row>
    <row r="13" spans="3:16">
      <c r="C13" s="234" t="s">
        <v>21</v>
      </c>
      <c r="D13" s="360">
        <v>4376.2359955304828</v>
      </c>
      <c r="E13" s="360">
        <v>2624.4824723689412</v>
      </c>
      <c r="F13" s="360">
        <v>5180.7431619914996</v>
      </c>
      <c r="G13" s="360">
        <v>5434.7071193848215</v>
      </c>
      <c r="H13" s="360">
        <v>1040.3780395913125</v>
      </c>
      <c r="I13" s="360">
        <v>0</v>
      </c>
      <c r="J13" s="360">
        <v>0</v>
      </c>
      <c r="K13" s="360">
        <v>0</v>
      </c>
      <c r="L13" s="360">
        <v>0</v>
      </c>
      <c r="M13" s="360">
        <v>0</v>
      </c>
      <c r="N13" s="360">
        <v>0</v>
      </c>
      <c r="O13" s="360"/>
      <c r="P13" s="269">
        <f t="shared" si="0"/>
        <v>18656.546788867057</v>
      </c>
    </row>
    <row r="14" spans="3:16">
      <c r="C14" s="240" t="s">
        <v>22</v>
      </c>
      <c r="D14" s="361">
        <f t="shared" ref="D14:M14" si="1">SUM(D8:D13)</f>
        <v>62636.766069076024</v>
      </c>
      <c r="E14" s="361">
        <f>SUM(E8:E13)</f>
        <v>79349.593145586579</v>
      </c>
      <c r="F14" s="361">
        <f>SUM(F8:F13)</f>
        <v>117976.19535805157</v>
      </c>
      <c r="G14" s="361">
        <f>SUM(G8:G13)</f>
        <v>107032.10019203823</v>
      </c>
      <c r="H14" s="361">
        <f>SUM(H8:H13)</f>
        <v>69180.174080950412</v>
      </c>
      <c r="I14" s="361">
        <f t="shared" si="1"/>
        <v>68135.010231016422</v>
      </c>
      <c r="J14" s="361">
        <f t="shared" si="1"/>
        <v>69523.859858195035</v>
      </c>
      <c r="K14" s="361">
        <f t="shared" si="1"/>
        <v>71714.070399842487</v>
      </c>
      <c r="L14" s="361">
        <f t="shared" si="1"/>
        <v>72195.330525175916</v>
      </c>
      <c r="M14" s="361">
        <f t="shared" si="1"/>
        <v>72984.2491655841</v>
      </c>
      <c r="N14" s="361">
        <f>SUM(N8:N13)</f>
        <v>70417.114670916693</v>
      </c>
      <c r="O14" s="361">
        <f>SUM(O8:O13)</f>
        <v>0</v>
      </c>
      <c r="P14" s="362">
        <f t="shared" si="0"/>
        <v>861144.46369643346</v>
      </c>
    </row>
    <row r="15" spans="3:16">
      <c r="C15" s="228" t="s">
        <v>23</v>
      </c>
      <c r="D15" s="360"/>
      <c r="E15" s="360"/>
      <c r="F15" s="360"/>
      <c r="G15" s="360"/>
      <c r="H15" s="360"/>
      <c r="I15" s="268"/>
      <c r="J15" s="268"/>
      <c r="K15" s="268"/>
      <c r="L15" s="268"/>
      <c r="M15" s="268"/>
      <c r="N15" s="268"/>
      <c r="O15" s="268"/>
      <c r="P15" s="269"/>
    </row>
    <row r="16" spans="3:16">
      <c r="C16" s="248" t="s">
        <v>24</v>
      </c>
      <c r="D16" s="360"/>
      <c r="E16" s="360"/>
      <c r="F16" s="360"/>
      <c r="G16" s="360"/>
      <c r="H16" s="360"/>
      <c r="I16" s="268"/>
      <c r="J16" s="268"/>
      <c r="K16" s="268"/>
      <c r="L16" s="268"/>
      <c r="M16" s="268"/>
      <c r="N16" s="268"/>
      <c r="O16" s="268"/>
      <c r="P16" s="269">
        <f t="shared" ref="P16:P22" si="2">+SUM(D16:O16)</f>
        <v>0</v>
      </c>
    </row>
    <row r="17" spans="3:20">
      <c r="C17" s="234" t="s">
        <v>25</v>
      </c>
      <c r="D17" s="360">
        <v>5.3895011291503909</v>
      </c>
      <c r="E17" s="360">
        <v>0</v>
      </c>
      <c r="F17" s="360">
        <v>0</v>
      </c>
      <c r="G17" s="360">
        <v>0</v>
      </c>
      <c r="H17" s="360">
        <v>42.227031082153317</v>
      </c>
      <c r="I17" s="360">
        <v>0</v>
      </c>
      <c r="J17" s="360">
        <v>8.6205345020852402</v>
      </c>
      <c r="K17" s="360">
        <v>0</v>
      </c>
      <c r="L17" s="360">
        <v>105.93009354591369</v>
      </c>
      <c r="M17" s="360">
        <v>0</v>
      </c>
      <c r="N17" s="360">
        <v>0</v>
      </c>
      <c r="O17" s="360"/>
      <c r="P17" s="269">
        <f t="shared" si="2"/>
        <v>162.16716025930265</v>
      </c>
    </row>
    <row r="18" spans="3:20">
      <c r="C18" s="248" t="s">
        <v>26</v>
      </c>
      <c r="D18" s="360">
        <v>16.545310285568238</v>
      </c>
      <c r="E18" s="360">
        <v>19.131363072872162</v>
      </c>
      <c r="F18" s="360">
        <v>0</v>
      </c>
      <c r="G18" s="360">
        <v>32.036662517547605</v>
      </c>
      <c r="H18" s="360">
        <v>20.943377021789551</v>
      </c>
      <c r="I18" s="360">
        <v>18.835031382493675</v>
      </c>
      <c r="J18" s="360">
        <v>0</v>
      </c>
      <c r="K18" s="360">
        <v>8.7933216330707076</v>
      </c>
      <c r="L18" s="360">
        <v>77.065237656593325</v>
      </c>
      <c r="M18" s="360">
        <v>0</v>
      </c>
      <c r="N18" s="360">
        <v>0</v>
      </c>
      <c r="O18" s="360"/>
      <c r="P18" s="269">
        <f t="shared" si="2"/>
        <v>193.35030356993525</v>
      </c>
      <c r="Q18" s="249"/>
    </row>
    <row r="19" spans="3:20">
      <c r="C19" s="248" t="s">
        <v>27</v>
      </c>
      <c r="D19" s="360">
        <v>0</v>
      </c>
      <c r="E19" s="360">
        <v>63.724881828308106</v>
      </c>
      <c r="F19" s="360">
        <v>86.595364361762989</v>
      </c>
      <c r="G19" s="360">
        <v>0</v>
      </c>
      <c r="H19" s="360">
        <v>43.476679145812987</v>
      </c>
      <c r="I19" s="360">
        <v>19.874380126953124</v>
      </c>
      <c r="J19" s="360">
        <v>28.227888476693288</v>
      </c>
      <c r="K19" s="360">
        <v>20.725413511991501</v>
      </c>
      <c r="L19" s="360">
        <v>210.79020661044123</v>
      </c>
      <c r="M19" s="360">
        <v>0</v>
      </c>
      <c r="N19" s="360">
        <v>18.541163642883301</v>
      </c>
      <c r="O19" s="360"/>
      <c r="P19" s="269">
        <f t="shared" si="2"/>
        <v>491.95597770484659</v>
      </c>
      <c r="Q19" s="249"/>
    </row>
    <row r="20" spans="3:20">
      <c r="C20" s="250" t="s">
        <v>46</v>
      </c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269">
        <f t="shared" si="2"/>
        <v>0</v>
      </c>
      <c r="Q20" s="249"/>
    </row>
    <row r="21" spans="3:20">
      <c r="C21" s="240" t="s">
        <v>28</v>
      </c>
      <c r="D21" s="361">
        <f t="shared" ref="D21:N21" si="3">SUM(D16:D20)</f>
        <v>21.934811414718631</v>
      </c>
      <c r="E21" s="361">
        <f>SUM(E16:E20)</f>
        <v>82.856244901180276</v>
      </c>
      <c r="F21" s="361">
        <f>SUM(F16:F20)</f>
        <v>86.595364361762989</v>
      </c>
      <c r="G21" s="361">
        <f>SUM(G16:G20)</f>
        <v>32.036662517547605</v>
      </c>
      <c r="H21" s="361">
        <f>SUM(H16:H20)</f>
        <v>106.64708724975586</v>
      </c>
      <c r="I21" s="361">
        <f t="shared" si="3"/>
        <v>38.709411509446795</v>
      </c>
      <c r="J21" s="361">
        <f t="shared" si="3"/>
        <v>36.84842297877853</v>
      </c>
      <c r="K21" s="361">
        <f t="shared" si="3"/>
        <v>29.518735145062209</v>
      </c>
      <c r="L21" s="361">
        <f t="shared" si="3"/>
        <v>393.78553781294829</v>
      </c>
      <c r="M21" s="361">
        <f t="shared" si="3"/>
        <v>0</v>
      </c>
      <c r="N21" s="361">
        <f t="shared" si="3"/>
        <v>18.541163642883301</v>
      </c>
      <c r="O21" s="361">
        <f>SUM(O16:O20)</f>
        <v>0</v>
      </c>
      <c r="P21" s="362">
        <f t="shared" si="2"/>
        <v>847.47344153408449</v>
      </c>
    </row>
    <row r="22" spans="3:20" ht="12" thickBot="1">
      <c r="C22" s="251" t="s">
        <v>29</v>
      </c>
      <c r="D22" s="363">
        <f t="shared" ref="D22:N22" si="4">+D14+D21</f>
        <v>62658.700880490745</v>
      </c>
      <c r="E22" s="363">
        <f>+E14+E21</f>
        <v>79432.44939048776</v>
      </c>
      <c r="F22" s="363">
        <f>+F14+F21</f>
        <v>118062.79072241334</v>
      </c>
      <c r="G22" s="363">
        <f>+G14+G21</f>
        <v>107064.13685455578</v>
      </c>
      <c r="H22" s="363">
        <f>+H14+H21</f>
        <v>69286.821168200171</v>
      </c>
      <c r="I22" s="363">
        <f t="shared" si="4"/>
        <v>68173.719642525873</v>
      </c>
      <c r="J22" s="363">
        <f t="shared" si="4"/>
        <v>69560.708281173807</v>
      </c>
      <c r="K22" s="363">
        <f t="shared" si="4"/>
        <v>71743.589134987546</v>
      </c>
      <c r="L22" s="363">
        <f t="shared" si="4"/>
        <v>72589.116062988862</v>
      </c>
      <c r="M22" s="363">
        <f t="shared" si="4"/>
        <v>72984.2491655841</v>
      </c>
      <c r="N22" s="363">
        <f t="shared" si="4"/>
        <v>70435.655834559569</v>
      </c>
      <c r="O22" s="363">
        <f>+O14+O21</f>
        <v>0</v>
      </c>
      <c r="P22" s="364">
        <f t="shared" si="2"/>
        <v>861991.93713796756</v>
      </c>
    </row>
    <row r="23" spans="3:20" ht="12" thickTop="1">
      <c r="D23" s="329"/>
    </row>
    <row r="24" spans="3:20">
      <c r="C24" s="222" t="s">
        <v>147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</row>
    <row r="25" spans="3:20" ht="12" thickBot="1"/>
    <row r="26" spans="3:20" ht="12" thickTop="1">
      <c r="C26" s="310" t="s">
        <v>30</v>
      </c>
      <c r="D26" s="311" t="s">
        <v>2</v>
      </c>
      <c r="E26" s="311" t="s">
        <v>3</v>
      </c>
      <c r="F26" s="311" t="s">
        <v>4</v>
      </c>
      <c r="G26" s="311" t="s">
        <v>5</v>
      </c>
      <c r="H26" s="311" t="s">
        <v>6</v>
      </c>
      <c r="I26" s="311" t="s">
        <v>7</v>
      </c>
      <c r="J26" s="311" t="s">
        <v>8</v>
      </c>
      <c r="K26" s="311" t="s">
        <v>9</v>
      </c>
      <c r="L26" s="311" t="s">
        <v>10</v>
      </c>
      <c r="M26" s="311" t="s">
        <v>11</v>
      </c>
      <c r="N26" s="311" t="s">
        <v>12</v>
      </c>
      <c r="O26" s="311" t="s">
        <v>13</v>
      </c>
      <c r="P26" s="312" t="s">
        <v>14</v>
      </c>
    </row>
    <row r="27" spans="3:20">
      <c r="C27" s="382" t="s">
        <v>31</v>
      </c>
      <c r="D27" s="383">
        <f t="shared" ref="D27:O27" si="5">+D28+D29</f>
        <v>62658.700880490745</v>
      </c>
      <c r="E27" s="383">
        <f t="shared" si="5"/>
        <v>79432.44939048776</v>
      </c>
      <c r="F27" s="383">
        <f t="shared" si="5"/>
        <v>118062.79072241334</v>
      </c>
      <c r="G27" s="383">
        <f t="shared" si="5"/>
        <v>107064.13685455578</v>
      </c>
      <c r="H27" s="383">
        <f t="shared" si="5"/>
        <v>69286.821168200171</v>
      </c>
      <c r="I27" s="383">
        <f t="shared" si="5"/>
        <v>68173.719642525873</v>
      </c>
      <c r="J27" s="383">
        <f t="shared" si="5"/>
        <v>69560.708281173807</v>
      </c>
      <c r="K27" s="383">
        <f>+K28+K29</f>
        <v>71743.589134987546</v>
      </c>
      <c r="L27" s="383">
        <f t="shared" si="5"/>
        <v>72589.116062988862</v>
      </c>
      <c r="M27" s="383">
        <f t="shared" si="5"/>
        <v>72984.2491655841</v>
      </c>
      <c r="N27" s="383">
        <f t="shared" si="5"/>
        <v>70435.655834559569</v>
      </c>
      <c r="O27" s="383">
        <f t="shared" si="5"/>
        <v>0</v>
      </c>
      <c r="P27" s="384">
        <f>SUM(D27:O27)</f>
        <v>861991.93713796756</v>
      </c>
      <c r="R27" s="305"/>
      <c r="T27" s="277"/>
    </row>
    <row r="28" spans="3:20">
      <c r="C28" s="385" t="s">
        <v>32</v>
      </c>
      <c r="D28" s="386">
        <f>+D14</f>
        <v>62636.766069076024</v>
      </c>
      <c r="E28" s="386">
        <f t="shared" ref="E28:O28" si="6">+E14</f>
        <v>79349.593145586579</v>
      </c>
      <c r="F28" s="386">
        <f t="shared" si="6"/>
        <v>117976.19535805157</v>
      </c>
      <c r="G28" s="386">
        <f t="shared" si="6"/>
        <v>107032.10019203823</v>
      </c>
      <c r="H28" s="386">
        <f t="shared" si="6"/>
        <v>69180.174080950412</v>
      </c>
      <c r="I28" s="386">
        <f t="shared" si="6"/>
        <v>68135.010231016422</v>
      </c>
      <c r="J28" s="386">
        <f t="shared" si="6"/>
        <v>69523.859858195035</v>
      </c>
      <c r="K28" s="386">
        <f>+K14</f>
        <v>71714.070399842487</v>
      </c>
      <c r="L28" s="386">
        <f t="shared" si="6"/>
        <v>72195.330525175916</v>
      </c>
      <c r="M28" s="386">
        <f t="shared" si="6"/>
        <v>72984.2491655841</v>
      </c>
      <c r="N28" s="386">
        <f t="shared" si="6"/>
        <v>70417.114670916693</v>
      </c>
      <c r="O28" s="386">
        <f t="shared" si="6"/>
        <v>0</v>
      </c>
      <c r="P28" s="387">
        <f>SUM(D28:O28)</f>
        <v>861144.46369643346</v>
      </c>
      <c r="R28" s="305"/>
      <c r="S28" s="277"/>
      <c r="T28" s="440"/>
    </row>
    <row r="29" spans="3:20">
      <c r="C29" s="388" t="s">
        <v>33</v>
      </c>
      <c r="D29" s="389">
        <f>+D21</f>
        <v>21.934811414718631</v>
      </c>
      <c r="E29" s="389">
        <f t="shared" ref="E29:O29" si="7">+E21</f>
        <v>82.856244901180276</v>
      </c>
      <c r="F29" s="389">
        <f t="shared" si="7"/>
        <v>86.595364361762989</v>
      </c>
      <c r="G29" s="389">
        <f t="shared" si="7"/>
        <v>32.036662517547605</v>
      </c>
      <c r="H29" s="389">
        <f t="shared" si="7"/>
        <v>106.64708724975586</v>
      </c>
      <c r="I29" s="389">
        <f t="shared" si="7"/>
        <v>38.709411509446795</v>
      </c>
      <c r="J29" s="389">
        <f t="shared" si="7"/>
        <v>36.84842297877853</v>
      </c>
      <c r="K29" s="389">
        <f>+K21</f>
        <v>29.518735145062209</v>
      </c>
      <c r="L29" s="389">
        <f t="shared" si="7"/>
        <v>393.78553781294829</v>
      </c>
      <c r="M29" s="389">
        <f t="shared" si="7"/>
        <v>0</v>
      </c>
      <c r="N29" s="389">
        <f t="shared" si="7"/>
        <v>18.541163642883301</v>
      </c>
      <c r="O29" s="389">
        <f t="shared" si="7"/>
        <v>0</v>
      </c>
      <c r="P29" s="390">
        <f>SUM(D29:O29)</f>
        <v>847.47344153408449</v>
      </c>
      <c r="R29" s="305"/>
    </row>
    <row r="30" spans="3:20">
      <c r="C30" s="382" t="s">
        <v>34</v>
      </c>
      <c r="D30" s="383">
        <f>+SUM(D31:D33)</f>
        <v>109.505</v>
      </c>
      <c r="E30" s="383">
        <f>+SUM(E31:E33)</f>
        <v>95.645937351226806</v>
      </c>
      <c r="F30" s="383">
        <f>+SUM(F31:F33)</f>
        <v>107.82954305076599</v>
      </c>
      <c r="G30" s="383">
        <f t="shared" ref="G30:P30" si="8">+SUM(G31:G33)</f>
        <v>101.39997145366668</v>
      </c>
      <c r="H30" s="383">
        <f t="shared" si="8"/>
        <v>108.91785338115692</v>
      </c>
      <c r="I30" s="383">
        <f>+SUM(I31:I33)</f>
        <v>104.58724521446229</v>
      </c>
      <c r="J30" s="383">
        <f t="shared" si="8"/>
        <v>107.45294521808624</v>
      </c>
      <c r="K30" s="383">
        <f>+SUM(K31:K33)</f>
        <v>105.52322145652771</v>
      </c>
      <c r="L30" s="383">
        <f t="shared" si="8"/>
        <v>101.1687472192352</v>
      </c>
      <c r="M30" s="383">
        <f t="shared" si="8"/>
        <v>137.27084288787842</v>
      </c>
      <c r="N30" s="383">
        <f t="shared" si="8"/>
        <v>100.0115708398819</v>
      </c>
      <c r="O30" s="383">
        <f t="shared" si="8"/>
        <v>0</v>
      </c>
      <c r="P30" s="384">
        <f t="shared" si="8"/>
        <v>1179.3128780728882</v>
      </c>
    </row>
    <row r="31" spans="3:20">
      <c r="C31" s="391" t="s">
        <v>41</v>
      </c>
      <c r="D31" s="386">
        <v>0</v>
      </c>
      <c r="E31" s="386"/>
      <c r="F31" s="386"/>
      <c r="G31" s="386"/>
      <c r="H31" s="386"/>
      <c r="I31" s="386"/>
      <c r="J31" s="386"/>
      <c r="K31" s="386"/>
      <c r="L31" s="386"/>
      <c r="M31" s="386"/>
      <c r="N31" s="386"/>
      <c r="O31" s="386"/>
      <c r="P31" s="387">
        <f t="shared" ref="P31:P39" si="9">SUM(D31:O31)</f>
        <v>0</v>
      </c>
    </row>
    <row r="32" spans="3:20">
      <c r="C32" s="391" t="s">
        <v>109</v>
      </c>
      <c r="D32" s="386">
        <v>109.505</v>
      </c>
      <c r="E32" s="386">
        <v>95.645937351226806</v>
      </c>
      <c r="F32" s="386">
        <v>107.82954305076599</v>
      </c>
      <c r="G32" s="386">
        <v>101.39997145366668</v>
      </c>
      <c r="H32" s="386">
        <v>108.91785338115692</v>
      </c>
      <c r="I32" s="386">
        <v>104.58724521446229</v>
      </c>
      <c r="J32" s="386">
        <v>107.45294521808624</v>
      </c>
      <c r="K32" s="386">
        <v>105.52322145652771</v>
      </c>
      <c r="L32" s="386">
        <v>101.1687472192352</v>
      </c>
      <c r="M32" s="386">
        <v>137.27084288787842</v>
      </c>
      <c r="N32" s="386">
        <v>100.0115708398819</v>
      </c>
      <c r="O32" s="386"/>
      <c r="P32" s="387">
        <f t="shared" si="9"/>
        <v>1179.3128780728882</v>
      </c>
      <c r="R32" s="278"/>
      <c r="S32" s="278"/>
    </row>
    <row r="33" spans="2:20">
      <c r="C33" s="392" t="s">
        <v>125</v>
      </c>
      <c r="D33" s="389">
        <v>0</v>
      </c>
      <c r="E33" s="389">
        <v>0</v>
      </c>
      <c r="F33" s="389">
        <v>0</v>
      </c>
      <c r="G33" s="389">
        <v>0</v>
      </c>
      <c r="H33" s="389">
        <v>0</v>
      </c>
      <c r="I33" s="389">
        <v>0</v>
      </c>
      <c r="J33" s="389">
        <v>0</v>
      </c>
      <c r="K33" s="389">
        <v>0</v>
      </c>
      <c r="L33" s="389">
        <v>0</v>
      </c>
      <c r="M33" s="389">
        <v>0</v>
      </c>
      <c r="N33" s="389">
        <v>0</v>
      </c>
      <c r="O33" s="389"/>
      <c r="P33" s="390">
        <f t="shared" si="9"/>
        <v>0</v>
      </c>
      <c r="R33" s="305"/>
      <c r="S33" s="305"/>
      <c r="T33" s="358"/>
    </row>
    <row r="34" spans="2:20">
      <c r="C34" s="382" t="s">
        <v>35</v>
      </c>
      <c r="D34" s="383">
        <f>+D35+D36</f>
        <v>285.0109333397354</v>
      </c>
      <c r="E34" s="383">
        <f>+E35+E36</f>
        <v>257.42923011330942</v>
      </c>
      <c r="F34" s="383">
        <f>+F35+F36</f>
        <v>335.29899999999998</v>
      </c>
      <c r="G34" s="383">
        <f t="shared" ref="G34:O34" si="10">+G35+G36</f>
        <v>315.78270481708319</v>
      </c>
      <c r="H34" s="383">
        <f t="shared" si="10"/>
        <v>287.06380215528571</v>
      </c>
      <c r="I34" s="383">
        <f t="shared" si="10"/>
        <v>294.97438623366639</v>
      </c>
      <c r="J34" s="383">
        <f t="shared" si="10"/>
        <v>296.06211569135723</v>
      </c>
      <c r="K34" s="383">
        <f>+K35+K36</f>
        <v>294.12512112010131</v>
      </c>
      <c r="L34" s="383">
        <f>+L35+L36</f>
        <v>292.83097551381883</v>
      </c>
      <c r="M34" s="383">
        <f t="shared" si="10"/>
        <v>280.23168830781026</v>
      </c>
      <c r="N34" s="383">
        <f t="shared" si="10"/>
        <v>282.33547255129122</v>
      </c>
      <c r="O34" s="383">
        <f t="shared" si="10"/>
        <v>0</v>
      </c>
      <c r="P34" s="384">
        <f t="shared" si="9"/>
        <v>3221.1454298434587</v>
      </c>
    </row>
    <row r="35" spans="2:20">
      <c r="B35" s="277"/>
      <c r="C35" s="385" t="s">
        <v>32</v>
      </c>
      <c r="D35" s="386">
        <v>280.37586632039205</v>
      </c>
      <c r="E35" s="386">
        <v>253.24271796680571</v>
      </c>
      <c r="F35" s="386">
        <v>331.27499999999998</v>
      </c>
      <c r="G35" s="386">
        <v>311.77954544284614</v>
      </c>
      <c r="H35" s="386">
        <v>282.68931853309238</v>
      </c>
      <c r="I35" s="386">
        <v>293.255695523241</v>
      </c>
      <c r="J35" s="386">
        <v>294.64612676232395</v>
      </c>
      <c r="K35" s="386">
        <v>292.14273315203798</v>
      </c>
      <c r="L35" s="386">
        <v>278.042759555462</v>
      </c>
      <c r="M35" s="386">
        <v>280.23168830781026</v>
      </c>
      <c r="N35" s="386">
        <v>281.22381923097873</v>
      </c>
      <c r="O35" s="386"/>
      <c r="P35" s="387">
        <f t="shared" si="9"/>
        <v>3178.90527079499</v>
      </c>
    </row>
    <row r="36" spans="2:20">
      <c r="B36" s="278"/>
      <c r="C36" s="388" t="s">
        <v>33</v>
      </c>
      <c r="D36" s="386">
        <v>4.6350670193433761</v>
      </c>
      <c r="E36" s="386">
        <v>4.1865121465036941</v>
      </c>
      <c r="F36" s="386">
        <v>4.024</v>
      </c>
      <c r="G36" s="389">
        <v>4.0031593742370601</v>
      </c>
      <c r="H36" s="389">
        <v>4.3744836221933365</v>
      </c>
      <c r="I36" s="389">
        <v>1.718690710425377</v>
      </c>
      <c r="J36" s="389">
        <v>1.4159889290332794</v>
      </c>
      <c r="K36" s="389">
        <v>1.9823879680633543</v>
      </c>
      <c r="L36" s="389">
        <v>14.788215958356854</v>
      </c>
      <c r="M36" s="386">
        <v>0</v>
      </c>
      <c r="N36" s="386">
        <v>1.1116533203125001</v>
      </c>
      <c r="O36" s="389"/>
      <c r="P36" s="390">
        <f t="shared" si="9"/>
        <v>42.240159048468826</v>
      </c>
    </row>
    <row r="37" spans="2:20">
      <c r="C37" s="393" t="s">
        <v>36</v>
      </c>
      <c r="D37" s="383">
        <v>1047.1598041653197</v>
      </c>
      <c r="E37" s="383">
        <v>1154.5879862956499</v>
      </c>
      <c r="F37" s="383">
        <v>1577.8313324708724</v>
      </c>
      <c r="G37" s="394">
        <v>1457.0334114543075</v>
      </c>
      <c r="H37" s="394">
        <v>1055.6661813856626</v>
      </c>
      <c r="I37" s="394">
        <v>996.22412829071982</v>
      </c>
      <c r="J37" s="394">
        <v>1025.0526632925321</v>
      </c>
      <c r="K37" s="394">
        <v>1035.1523457094154</v>
      </c>
      <c r="L37" s="394">
        <v>1049.7398051559721</v>
      </c>
      <c r="M37" s="383">
        <v>1077.2685164371796</v>
      </c>
      <c r="N37" s="383">
        <v>995.06373653828632</v>
      </c>
      <c r="O37" s="394">
        <f>+O38+O39</f>
        <v>0</v>
      </c>
      <c r="P37" s="395">
        <f t="shared" si="9"/>
        <v>12470.779911195918</v>
      </c>
    </row>
    <row r="38" spans="2:20" hidden="1">
      <c r="B38" s="278"/>
      <c r="C38" s="315" t="s">
        <v>37</v>
      </c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306">
        <f t="shared" si="9"/>
        <v>0</v>
      </c>
    </row>
    <row r="39" spans="2:20" hidden="1">
      <c r="B39" s="285"/>
      <c r="C39" s="315" t="s">
        <v>38</v>
      </c>
      <c r="D39" s="272"/>
      <c r="E39" s="272"/>
      <c r="F39" s="272"/>
      <c r="G39" s="268"/>
      <c r="H39" s="268"/>
      <c r="I39" s="268"/>
      <c r="J39" s="268"/>
      <c r="K39" s="268"/>
      <c r="L39" s="272"/>
      <c r="M39" s="272"/>
      <c r="N39" s="272"/>
      <c r="O39" s="272"/>
      <c r="P39" s="306">
        <f t="shared" si="9"/>
        <v>0</v>
      </c>
    </row>
    <row r="40" spans="2:20">
      <c r="B40" s="285"/>
      <c r="C40" s="320" t="s">
        <v>39</v>
      </c>
      <c r="D40" s="302">
        <f>+D27+D30-D34-D37</f>
        <v>61436.035142985689</v>
      </c>
      <c r="E40" s="302">
        <f t="shared" ref="E40:P40" si="11">+E27+E30-E34-E37</f>
        <v>78116.078111430033</v>
      </c>
      <c r="F40" s="302">
        <f t="shared" si="11"/>
        <v>116257.48993299324</v>
      </c>
      <c r="G40" s="302">
        <f t="shared" si="11"/>
        <v>105392.72070973805</v>
      </c>
      <c r="H40" s="302">
        <f t="shared" si="11"/>
        <v>68053.009038040371</v>
      </c>
      <c r="I40" s="302">
        <f t="shared" si="11"/>
        <v>66987.10837321596</v>
      </c>
      <c r="J40" s="302">
        <f t="shared" si="11"/>
        <v>68347.046447408007</v>
      </c>
      <c r="K40" s="302">
        <f t="shared" si="11"/>
        <v>70519.834889614562</v>
      </c>
      <c r="L40" s="302">
        <f t="shared" si="11"/>
        <v>71347.7140295383</v>
      </c>
      <c r="M40" s="302">
        <f t="shared" si="11"/>
        <v>71764.019803726987</v>
      </c>
      <c r="N40" s="302">
        <f t="shared" si="11"/>
        <v>69258.268196309873</v>
      </c>
      <c r="O40" s="302">
        <f t="shared" si="11"/>
        <v>0</v>
      </c>
      <c r="P40" s="321">
        <f t="shared" si="11"/>
        <v>847479.32467500097</v>
      </c>
    </row>
    <row r="41" spans="2:20">
      <c r="B41" s="285"/>
      <c r="C41" s="320" t="s">
        <v>40</v>
      </c>
      <c r="D41" s="302">
        <f>+D42+D45+D56+D66</f>
        <v>61436.035142985689</v>
      </c>
      <c r="E41" s="302">
        <f t="shared" ref="E41:P41" si="12">+E42+E45+E56+E66</f>
        <v>78116.078111430033</v>
      </c>
      <c r="F41" s="302">
        <f t="shared" si="12"/>
        <v>116257.48993299324</v>
      </c>
      <c r="G41" s="302">
        <f t="shared" si="12"/>
        <v>105392.72070973805</v>
      </c>
      <c r="H41" s="302">
        <f t="shared" si="12"/>
        <v>68053.009038040371</v>
      </c>
      <c r="I41" s="302">
        <f t="shared" si="12"/>
        <v>66987.10837321596</v>
      </c>
      <c r="J41" s="302">
        <f t="shared" si="12"/>
        <v>68347.046447408007</v>
      </c>
      <c r="K41" s="302">
        <f t="shared" si="12"/>
        <v>70519.834889614562</v>
      </c>
      <c r="L41" s="302">
        <f t="shared" si="12"/>
        <v>71347.7140295383</v>
      </c>
      <c r="M41" s="302">
        <f t="shared" si="12"/>
        <v>71764.019803726987</v>
      </c>
      <c r="N41" s="302">
        <f t="shared" si="12"/>
        <v>69258.268196309873</v>
      </c>
      <c r="O41" s="302">
        <f t="shared" si="12"/>
        <v>0</v>
      </c>
      <c r="P41" s="321">
        <f t="shared" si="12"/>
        <v>847479.32467500109</v>
      </c>
      <c r="R41" s="249"/>
    </row>
    <row r="42" spans="2:20">
      <c r="C42" s="393" t="s">
        <v>44</v>
      </c>
      <c r="D42" s="383">
        <f>+D43+D44</f>
        <v>6509.0677829856941</v>
      </c>
      <c r="E42" s="383">
        <f t="shared" ref="E42:P42" si="13">+E43+E44</f>
        <v>22768.830881430025</v>
      </c>
      <c r="F42" s="383">
        <f t="shared" si="13"/>
        <v>59247.886202993235</v>
      </c>
      <c r="G42" s="383">
        <f t="shared" si="13"/>
        <v>52140.475719738039</v>
      </c>
      <c r="H42" s="383">
        <f>+H43+H44</f>
        <v>15581.658548040381</v>
      </c>
      <c r="I42" s="383">
        <f>+I43+I44</f>
        <v>15987.19421321596</v>
      </c>
      <c r="J42" s="383">
        <f>+J43+J44</f>
        <v>15856.041957408001</v>
      </c>
      <c r="K42" s="383">
        <f>+K43+K44</f>
        <v>18663.543929614556</v>
      </c>
      <c r="L42" s="383">
        <f t="shared" si="13"/>
        <v>19265.0047595383</v>
      </c>
      <c r="M42" s="383">
        <f>+M43+M44</f>
        <v>18931.509933726978</v>
      </c>
      <c r="N42" s="383">
        <f t="shared" si="13"/>
        <v>17935.785356309876</v>
      </c>
      <c r="O42" s="383">
        <f t="shared" si="13"/>
        <v>0</v>
      </c>
      <c r="P42" s="384">
        <f t="shared" si="13"/>
        <v>262886.99928500107</v>
      </c>
      <c r="R42" s="249"/>
      <c r="S42" s="249"/>
      <c r="T42" s="305"/>
    </row>
    <row r="43" spans="2:20">
      <c r="B43" s="278"/>
      <c r="C43" s="385" t="s">
        <v>41</v>
      </c>
      <c r="D43" s="386">
        <v>6509.0677829856941</v>
      </c>
      <c r="E43" s="386">
        <v>22768.830881430025</v>
      </c>
      <c r="F43" s="386">
        <v>59247.886202993235</v>
      </c>
      <c r="G43" s="386">
        <v>52140.475719738039</v>
      </c>
      <c r="H43" s="386">
        <v>15581.658548040381</v>
      </c>
      <c r="I43" s="386">
        <v>15987.19421321596</v>
      </c>
      <c r="J43" s="386">
        <v>15856.041957408001</v>
      </c>
      <c r="K43" s="386">
        <v>18663.543929614556</v>
      </c>
      <c r="L43" s="386">
        <v>19265.0047595383</v>
      </c>
      <c r="M43" s="386">
        <v>18931.509933726978</v>
      </c>
      <c r="N43" s="386">
        <v>17935.785356309876</v>
      </c>
      <c r="O43" s="386"/>
      <c r="P43" s="387">
        <f>+SUM(D43:O43)</f>
        <v>262886.99928500107</v>
      </c>
      <c r="R43" s="249"/>
      <c r="S43" s="278"/>
      <c r="T43" s="305"/>
    </row>
    <row r="44" spans="2:20" hidden="1">
      <c r="C44" s="385" t="s">
        <v>45</v>
      </c>
      <c r="D44" s="386">
        <v>0</v>
      </c>
      <c r="E44" s="386">
        <v>0</v>
      </c>
      <c r="F44" s="386">
        <v>0</v>
      </c>
      <c r="G44" s="386">
        <v>0</v>
      </c>
      <c r="H44" s="386">
        <v>0</v>
      </c>
      <c r="I44" s="386">
        <v>0</v>
      </c>
      <c r="J44" s="386">
        <v>0</v>
      </c>
      <c r="K44" s="386">
        <v>0</v>
      </c>
      <c r="L44" s="386">
        <v>0</v>
      </c>
      <c r="M44" s="386">
        <v>0</v>
      </c>
      <c r="N44" s="386">
        <v>0</v>
      </c>
      <c r="O44" s="386">
        <v>0</v>
      </c>
      <c r="P44" s="387">
        <v>0</v>
      </c>
      <c r="R44" s="249"/>
      <c r="S44" s="278"/>
      <c r="T44" s="305"/>
    </row>
    <row r="45" spans="2:20">
      <c r="C45" s="393" t="s">
        <v>42</v>
      </c>
      <c r="D45" s="394">
        <f t="shared" ref="D45:I45" si="14">+D46+D53</f>
        <v>48886.061109999995</v>
      </c>
      <c r="E45" s="394">
        <f t="shared" si="14"/>
        <v>46791.178820000001</v>
      </c>
      <c r="F45" s="394">
        <f t="shared" si="14"/>
        <v>51070.500180000003</v>
      </c>
      <c r="G45" s="394">
        <f t="shared" si="14"/>
        <v>47908.612740000004</v>
      </c>
      <c r="H45" s="394">
        <f t="shared" si="14"/>
        <v>46694.411869999996</v>
      </c>
      <c r="I45" s="394">
        <f t="shared" si="14"/>
        <v>45704.833149999999</v>
      </c>
      <c r="J45" s="394">
        <f t="shared" ref="J45:P45" si="15">+J46+J53</f>
        <v>47220.275300000008</v>
      </c>
      <c r="K45" s="394">
        <f>+K46+K53</f>
        <v>46554.337020000006</v>
      </c>
      <c r="L45" s="394">
        <f>+L46+L53</f>
        <v>46308.82123999999</v>
      </c>
      <c r="M45" s="394">
        <f>+M46+M53</f>
        <v>47117.009980000003</v>
      </c>
      <c r="N45" s="394">
        <f>+N46+N53</f>
        <v>45860.433539999998</v>
      </c>
      <c r="O45" s="394">
        <f t="shared" si="15"/>
        <v>0</v>
      </c>
      <c r="P45" s="395">
        <f t="shared" si="15"/>
        <v>520116.47495</v>
      </c>
      <c r="R45" s="249"/>
      <c r="S45" s="278"/>
      <c r="T45" s="305"/>
    </row>
    <row r="46" spans="2:20">
      <c r="C46" s="396" t="s">
        <v>140</v>
      </c>
      <c r="D46" s="394">
        <f t="shared" ref="D46:I46" si="16">+SUM(D47:D52)</f>
        <v>27192.588449999999</v>
      </c>
      <c r="E46" s="394">
        <f t="shared" si="16"/>
        <v>26036.146869999997</v>
      </c>
      <c r="F46" s="394">
        <f t="shared" si="16"/>
        <v>28539.658639999998</v>
      </c>
      <c r="G46" s="394">
        <f t="shared" si="16"/>
        <v>26303.167830000002</v>
      </c>
      <c r="H46" s="394">
        <f t="shared" si="16"/>
        <v>26018.983670000001</v>
      </c>
      <c r="I46" s="394">
        <f t="shared" si="16"/>
        <v>25144.722560000002</v>
      </c>
      <c r="J46" s="394">
        <f t="shared" ref="J46:P46" si="17">+SUM(J47:J52)</f>
        <v>25724.325100000005</v>
      </c>
      <c r="K46" s="394">
        <f>+SUM(K47:K52)</f>
        <v>25628.148940000003</v>
      </c>
      <c r="L46" s="394">
        <f>+SUM(L47:L52)</f>
        <v>25309.485559999994</v>
      </c>
      <c r="M46" s="394">
        <f>+SUM(M47:M52)</f>
        <v>26249.144930000002</v>
      </c>
      <c r="N46" s="394">
        <f>+SUM(N47:N52)</f>
        <v>25607.12743</v>
      </c>
      <c r="O46" s="394">
        <f t="shared" si="17"/>
        <v>0</v>
      </c>
      <c r="P46" s="395">
        <f t="shared" si="17"/>
        <v>287753.49998000002</v>
      </c>
      <c r="R46" s="249"/>
      <c r="S46" s="278"/>
      <c r="T46" s="305"/>
    </row>
    <row r="47" spans="2:20">
      <c r="C47" s="397" t="s">
        <v>141</v>
      </c>
      <c r="D47" s="386">
        <f>+[10]R!E12</f>
        <v>7365.1667500000021</v>
      </c>
      <c r="E47" s="386">
        <f>+[10]R!F12</f>
        <v>7018.3674900000015</v>
      </c>
      <c r="F47" s="386">
        <f>+[10]R!G12</f>
        <v>7688.3515699999998</v>
      </c>
      <c r="G47" s="386">
        <f>+[10]R!H12</f>
        <v>7128.4224600000007</v>
      </c>
      <c r="H47" s="386">
        <f>+[10]R!I12</f>
        <v>6931.3061600000001</v>
      </c>
      <c r="I47" s="386">
        <f>+[10]R!J12</f>
        <v>6757.0020999999997</v>
      </c>
      <c r="J47" s="386">
        <f>+[10]R!K12</f>
        <v>6928.1396000000013</v>
      </c>
      <c r="K47" s="386">
        <f>+[10]R!L12</f>
        <v>6835.6618400000007</v>
      </c>
      <c r="L47" s="386">
        <f>+[10]R!M12</f>
        <v>6754.2373800000005</v>
      </c>
      <c r="M47" s="386">
        <f>+[10]R!N12</f>
        <v>7059.2576499999996</v>
      </c>
      <c r="N47" s="386">
        <f>+[10]R!O12</f>
        <v>6827.8354300000001</v>
      </c>
      <c r="O47" s="386"/>
      <c r="P47" s="387">
        <f>+SUM(D47:O47)</f>
        <v>77293.748430000007</v>
      </c>
      <c r="R47" s="249"/>
      <c r="S47" s="278">
        <f>+N47/M47-1</f>
        <v>-3.2782798344242248E-2</v>
      </c>
      <c r="T47" s="305"/>
    </row>
    <row r="48" spans="2:20">
      <c r="C48" s="398" t="s">
        <v>48</v>
      </c>
      <c r="D48" s="386">
        <f>+[10]R!E13</f>
        <v>17676.402279999998</v>
      </c>
      <c r="E48" s="386">
        <f>+[10]R!F13</f>
        <v>16997.900180000001</v>
      </c>
      <c r="F48" s="386">
        <f>+[10]R!G13</f>
        <v>18619.74739</v>
      </c>
      <c r="G48" s="386">
        <f>+[10]R!H13</f>
        <v>17042.902190000001</v>
      </c>
      <c r="H48" s="386">
        <f>+[10]R!I13</f>
        <v>16839.271290000001</v>
      </c>
      <c r="I48" s="386">
        <f>+[10]R!J13</f>
        <v>16216.58252</v>
      </c>
      <c r="J48" s="386">
        <f>+[10]R!K13</f>
        <v>16527.4486</v>
      </c>
      <c r="K48" s="386">
        <f>+[10]R!L13</f>
        <v>16542.91732</v>
      </c>
      <c r="L48" s="386">
        <f>+[10]R!M13</f>
        <v>16314.942719999999</v>
      </c>
      <c r="M48" s="386">
        <f>+[10]R!N13</f>
        <v>16891.706280000002</v>
      </c>
      <c r="N48" s="386">
        <f>+[10]R!O13</f>
        <v>16520.058840000002</v>
      </c>
      <c r="O48" s="386"/>
      <c r="P48" s="387">
        <f t="shared" ref="P48:P68" si="18">+SUM(D48:O48)</f>
        <v>186189.87961000003</v>
      </c>
      <c r="R48" s="249"/>
      <c r="S48" s="278">
        <f t="shared" ref="S48:S65" si="19">+N48/M48-1</f>
        <v>-2.2001770208379456E-2</v>
      </c>
      <c r="T48" s="305"/>
    </row>
    <row r="49" spans="3:20">
      <c r="C49" s="398" t="s">
        <v>50</v>
      </c>
      <c r="D49" s="386">
        <f>+[10]R!E14</f>
        <v>571.43657999999994</v>
      </c>
      <c r="E49" s="386">
        <f>+[10]R!F14</f>
        <v>537.69816000000003</v>
      </c>
      <c r="F49" s="386">
        <f>+[10]R!G14</f>
        <v>577.5942</v>
      </c>
      <c r="G49" s="386">
        <f>+[10]R!H14</f>
        <v>537.63725999999997</v>
      </c>
      <c r="H49" s="386">
        <f>+[10]R!I14</f>
        <v>538.04948000000002</v>
      </c>
      <c r="I49" s="386">
        <f>+[10]R!J14</f>
        <v>506.73082000000005</v>
      </c>
      <c r="J49" s="386">
        <f>+[10]R!K14</f>
        <v>519.79071999999996</v>
      </c>
      <c r="K49" s="386">
        <f>+[10]R!L14</f>
        <v>520.69096000000002</v>
      </c>
      <c r="L49" s="386">
        <f>+[10]R!M14</f>
        <v>520.46896000000004</v>
      </c>
      <c r="M49" s="386">
        <f>+[10]R!N14</f>
        <v>548.49203999999997</v>
      </c>
      <c r="N49" s="386">
        <f>+[10]R!O14</f>
        <v>534.72397999999998</v>
      </c>
      <c r="O49" s="386"/>
      <c r="P49" s="387">
        <f t="shared" si="18"/>
        <v>5913.3131600000006</v>
      </c>
      <c r="Q49" s="277"/>
      <c r="R49" s="249"/>
      <c r="S49" s="278">
        <f t="shared" si="19"/>
        <v>-2.5101658722339826E-2</v>
      </c>
      <c r="T49" s="305"/>
    </row>
    <row r="50" spans="3:20">
      <c r="C50" s="398" t="s">
        <v>51</v>
      </c>
      <c r="D50" s="386">
        <f>+[10]R!E15</f>
        <v>530.77382</v>
      </c>
      <c r="E50" s="386">
        <f>+[10]R!F15</f>
        <v>505.10965999999996</v>
      </c>
      <c r="F50" s="386">
        <f>+[10]R!G15</f>
        <v>589.41984000000014</v>
      </c>
      <c r="G50" s="386">
        <f>+[10]R!H15</f>
        <v>541.21627999999998</v>
      </c>
      <c r="H50" s="386">
        <f>+[10]R!I15</f>
        <v>614.12513999999976</v>
      </c>
      <c r="I50" s="386">
        <f>+[10]R!J15</f>
        <v>604.04539999999986</v>
      </c>
      <c r="J50" s="386">
        <f>+[10]R!K15</f>
        <v>645.61243999999999</v>
      </c>
      <c r="K50" s="386">
        <f>+[10]R!L15</f>
        <v>634.15031999999997</v>
      </c>
      <c r="L50" s="386">
        <f>+[10]R!M15</f>
        <v>613.4747000000001</v>
      </c>
      <c r="M50" s="386">
        <f>+[10]R!N15</f>
        <v>635.53039999999999</v>
      </c>
      <c r="N50" s="386">
        <f>+[10]R!O15</f>
        <v>656.82587999999998</v>
      </c>
      <c r="O50" s="386"/>
      <c r="P50" s="387">
        <f t="shared" si="18"/>
        <v>6570.283879999999</v>
      </c>
      <c r="Q50" s="277"/>
      <c r="R50" s="249"/>
      <c r="S50" s="278">
        <f t="shared" si="19"/>
        <v>3.3508200394505083E-2</v>
      </c>
      <c r="T50" s="305"/>
    </row>
    <row r="51" spans="3:20">
      <c r="C51" s="398" t="s">
        <v>52</v>
      </c>
      <c r="D51" s="386">
        <f>+[10]R!E16</f>
        <v>379.65100000000001</v>
      </c>
      <c r="E51" s="386">
        <f>+[10]R!F16</f>
        <v>364.8929</v>
      </c>
      <c r="F51" s="386">
        <f>+[10]R!G16</f>
        <v>374.64787999999999</v>
      </c>
      <c r="G51" s="386">
        <f>+[10]R!H16</f>
        <v>395.30433999999997</v>
      </c>
      <c r="H51" s="386">
        <f>+[10]R!I16</f>
        <v>414.07952</v>
      </c>
      <c r="I51" s="386">
        <f>+[10]R!J16</f>
        <v>398.79703999999998</v>
      </c>
      <c r="J51" s="386">
        <f>+[10]R!K16</f>
        <v>428.74503999999996</v>
      </c>
      <c r="K51" s="386">
        <f>+[10]R!L16</f>
        <v>404.31956000000002</v>
      </c>
      <c r="L51" s="386">
        <f>+[10]R!M16</f>
        <v>417.81036000000006</v>
      </c>
      <c r="M51" s="386">
        <f>+[10]R!N16</f>
        <v>391.92528000000004</v>
      </c>
      <c r="N51" s="386">
        <f>+[10]R!O16</f>
        <v>367.00918000000007</v>
      </c>
      <c r="O51" s="386"/>
      <c r="P51" s="387">
        <f t="shared" si="18"/>
        <v>4337.1821</v>
      </c>
      <c r="Q51" s="277"/>
      <c r="R51" s="249"/>
      <c r="S51" s="278">
        <f t="shared" si="19"/>
        <v>-6.3573597497971979E-2</v>
      </c>
      <c r="T51" s="305"/>
    </row>
    <row r="52" spans="3:20">
      <c r="C52" s="398" t="s">
        <v>90</v>
      </c>
      <c r="D52" s="386">
        <f>+[10]R!E17</f>
        <v>669.15801999999996</v>
      </c>
      <c r="E52" s="386">
        <f>+[10]R!F17</f>
        <v>612.17848000000004</v>
      </c>
      <c r="F52" s="386">
        <f>+[10]R!G17</f>
        <v>689.89776000000018</v>
      </c>
      <c r="G52" s="386">
        <f>+[10]R!H17</f>
        <v>657.6853000000001</v>
      </c>
      <c r="H52" s="386">
        <f>+[10]R!I17</f>
        <v>682.15207999999996</v>
      </c>
      <c r="I52" s="386">
        <f>+[10]R!J17</f>
        <v>661.56467999999995</v>
      </c>
      <c r="J52" s="386">
        <f>+[10]R!K17</f>
        <v>674.5886999999999</v>
      </c>
      <c r="K52" s="386">
        <f>+[10]R!L17</f>
        <v>690.40893999999992</v>
      </c>
      <c r="L52" s="386">
        <f>+[10]R!M17</f>
        <v>688.55143999999996</v>
      </c>
      <c r="M52" s="386">
        <f>+[10]R!N17</f>
        <v>722.23327999999992</v>
      </c>
      <c r="N52" s="386">
        <f>+[10]R!O17</f>
        <v>700.6741199999999</v>
      </c>
      <c r="O52" s="386"/>
      <c r="P52" s="387">
        <f t="shared" si="18"/>
        <v>7449.0928000000004</v>
      </c>
      <c r="Q52" s="277"/>
      <c r="R52" s="249"/>
      <c r="S52" s="278">
        <f t="shared" si="19"/>
        <v>-2.9850687578395707E-2</v>
      </c>
      <c r="T52" s="305"/>
    </row>
    <row r="53" spans="3:20">
      <c r="C53" s="396" t="s">
        <v>124</v>
      </c>
      <c r="D53" s="394">
        <f t="shared" ref="D53:I53" si="20">+SUM(D54:D55)</f>
        <v>21693.472659999999</v>
      </c>
      <c r="E53" s="394">
        <f t="shared" si="20"/>
        <v>20755.031950000001</v>
      </c>
      <c r="F53" s="394">
        <f t="shared" si="20"/>
        <v>22530.841540000001</v>
      </c>
      <c r="G53" s="394">
        <f t="shared" si="20"/>
        <v>21605.444910000002</v>
      </c>
      <c r="H53" s="394">
        <f t="shared" si="20"/>
        <v>20675.428199999998</v>
      </c>
      <c r="I53" s="394">
        <f t="shared" si="20"/>
        <v>20560.110589999997</v>
      </c>
      <c r="J53" s="394">
        <f t="shared" ref="J53:P53" si="21">+SUM(J54:J55)</f>
        <v>21495.950199999999</v>
      </c>
      <c r="K53" s="394">
        <f>+SUM(K54:K55)</f>
        <v>20926.18808</v>
      </c>
      <c r="L53" s="394">
        <f>+SUM(L54:L55)</f>
        <v>20999.33568</v>
      </c>
      <c r="M53" s="394">
        <f>+SUM(M54:M55)</f>
        <v>20867.86505</v>
      </c>
      <c r="N53" s="394">
        <f>+SUM(N54:N55)</f>
        <v>20253.306109999998</v>
      </c>
      <c r="O53" s="394">
        <f t="shared" si="21"/>
        <v>0</v>
      </c>
      <c r="P53" s="395">
        <f t="shared" si="21"/>
        <v>232362.97496999998</v>
      </c>
      <c r="Q53" s="277"/>
      <c r="R53" s="249"/>
      <c r="S53" s="278"/>
      <c r="T53" s="305"/>
    </row>
    <row r="54" spans="3:20">
      <c r="C54" s="397" t="s">
        <v>141</v>
      </c>
      <c r="D54" s="386">
        <f>+[10]R!E19</f>
        <v>14508.992340000001</v>
      </c>
      <c r="E54" s="386">
        <f>+[10]R!F19</f>
        <v>14046.636990000001</v>
      </c>
      <c r="F54" s="386">
        <f>+[10]R!G19</f>
        <v>15292.67252</v>
      </c>
      <c r="G54" s="386">
        <f>+[10]R!H19</f>
        <v>14185.386820000002</v>
      </c>
      <c r="H54" s="386">
        <f>+[10]R!I19</f>
        <v>13293.305169999998</v>
      </c>
      <c r="I54" s="386">
        <f>+[10]R!J19</f>
        <v>12950.986029999998</v>
      </c>
      <c r="J54" s="386">
        <f>+[10]R!K19</f>
        <v>13342.372069999998</v>
      </c>
      <c r="K54" s="386">
        <f>+[10]R!L19</f>
        <v>13122.064849999999</v>
      </c>
      <c r="L54" s="386">
        <f>+[10]R!M19</f>
        <v>12984.588599999999</v>
      </c>
      <c r="M54" s="386">
        <f>+[10]R!N19</f>
        <v>13522.35794</v>
      </c>
      <c r="N54" s="386">
        <f>+[10]R!O19</f>
        <v>13376.179179999999</v>
      </c>
      <c r="O54" s="386"/>
      <c r="P54" s="387">
        <f t="shared" si="18"/>
        <v>150625.54251</v>
      </c>
      <c r="Q54" s="277"/>
      <c r="R54" s="249"/>
      <c r="S54" s="278">
        <f t="shared" si="19"/>
        <v>-1.0810153129255262E-2</v>
      </c>
      <c r="T54" s="305"/>
    </row>
    <row r="55" spans="3:20">
      <c r="C55" s="397" t="s">
        <v>134</v>
      </c>
      <c r="D55" s="386">
        <f>+[10]R!E20</f>
        <v>7184.4803200000006</v>
      </c>
      <c r="E55" s="386">
        <f>+[10]R!F20</f>
        <v>6708.3949599999996</v>
      </c>
      <c r="F55" s="386">
        <f>+[10]R!G20</f>
        <v>7238.1690199999994</v>
      </c>
      <c r="G55" s="386">
        <f>+[10]R!H20</f>
        <v>7420.0580900000014</v>
      </c>
      <c r="H55" s="386">
        <f>+[10]R!I20</f>
        <v>7382.1230299999997</v>
      </c>
      <c r="I55" s="386">
        <f>+[10]R!J20</f>
        <v>7609.1245599999993</v>
      </c>
      <c r="J55" s="386">
        <f>+[10]R!K20</f>
        <v>8153.5781300000008</v>
      </c>
      <c r="K55" s="386">
        <f>+[10]R!L20</f>
        <v>7804.1232300000001</v>
      </c>
      <c r="L55" s="386">
        <f>+[10]R!M20</f>
        <v>8014.7470800000001</v>
      </c>
      <c r="M55" s="386">
        <f>+[10]R!N20</f>
        <v>7345.5071099999996</v>
      </c>
      <c r="N55" s="386">
        <f>+[10]R!O20</f>
        <v>6877.1269299999994</v>
      </c>
      <c r="O55" s="386"/>
      <c r="P55" s="387">
        <f t="shared" si="18"/>
        <v>81737.432459999996</v>
      </c>
      <c r="Q55" s="277"/>
      <c r="R55" s="249"/>
      <c r="S55" s="278">
        <f t="shared" si="19"/>
        <v>-6.3764172164826882E-2</v>
      </c>
      <c r="T55" s="305"/>
    </row>
    <row r="56" spans="3:20">
      <c r="C56" s="393" t="s">
        <v>43</v>
      </c>
      <c r="D56" s="394">
        <f t="shared" ref="D56:I56" si="22">+SUM(D57:D65)</f>
        <v>4066.4209599999999</v>
      </c>
      <c r="E56" s="394">
        <f t="shared" si="22"/>
        <v>3794.33304</v>
      </c>
      <c r="F56" s="394">
        <f t="shared" si="22"/>
        <v>4302.16392</v>
      </c>
      <c r="G56" s="394">
        <f t="shared" si="22"/>
        <v>3873.9489000000003</v>
      </c>
      <c r="H56" s="394">
        <f t="shared" si="22"/>
        <v>4160.5888299999997</v>
      </c>
      <c r="I56" s="394">
        <f t="shared" si="22"/>
        <v>3978.8022900000005</v>
      </c>
      <c r="J56" s="394">
        <f t="shared" ref="J56:P56" si="23">+SUM(J57:J65)</f>
        <v>3903.3587600000001</v>
      </c>
      <c r="K56" s="394">
        <f>+SUM(K57:K65)</f>
        <v>4038.0054399999999</v>
      </c>
      <c r="L56" s="394">
        <f>+SUM(L57:L65)</f>
        <v>4157.0043300000007</v>
      </c>
      <c r="M56" s="394">
        <f>+SUM(M57:M65)</f>
        <v>4030.1628800000008</v>
      </c>
      <c r="N56" s="394">
        <f>+SUM(N57:N65)</f>
        <v>4153.8499500000007</v>
      </c>
      <c r="O56" s="394">
        <f t="shared" si="23"/>
        <v>0</v>
      </c>
      <c r="P56" s="395">
        <f t="shared" si="23"/>
        <v>44458.639300000003</v>
      </c>
      <c r="Q56" s="277"/>
      <c r="R56" s="249"/>
      <c r="S56" s="278"/>
      <c r="T56" s="305"/>
    </row>
    <row r="57" spans="3:20">
      <c r="C57" s="398" t="s">
        <v>116</v>
      </c>
      <c r="D57" s="386">
        <f>+[10]R!E22</f>
        <v>841.29300999999998</v>
      </c>
      <c r="E57" s="386">
        <f>+[10]R!F22</f>
        <v>912.10712999999998</v>
      </c>
      <c r="F57" s="386">
        <f>+[10]R!G22</f>
        <v>1001.5081499999999</v>
      </c>
      <c r="G57" s="386">
        <f>+[10]R!H22</f>
        <v>742.68247999999994</v>
      </c>
      <c r="H57" s="386">
        <f>+[10]R!I22</f>
        <v>831.88967999999988</v>
      </c>
      <c r="I57" s="386">
        <f>+[10]R!J22</f>
        <v>814.08248000000003</v>
      </c>
      <c r="J57" s="386">
        <f>+[10]R!K22</f>
        <v>838.89695999999992</v>
      </c>
      <c r="K57" s="386">
        <f>+[10]R!L22</f>
        <v>920.09044000000006</v>
      </c>
      <c r="L57" s="386">
        <f>+[10]R!M22</f>
        <v>866.10011999999983</v>
      </c>
      <c r="M57" s="386">
        <f>+[10]R!N22</f>
        <v>862.26913000000002</v>
      </c>
      <c r="N57" s="386">
        <f>+[10]R!O22</f>
        <v>858.60283000000004</v>
      </c>
      <c r="O57" s="386"/>
      <c r="P57" s="387">
        <f t="shared" si="18"/>
        <v>9489.5224099999996</v>
      </c>
      <c r="Q57" s="327"/>
      <c r="R57" s="249"/>
      <c r="S57" s="278">
        <f t="shared" si="19"/>
        <v>-4.2519207431210848E-3</v>
      </c>
    </row>
    <row r="58" spans="3:20">
      <c r="C58" s="397" t="s">
        <v>117</v>
      </c>
      <c r="D58" s="386">
        <f>+[10]R!E23</f>
        <v>1246.6288599999998</v>
      </c>
      <c r="E58" s="386">
        <f>+[10]R!F23</f>
        <v>1174.3625900000002</v>
      </c>
      <c r="F58" s="386">
        <f>+[10]R!G23</f>
        <v>1311.9070599999998</v>
      </c>
      <c r="G58" s="386">
        <f>+[10]R!H23</f>
        <v>1272.2868600000002</v>
      </c>
      <c r="H58" s="386">
        <f>+[10]R!I23</f>
        <v>1447.5801200000001</v>
      </c>
      <c r="I58" s="386">
        <f>+[10]R!J23</f>
        <v>1318.1143100000002</v>
      </c>
      <c r="J58" s="386">
        <f>+[10]R!K23</f>
        <v>1191.2968099999998</v>
      </c>
      <c r="K58" s="386">
        <f>+[10]R!L23</f>
        <v>1189.5787700000001</v>
      </c>
      <c r="L58" s="386">
        <f>+[10]R!M23</f>
        <v>1297.5853200000001</v>
      </c>
      <c r="M58" s="386">
        <f>+[10]R!N23</f>
        <v>1230.7398500000002</v>
      </c>
      <c r="N58" s="386">
        <f>+[10]R!O23</f>
        <v>1294.6774799999998</v>
      </c>
      <c r="O58" s="386"/>
      <c r="P58" s="387">
        <f t="shared" si="18"/>
        <v>13974.758029999999</v>
      </c>
      <c r="Q58" s="327"/>
      <c r="R58" s="249"/>
      <c r="S58" s="278">
        <f t="shared" si="19"/>
        <v>5.1950564532382337E-2</v>
      </c>
    </row>
    <row r="59" spans="3:20">
      <c r="C59" s="397" t="s">
        <v>118</v>
      </c>
      <c r="D59" s="386">
        <f>+[10]R!E24</f>
        <v>276.11928999999998</v>
      </c>
      <c r="E59" s="386">
        <f>+[10]R!F24</f>
        <v>281.12243000000001</v>
      </c>
      <c r="F59" s="386">
        <f>+[10]R!G24</f>
        <v>326.4255</v>
      </c>
      <c r="G59" s="386">
        <f>+[10]R!H24</f>
        <v>321.65985000000006</v>
      </c>
      <c r="H59" s="386">
        <f>+[10]R!I24</f>
        <v>323.42172999999997</v>
      </c>
      <c r="I59" s="386">
        <f>+[10]R!J24</f>
        <v>336.85079000000002</v>
      </c>
      <c r="J59" s="386">
        <f>+[10]R!K24</f>
        <v>341.86887000000002</v>
      </c>
      <c r="K59" s="386">
        <f>+[10]R!L24</f>
        <v>322.87925999999999</v>
      </c>
      <c r="L59" s="386">
        <f>+[10]R!M24</f>
        <v>316.74678</v>
      </c>
      <c r="M59" s="386">
        <f>+[10]R!N24</f>
        <v>304.75796000000003</v>
      </c>
      <c r="N59" s="386">
        <f>+[10]R!O24</f>
        <v>263.10406999999998</v>
      </c>
      <c r="O59" s="386"/>
      <c r="P59" s="387">
        <f t="shared" si="18"/>
        <v>3414.9565299999999</v>
      </c>
      <c r="Q59" s="277"/>
      <c r="R59" s="249"/>
      <c r="S59" s="278">
        <f t="shared" si="19"/>
        <v>-0.13667859569607321</v>
      </c>
    </row>
    <row r="60" spans="3:20">
      <c r="C60" s="397" t="s">
        <v>119</v>
      </c>
      <c r="D60" s="386">
        <f>+[10]R!E25</f>
        <v>205.27674999999999</v>
      </c>
      <c r="E60" s="386">
        <f>+[10]R!F25</f>
        <v>171.36226000000002</v>
      </c>
      <c r="F60" s="386">
        <f>+[10]R!G25</f>
        <v>196.65259</v>
      </c>
      <c r="G60" s="386">
        <f>+[10]R!H25</f>
        <v>172.81202999999999</v>
      </c>
      <c r="H60" s="386">
        <f>+[10]R!I25</f>
        <v>187.95459999999997</v>
      </c>
      <c r="I60" s="386">
        <f>+[10]R!J25</f>
        <v>178.18703000000002</v>
      </c>
      <c r="J60" s="386">
        <f>+[10]R!K25</f>
        <v>178.17282999999998</v>
      </c>
      <c r="K60" s="386">
        <f>+[10]R!L25</f>
        <v>177.17060999999998</v>
      </c>
      <c r="L60" s="386">
        <f>+[10]R!M25</f>
        <v>196.53045</v>
      </c>
      <c r="M60" s="386">
        <f>+[10]R!N25</f>
        <v>217.54597000000001</v>
      </c>
      <c r="N60" s="386">
        <f>+[10]R!O25</f>
        <v>203.29345000000001</v>
      </c>
      <c r="O60" s="386"/>
      <c r="P60" s="387">
        <f t="shared" si="18"/>
        <v>2084.9585700000002</v>
      </c>
      <c r="Q60" s="277"/>
      <c r="R60" s="249"/>
      <c r="S60" s="278">
        <f t="shared" si="19"/>
        <v>-6.5514980580886006E-2</v>
      </c>
    </row>
    <row r="61" spans="3:20">
      <c r="C61" s="397" t="s">
        <v>120</v>
      </c>
      <c r="D61" s="386">
        <f>+[10]R!E26</f>
        <v>420.55117000000007</v>
      </c>
      <c r="E61" s="386">
        <f>+[10]R!F26</f>
        <v>251.51130000000001</v>
      </c>
      <c r="F61" s="386">
        <f>+[10]R!G26</f>
        <v>367.01936999999998</v>
      </c>
      <c r="G61" s="386">
        <f>+[10]R!H26</f>
        <v>258.99106999999998</v>
      </c>
      <c r="H61" s="386">
        <f>+[10]R!I26</f>
        <v>229.83891</v>
      </c>
      <c r="I61" s="386">
        <f>+[10]R!J26</f>
        <v>255.57227</v>
      </c>
      <c r="J61" s="386">
        <f>+[10]R!K26</f>
        <v>319.89686</v>
      </c>
      <c r="K61" s="386">
        <f>+[10]R!L26</f>
        <v>396.42832999999996</v>
      </c>
      <c r="L61" s="386">
        <f>+[10]R!M26</f>
        <v>408.81711000000001</v>
      </c>
      <c r="M61" s="386">
        <f>+[10]R!N26</f>
        <v>398.40842000000004</v>
      </c>
      <c r="N61" s="386">
        <f>+[10]R!O26</f>
        <v>589.60901000000001</v>
      </c>
      <c r="O61" s="386"/>
      <c r="P61" s="387">
        <f t="shared" si="18"/>
        <v>3896.6438199999998</v>
      </c>
      <c r="Q61" s="277"/>
      <c r="R61" s="249"/>
      <c r="S61" s="278">
        <f t="shared" si="19"/>
        <v>0.47991101694085669</v>
      </c>
    </row>
    <row r="62" spans="3:20">
      <c r="C62" s="397" t="s">
        <v>121</v>
      </c>
      <c r="D62" s="386">
        <f>+[10]R!E27</f>
        <v>148.95851000000002</v>
      </c>
      <c r="E62" s="386">
        <f>+[10]R!F27</f>
        <v>142.03849</v>
      </c>
      <c r="F62" s="386">
        <f>+[10]R!G27</f>
        <v>152.89709999999999</v>
      </c>
      <c r="G62" s="386">
        <f>+[10]R!H27</f>
        <v>139.96199999999999</v>
      </c>
      <c r="H62" s="386">
        <f>+[10]R!I27</f>
        <v>137.15174999999999</v>
      </c>
      <c r="I62" s="386">
        <f>+[10]R!J27</f>
        <v>128.78387000000001</v>
      </c>
      <c r="J62" s="386">
        <f>+[10]R!K27</f>
        <v>132.13858999999999</v>
      </c>
      <c r="K62" s="386">
        <f>+[10]R!L27</f>
        <v>131.61921000000001</v>
      </c>
      <c r="L62" s="386">
        <f>+[10]R!M27</f>
        <v>128.62386000000001</v>
      </c>
      <c r="M62" s="386">
        <f>+[10]R!N27</f>
        <v>136.45863</v>
      </c>
      <c r="N62" s="386">
        <f>+[10]R!O27</f>
        <v>137.56044</v>
      </c>
      <c r="O62" s="386"/>
      <c r="P62" s="387">
        <f t="shared" si="18"/>
        <v>1516.19245</v>
      </c>
      <c r="Q62" s="277"/>
      <c r="R62" s="249"/>
      <c r="S62" s="278">
        <f t="shared" si="19"/>
        <v>8.0743152704962906E-3</v>
      </c>
    </row>
    <row r="63" spans="3:20">
      <c r="C63" s="397" t="s">
        <v>122</v>
      </c>
      <c r="D63" s="386">
        <f>+[10]R!E28</f>
        <v>57.86056</v>
      </c>
      <c r="E63" s="386">
        <f>+[10]R!F28</f>
        <v>45.358979999999995</v>
      </c>
      <c r="F63" s="386">
        <f>+[10]R!G28</f>
        <v>69.292919999999995</v>
      </c>
      <c r="G63" s="386">
        <f>+[10]R!H28</f>
        <v>69.310269999999988</v>
      </c>
      <c r="H63" s="386">
        <f>+[10]R!I28</f>
        <v>71.388490000000004</v>
      </c>
      <c r="I63" s="386">
        <f>+[10]R!J28</f>
        <v>69.977100000000007</v>
      </c>
      <c r="J63" s="386">
        <f>+[10]R!K28</f>
        <v>53.362350000000006</v>
      </c>
      <c r="K63" s="386">
        <f>+[10]R!L28</f>
        <v>59.543479999999995</v>
      </c>
      <c r="L63" s="386">
        <f>+[10]R!M28</f>
        <v>70.672800000000009</v>
      </c>
      <c r="M63" s="386">
        <f>+[10]R!N28</f>
        <v>70.848079999999996</v>
      </c>
      <c r="N63" s="386">
        <f>+[10]R!O28</f>
        <v>69.19417</v>
      </c>
      <c r="O63" s="386"/>
      <c r="P63" s="387">
        <f t="shared" si="18"/>
        <v>706.80919999999992</v>
      </c>
      <c r="Q63" s="277"/>
      <c r="R63" s="249"/>
      <c r="S63" s="278">
        <f t="shared" si="19"/>
        <v>-2.3344457605625979E-2</v>
      </c>
    </row>
    <row r="64" spans="3:20">
      <c r="C64" s="397" t="s">
        <v>123</v>
      </c>
      <c r="D64" s="386">
        <f>+[10]R!E29</f>
        <v>0</v>
      </c>
      <c r="E64" s="386">
        <f>+[10]R!F29</f>
        <v>0</v>
      </c>
      <c r="F64" s="386">
        <f>+[10]R!G29</f>
        <v>0</v>
      </c>
      <c r="G64" s="386">
        <f>+[10]R!H29</f>
        <v>0</v>
      </c>
      <c r="H64" s="386">
        <f>+[10]R!I29</f>
        <v>0</v>
      </c>
      <c r="I64" s="386">
        <f>+[10]R!J29</f>
        <v>0</v>
      </c>
      <c r="J64" s="386">
        <f>+[10]R!K29</f>
        <v>0</v>
      </c>
      <c r="K64" s="386">
        <f>+[10]R!L29</f>
        <v>0</v>
      </c>
      <c r="L64" s="386">
        <f>+[10]R!M29</f>
        <v>0</v>
      </c>
      <c r="M64" s="386">
        <f>+[10]R!N29</f>
        <v>0</v>
      </c>
      <c r="N64" s="386">
        <f>+[10]R!O29</f>
        <v>0</v>
      </c>
      <c r="O64" s="386"/>
      <c r="P64" s="387">
        <f t="shared" si="18"/>
        <v>0</v>
      </c>
      <c r="Q64" s="277"/>
      <c r="R64" s="249"/>
      <c r="S64" s="278" t="e">
        <f t="shared" si="19"/>
        <v>#DIV/0!</v>
      </c>
    </row>
    <row r="65" spans="1:248">
      <c r="C65" s="397" t="s">
        <v>139</v>
      </c>
      <c r="D65" s="386">
        <f>+[10]R!E30</f>
        <v>869.73280999999997</v>
      </c>
      <c r="E65" s="386">
        <f>+[10]R!F30</f>
        <v>816.46986000000004</v>
      </c>
      <c r="F65" s="386">
        <f>+[10]R!G30</f>
        <v>876.46123</v>
      </c>
      <c r="G65" s="386">
        <f>+[10]R!H30</f>
        <v>896.24433999999997</v>
      </c>
      <c r="H65" s="386">
        <f>+[10]R!I30</f>
        <v>931.36354999999992</v>
      </c>
      <c r="I65" s="386">
        <f>+[10]R!J30</f>
        <v>877.23443999999995</v>
      </c>
      <c r="J65" s="386">
        <f>+[10]R!K30</f>
        <v>847.72549000000004</v>
      </c>
      <c r="K65" s="386">
        <f>+[10]R!L30</f>
        <v>840.69533999999999</v>
      </c>
      <c r="L65" s="386">
        <f>+[10]R!M30</f>
        <v>871.92789000000005</v>
      </c>
      <c r="M65" s="386">
        <f>+[10]R!N30</f>
        <v>809.13483999999994</v>
      </c>
      <c r="N65" s="386">
        <f>+[10]R!O30</f>
        <v>737.80849999999998</v>
      </c>
      <c r="O65" s="386"/>
      <c r="P65" s="387">
        <f t="shared" si="18"/>
        <v>9374.7982899999988</v>
      </c>
      <c r="Q65" s="277"/>
      <c r="R65" s="249"/>
      <c r="S65" s="278">
        <f t="shared" si="19"/>
        <v>-8.815136423985892E-2</v>
      </c>
    </row>
    <row r="66" spans="1:248">
      <c r="C66" s="393" t="s">
        <v>143</v>
      </c>
      <c r="D66" s="394">
        <f t="shared" ref="D66:I66" si="24">+SUM(D67:D69)</f>
        <v>1974.4852900000001</v>
      </c>
      <c r="E66" s="394">
        <f t="shared" si="24"/>
        <v>4761.7353700000031</v>
      </c>
      <c r="F66" s="394">
        <f t="shared" si="24"/>
        <v>1636.9396299999999</v>
      </c>
      <c r="G66" s="394">
        <f t="shared" si="24"/>
        <v>1469.68335</v>
      </c>
      <c r="H66" s="394">
        <f t="shared" si="24"/>
        <v>1616.34979</v>
      </c>
      <c r="I66" s="394">
        <f t="shared" si="24"/>
        <v>1316.2787200000002</v>
      </c>
      <c r="J66" s="394">
        <f t="shared" ref="J66:P66" si="25">+SUM(J67:J69)</f>
        <v>1367.3704300000002</v>
      </c>
      <c r="K66" s="394">
        <f>+SUM(K67:K69)</f>
        <v>1263.9485</v>
      </c>
      <c r="L66" s="394">
        <f>+SUM(L67:L69)</f>
        <v>1616.8836999999996</v>
      </c>
      <c r="M66" s="394">
        <f>+SUM(M67:M69)</f>
        <v>1685.3370099999997</v>
      </c>
      <c r="N66" s="394">
        <f>+SUM(N67:N69)</f>
        <v>1308.1993499999999</v>
      </c>
      <c r="O66" s="394">
        <f t="shared" si="25"/>
        <v>0</v>
      </c>
      <c r="P66" s="395">
        <f t="shared" si="25"/>
        <v>20017.211140000007</v>
      </c>
      <c r="Q66" s="277"/>
      <c r="R66" s="249"/>
      <c r="S66" s="278"/>
    </row>
    <row r="67" spans="1:248">
      <c r="C67" s="397" t="s">
        <v>93</v>
      </c>
      <c r="D67" s="386">
        <f>+[10]R!E32</f>
        <v>1349.4852900000001</v>
      </c>
      <c r="E67" s="386">
        <f>+[10]R!F32</f>
        <v>1401.7353700000001</v>
      </c>
      <c r="F67" s="386">
        <f>+[10]R!G32</f>
        <v>1636.9396299999999</v>
      </c>
      <c r="G67" s="386">
        <f>+[10]R!H32</f>
        <v>1469.68335</v>
      </c>
      <c r="H67" s="386">
        <f>+[10]R!I32</f>
        <v>1616.34979</v>
      </c>
      <c r="I67" s="386">
        <f>+[10]R!J32</f>
        <v>1316.2787200000002</v>
      </c>
      <c r="J67" s="386">
        <f>+[10]R!K32</f>
        <v>1367.3704300000002</v>
      </c>
      <c r="K67" s="386">
        <f>+[10]R!L32</f>
        <v>1263.9485</v>
      </c>
      <c r="L67" s="386">
        <f>+[10]R!M32</f>
        <v>1616.8836999999996</v>
      </c>
      <c r="M67" s="386">
        <f>+[10]R!N32</f>
        <v>1685.3370099999997</v>
      </c>
      <c r="N67" s="386">
        <f>+[10]R!O32</f>
        <v>1308.1993499999999</v>
      </c>
      <c r="O67" s="386"/>
      <c r="P67" s="387">
        <f t="shared" si="18"/>
        <v>16032.211140000003</v>
      </c>
      <c r="Q67" s="277"/>
      <c r="R67" s="249"/>
      <c r="S67" s="278"/>
    </row>
    <row r="68" spans="1:248">
      <c r="C68" s="397" t="s">
        <v>142</v>
      </c>
      <c r="D68" s="386">
        <f>+[10]R!E33</f>
        <v>625</v>
      </c>
      <c r="E68" s="386">
        <f>+[10]R!F33</f>
        <v>3360.0000000000027</v>
      </c>
      <c r="F68" s="386">
        <f>+[10]R!G33</f>
        <v>0</v>
      </c>
      <c r="G68" s="386">
        <f>+[10]R!H33</f>
        <v>0</v>
      </c>
      <c r="H68" s="386">
        <f>+[10]R!I33</f>
        <v>0</v>
      </c>
      <c r="I68" s="386">
        <f>+[10]R!J33</f>
        <v>0</v>
      </c>
      <c r="J68" s="386">
        <f>+[10]R!K33</f>
        <v>0</v>
      </c>
      <c r="K68" s="386">
        <f>+[10]R!L33</f>
        <v>0</v>
      </c>
      <c r="L68" s="386">
        <f>+[10]R!M33</f>
        <v>0</v>
      </c>
      <c r="M68" s="386">
        <f>+[10]R!N33</f>
        <v>0</v>
      </c>
      <c r="N68" s="386">
        <f>+[10]R!O33</f>
        <v>0</v>
      </c>
      <c r="O68" s="386"/>
      <c r="P68" s="387">
        <f t="shared" si="18"/>
        <v>3985.0000000000027</v>
      </c>
      <c r="Q68" s="277"/>
      <c r="R68" s="249"/>
      <c r="S68" s="278"/>
    </row>
    <row r="69" spans="1:248" ht="12" thickBot="1">
      <c r="C69" s="399"/>
      <c r="D69" s="400"/>
      <c r="E69" s="400"/>
      <c r="F69" s="400"/>
      <c r="G69" s="400"/>
      <c r="H69" s="400"/>
      <c r="I69" s="400"/>
      <c r="J69" s="400"/>
      <c r="K69" s="400"/>
      <c r="L69" s="400"/>
      <c r="M69" s="400"/>
      <c r="N69" s="400"/>
      <c r="O69" s="400"/>
      <c r="P69" s="401"/>
      <c r="Q69" s="277"/>
      <c r="R69" s="249"/>
    </row>
    <row r="70" spans="1:248" ht="12" thickTop="1">
      <c r="Q70" s="277"/>
      <c r="R70" s="249"/>
    </row>
    <row r="71" spans="1:248">
      <c r="D71" s="293">
        <f>+D35/D28</f>
        <v>4.4762187436559646E-3</v>
      </c>
      <c r="E71" s="293">
        <f t="shared" ref="E71:O71" si="26">+E35/E28</f>
        <v>3.1914809884679425E-3</v>
      </c>
      <c r="F71" s="293">
        <f t="shared" si="26"/>
        <v>2.8079817203343245E-3</v>
      </c>
      <c r="G71" s="293">
        <f t="shared" si="26"/>
        <v>2.9129536361843567E-3</v>
      </c>
      <c r="H71" s="293">
        <f t="shared" si="26"/>
        <v>4.0862764843914183E-3</v>
      </c>
      <c r="I71" s="293">
        <f t="shared" si="26"/>
        <v>4.3040383281507917E-3</v>
      </c>
      <c r="J71" s="293">
        <f t="shared" si="26"/>
        <v>4.2380576591015164E-3</v>
      </c>
      <c r="K71" s="293">
        <f t="shared" si="26"/>
        <v>4.0737156812211796E-3</v>
      </c>
      <c r="L71" s="293">
        <f t="shared" si="26"/>
        <v>3.8512568269010567E-3</v>
      </c>
      <c r="M71" s="293">
        <f t="shared" si="26"/>
        <v>3.8396187055652303E-3</v>
      </c>
      <c r="N71" s="293">
        <f t="shared" si="26"/>
        <v>3.9936856337444955E-3</v>
      </c>
      <c r="O71" s="293" t="e">
        <f t="shared" si="26"/>
        <v>#DIV/0!</v>
      </c>
    </row>
    <row r="72" spans="1:248">
      <c r="D72" s="294"/>
      <c r="E72" s="295"/>
      <c r="F72" s="294"/>
      <c r="G72" s="294"/>
      <c r="H72" s="294"/>
      <c r="L72" s="246"/>
      <c r="M72" s="246"/>
    </row>
    <row r="73" spans="1:248">
      <c r="C73" s="221" t="s">
        <v>92</v>
      </c>
      <c r="D73" s="294"/>
      <c r="E73" s="295"/>
      <c r="F73" s="294"/>
      <c r="G73" s="294"/>
      <c r="H73" s="294"/>
      <c r="L73" s="246"/>
      <c r="M73" s="246"/>
    </row>
    <row r="74" spans="1:248" s="231" customFormat="1">
      <c r="A74" s="221"/>
      <c r="B74" s="221"/>
      <c r="C74" s="221"/>
      <c r="D74" s="370">
        <f>+D46+D53+D56+D66</f>
        <v>54926.967359999995</v>
      </c>
      <c r="E74" s="370">
        <f t="shared" ref="E74:O74" si="27">+E46+E53+E56+E66</f>
        <v>55347.247230000001</v>
      </c>
      <c r="F74" s="370">
        <f t="shared" si="27"/>
        <v>57009.603730000003</v>
      </c>
      <c r="G74" s="370">
        <f t="shared" si="27"/>
        <v>53252.244990000007</v>
      </c>
      <c r="H74" s="370">
        <f t="shared" si="27"/>
        <v>52471.350489999997</v>
      </c>
      <c r="I74" s="370">
        <f t="shared" si="27"/>
        <v>50999.91416</v>
      </c>
      <c r="J74" s="370">
        <f t="shared" si="27"/>
        <v>52491.004490000014</v>
      </c>
      <c r="K74" s="370">
        <f t="shared" si="27"/>
        <v>51856.290960000006</v>
      </c>
      <c r="L74" s="370">
        <f t="shared" si="27"/>
        <v>52082.709269999992</v>
      </c>
      <c r="M74" s="370">
        <f t="shared" si="27"/>
        <v>52832.509870000009</v>
      </c>
      <c r="N74" s="370">
        <f t="shared" si="27"/>
        <v>51322.482840000004</v>
      </c>
      <c r="O74" s="370">
        <f t="shared" si="27"/>
        <v>0</v>
      </c>
    </row>
    <row r="75" spans="1:248">
      <c r="D75" s="296">
        <f>+D56</f>
        <v>4066.4209599999999</v>
      </c>
      <c r="E75" s="296">
        <f t="shared" ref="E75:O75" si="28">+E56</f>
        <v>3794.33304</v>
      </c>
      <c r="F75" s="296">
        <f t="shared" si="28"/>
        <v>4302.16392</v>
      </c>
      <c r="G75" s="296">
        <f t="shared" si="28"/>
        <v>3873.9489000000003</v>
      </c>
      <c r="H75" s="296">
        <f t="shared" si="28"/>
        <v>4160.5888299999997</v>
      </c>
      <c r="I75" s="296">
        <f t="shared" si="28"/>
        <v>3978.8022900000005</v>
      </c>
      <c r="J75" s="296">
        <f t="shared" si="28"/>
        <v>3903.3587600000001</v>
      </c>
      <c r="K75" s="296">
        <f>+K56</f>
        <v>4038.0054399999999</v>
      </c>
      <c r="L75" s="296">
        <f t="shared" si="28"/>
        <v>4157.0043300000007</v>
      </c>
      <c r="M75" s="296">
        <f t="shared" si="28"/>
        <v>4030.1628800000008</v>
      </c>
      <c r="N75" s="296">
        <f t="shared" si="28"/>
        <v>4153.8499500000007</v>
      </c>
      <c r="O75" s="296">
        <f t="shared" si="28"/>
        <v>0</v>
      </c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231"/>
      <c r="AO75" s="231"/>
      <c r="AP75" s="231"/>
      <c r="AQ75" s="231"/>
      <c r="AR75" s="231"/>
      <c r="AS75" s="231"/>
      <c r="AT75" s="231"/>
      <c r="AU75" s="231"/>
      <c r="AV75" s="231"/>
      <c r="AW75" s="231"/>
      <c r="AX75" s="231"/>
      <c r="AY75" s="231"/>
      <c r="AZ75" s="231"/>
      <c r="BA75" s="231"/>
      <c r="BB75" s="231"/>
      <c r="BC75" s="231"/>
      <c r="BD75" s="231"/>
      <c r="BE75" s="231"/>
      <c r="BF75" s="231"/>
      <c r="BG75" s="231"/>
      <c r="BH75" s="231"/>
      <c r="BI75" s="231"/>
      <c r="BJ75" s="231"/>
      <c r="BK75" s="231"/>
      <c r="BL75" s="231"/>
      <c r="BM75" s="231"/>
      <c r="BN75" s="231"/>
      <c r="BO75" s="231"/>
      <c r="BP75" s="231"/>
      <c r="BQ75" s="231"/>
      <c r="BR75" s="231"/>
      <c r="BS75" s="231"/>
      <c r="BT75" s="231"/>
      <c r="BU75" s="231"/>
      <c r="BV75" s="231"/>
      <c r="BW75" s="231"/>
      <c r="BX75" s="231"/>
      <c r="BY75" s="231"/>
      <c r="BZ75" s="231"/>
      <c r="CA75" s="231"/>
      <c r="CB75" s="231"/>
      <c r="CC75" s="231"/>
      <c r="CD75" s="231"/>
      <c r="CE75" s="231"/>
      <c r="CF75" s="231"/>
      <c r="CG75" s="231"/>
      <c r="CH75" s="231"/>
      <c r="CI75" s="231"/>
      <c r="CJ75" s="231"/>
      <c r="CK75" s="231"/>
      <c r="CL75" s="231"/>
      <c r="CM75" s="231"/>
      <c r="CN75" s="231"/>
      <c r="CO75" s="231"/>
      <c r="CP75" s="231"/>
      <c r="CQ75" s="231"/>
      <c r="CR75" s="231"/>
      <c r="CS75" s="231"/>
      <c r="CT75" s="231"/>
      <c r="CU75" s="231"/>
      <c r="CV75" s="231"/>
      <c r="CW75" s="231"/>
      <c r="CX75" s="231"/>
      <c r="CY75" s="231"/>
      <c r="CZ75" s="231"/>
      <c r="DA75" s="231"/>
      <c r="DB75" s="231"/>
      <c r="DC75" s="231"/>
      <c r="DD75" s="231"/>
      <c r="DE75" s="231"/>
      <c r="DF75" s="231"/>
      <c r="DG75" s="231"/>
      <c r="DH75" s="231"/>
      <c r="DI75" s="231"/>
      <c r="DJ75" s="231"/>
      <c r="DK75" s="231"/>
      <c r="DL75" s="231"/>
      <c r="DM75" s="231"/>
      <c r="DN75" s="231"/>
      <c r="DO75" s="231"/>
      <c r="DP75" s="231"/>
      <c r="DQ75" s="231"/>
      <c r="DR75" s="231"/>
      <c r="DS75" s="231"/>
      <c r="DT75" s="231"/>
      <c r="DU75" s="231"/>
      <c r="DV75" s="231"/>
      <c r="DW75" s="231"/>
      <c r="DX75" s="231"/>
      <c r="DY75" s="231"/>
      <c r="DZ75" s="231"/>
      <c r="EA75" s="231"/>
      <c r="EB75" s="231"/>
      <c r="EC75" s="231"/>
      <c r="ED75" s="231"/>
      <c r="EE75" s="231"/>
      <c r="EF75" s="231"/>
      <c r="EG75" s="231"/>
      <c r="EH75" s="231"/>
      <c r="EI75" s="231"/>
      <c r="EJ75" s="231"/>
      <c r="EK75" s="231"/>
      <c r="EL75" s="231"/>
      <c r="EM75" s="231"/>
      <c r="EN75" s="231"/>
      <c r="EO75" s="231"/>
      <c r="EP75" s="231"/>
      <c r="EQ75" s="231"/>
      <c r="ER75" s="231"/>
      <c r="ES75" s="231"/>
      <c r="ET75" s="231"/>
      <c r="EU75" s="231"/>
      <c r="EV75" s="231"/>
      <c r="EW75" s="231"/>
      <c r="EX75" s="231"/>
      <c r="EY75" s="231"/>
      <c r="EZ75" s="231"/>
      <c r="FA75" s="231"/>
      <c r="FB75" s="231"/>
      <c r="FC75" s="231"/>
      <c r="FD75" s="231"/>
      <c r="FE75" s="231"/>
      <c r="FF75" s="231"/>
      <c r="FG75" s="231"/>
      <c r="FH75" s="231"/>
      <c r="FI75" s="231"/>
      <c r="FJ75" s="231"/>
      <c r="FK75" s="231"/>
      <c r="FL75" s="231"/>
      <c r="FM75" s="231"/>
      <c r="FN75" s="231"/>
      <c r="FO75" s="231"/>
      <c r="FP75" s="231"/>
      <c r="FQ75" s="231"/>
      <c r="FR75" s="231"/>
      <c r="FS75" s="231"/>
      <c r="FT75" s="231"/>
      <c r="FU75" s="231"/>
      <c r="FV75" s="231"/>
      <c r="FW75" s="231"/>
      <c r="FX75" s="231"/>
      <c r="FY75" s="231"/>
      <c r="FZ75" s="231"/>
      <c r="GA75" s="231"/>
      <c r="GB75" s="231"/>
      <c r="GC75" s="231"/>
      <c r="GD75" s="231"/>
      <c r="GE75" s="231"/>
      <c r="GF75" s="231"/>
      <c r="GG75" s="231"/>
      <c r="GH75" s="231"/>
      <c r="GI75" s="231"/>
      <c r="GJ75" s="231"/>
      <c r="GK75" s="231"/>
      <c r="GL75" s="231"/>
      <c r="GM75" s="231"/>
      <c r="GN75" s="231"/>
      <c r="GO75" s="231"/>
      <c r="GP75" s="231"/>
      <c r="GQ75" s="231"/>
      <c r="GR75" s="231"/>
      <c r="GS75" s="231"/>
      <c r="GT75" s="231"/>
      <c r="GU75" s="231"/>
      <c r="GV75" s="231"/>
      <c r="GW75" s="231"/>
      <c r="GX75" s="231"/>
      <c r="GY75" s="231"/>
      <c r="GZ75" s="231"/>
      <c r="HA75" s="231"/>
      <c r="HB75" s="231"/>
      <c r="HC75" s="231"/>
      <c r="HD75" s="231"/>
      <c r="HE75" s="231"/>
      <c r="HF75" s="231"/>
      <c r="HG75" s="231"/>
      <c r="HH75" s="231"/>
      <c r="HI75" s="231"/>
      <c r="HJ75" s="231"/>
      <c r="HK75" s="231"/>
      <c r="HL75" s="231"/>
      <c r="HM75" s="231"/>
      <c r="HN75" s="231"/>
      <c r="HO75" s="231"/>
      <c r="HP75" s="231"/>
      <c r="HQ75" s="231"/>
      <c r="HR75" s="231"/>
      <c r="HS75" s="231"/>
      <c r="HT75" s="231"/>
      <c r="HU75" s="231"/>
      <c r="HV75" s="231"/>
      <c r="HW75" s="231"/>
      <c r="HX75" s="231"/>
      <c r="HY75" s="231"/>
      <c r="HZ75" s="231"/>
      <c r="IA75" s="231"/>
      <c r="IB75" s="231"/>
      <c r="IC75" s="231"/>
      <c r="ID75" s="231"/>
      <c r="IE75" s="231"/>
      <c r="IF75" s="231"/>
      <c r="IG75" s="231"/>
      <c r="IH75" s="231"/>
      <c r="II75" s="231"/>
      <c r="IJ75" s="231"/>
      <c r="IK75" s="231"/>
      <c r="IL75" s="231"/>
      <c r="IM75" s="231"/>
      <c r="IN75" s="231"/>
    </row>
    <row r="76" spans="1:248">
      <c r="D76" s="297">
        <f t="shared" ref="D76:O76" si="29">+D40-D41</f>
        <v>0</v>
      </c>
      <c r="E76" s="297">
        <f t="shared" si="29"/>
        <v>0</v>
      </c>
      <c r="F76" s="297">
        <f t="shared" si="29"/>
        <v>0</v>
      </c>
      <c r="G76" s="297">
        <f t="shared" si="29"/>
        <v>0</v>
      </c>
      <c r="H76" s="297">
        <f t="shared" si="29"/>
        <v>0</v>
      </c>
      <c r="I76" s="297">
        <f t="shared" si="29"/>
        <v>0</v>
      </c>
      <c r="J76" s="297">
        <f t="shared" si="29"/>
        <v>0</v>
      </c>
      <c r="K76" s="297">
        <f t="shared" si="29"/>
        <v>0</v>
      </c>
      <c r="L76" s="297">
        <f t="shared" si="29"/>
        <v>0</v>
      </c>
      <c r="M76" s="297">
        <f t="shared" si="29"/>
        <v>0</v>
      </c>
      <c r="N76" s="297">
        <f t="shared" si="29"/>
        <v>0</v>
      </c>
      <c r="O76" s="297">
        <f t="shared" si="29"/>
        <v>0</v>
      </c>
      <c r="P76" s="297"/>
    </row>
    <row r="77" spans="1:248">
      <c r="B77" s="278"/>
      <c r="C77" s="249"/>
      <c r="D77" s="297">
        <f>+D76*0.4</f>
        <v>0</v>
      </c>
      <c r="E77" s="297">
        <f t="shared" ref="E77:O77" si="30">+E76*0.4</f>
        <v>0</v>
      </c>
      <c r="F77" s="297">
        <f t="shared" si="30"/>
        <v>0</v>
      </c>
      <c r="G77" s="297">
        <f t="shared" si="30"/>
        <v>0</v>
      </c>
      <c r="H77" s="297">
        <f t="shared" si="30"/>
        <v>0</v>
      </c>
      <c r="I77" s="297">
        <f t="shared" si="30"/>
        <v>0</v>
      </c>
      <c r="J77" s="297">
        <f t="shared" si="30"/>
        <v>0</v>
      </c>
      <c r="K77" s="297">
        <f t="shared" si="30"/>
        <v>0</v>
      </c>
      <c r="L77" s="297">
        <f t="shared" si="30"/>
        <v>0</v>
      </c>
      <c r="M77" s="297">
        <f t="shared" si="30"/>
        <v>0</v>
      </c>
      <c r="N77" s="297">
        <f t="shared" si="30"/>
        <v>0</v>
      </c>
      <c r="O77" s="297">
        <f t="shared" si="30"/>
        <v>0</v>
      </c>
      <c r="P77" s="297"/>
    </row>
    <row r="78" spans="1:248">
      <c r="B78" s="278"/>
      <c r="C78" s="249"/>
      <c r="D78" s="297">
        <f>+D76*0.6</f>
        <v>0</v>
      </c>
      <c r="E78" s="297">
        <f t="shared" ref="E78:O78" si="31">+E76*0.6</f>
        <v>0</v>
      </c>
      <c r="F78" s="297">
        <f t="shared" si="31"/>
        <v>0</v>
      </c>
      <c r="G78" s="297">
        <f t="shared" si="31"/>
        <v>0</v>
      </c>
      <c r="H78" s="297">
        <f t="shared" si="31"/>
        <v>0</v>
      </c>
      <c r="I78" s="297">
        <f t="shared" si="31"/>
        <v>0</v>
      </c>
      <c r="J78" s="297">
        <f t="shared" si="31"/>
        <v>0</v>
      </c>
      <c r="K78" s="297">
        <f>+K76*0.6</f>
        <v>0</v>
      </c>
      <c r="L78" s="297">
        <f t="shared" si="31"/>
        <v>0</v>
      </c>
      <c r="M78" s="297">
        <f t="shared" si="31"/>
        <v>0</v>
      </c>
      <c r="N78" s="297">
        <f t="shared" si="31"/>
        <v>0</v>
      </c>
      <c r="O78" s="297">
        <f t="shared" si="31"/>
        <v>0</v>
      </c>
      <c r="P78" s="297"/>
    </row>
    <row r="80" spans="1:248">
      <c r="D80" s="305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</row>
    <row r="81" spans="3:15">
      <c r="D81" s="413">
        <f>+D37/D27</f>
        <v>1.6712121213023116E-2</v>
      </c>
      <c r="E81" s="413">
        <f>+E37/E27</f>
        <v>1.453547001452425E-2</v>
      </c>
      <c r="F81" s="413">
        <f>+F37/F27</f>
        <v>1.3364340473542041E-2</v>
      </c>
      <c r="G81" s="413">
        <f>+G37/G27</f>
        <v>1.360897733135097E-2</v>
      </c>
      <c r="H81" s="413">
        <f>+AVERAGE(D81:G81)</f>
        <v>1.4555227258110095E-2</v>
      </c>
      <c r="I81" s="413">
        <f>+AVERAGE(E81:H81)</f>
        <v>1.4016003769381839E-2</v>
      </c>
    </row>
    <row r="82" spans="3:15"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</row>
    <row r="83" spans="3:15">
      <c r="D83" s="351">
        <f>+D37/D27</f>
        <v>1.6712121213023116E-2</v>
      </c>
      <c r="E83" s="351">
        <f t="shared" ref="E83:J83" si="32">+E37/E27</f>
        <v>1.453547001452425E-2</v>
      </c>
      <c r="F83" s="351">
        <f t="shared" si="32"/>
        <v>1.3364340473542041E-2</v>
      </c>
      <c r="G83" s="351">
        <f t="shared" si="32"/>
        <v>1.360897733135097E-2</v>
      </c>
      <c r="H83" s="351">
        <f t="shared" si="32"/>
        <v>1.5236175705375995E-2</v>
      </c>
      <c r="I83" s="351">
        <f t="shared" si="32"/>
        <v>1.4613022928989314E-2</v>
      </c>
      <c r="J83" s="351">
        <f t="shared" si="32"/>
        <v>1.4736087205281613E-2</v>
      </c>
      <c r="K83" s="278"/>
      <c r="L83" s="278"/>
      <c r="M83" s="278"/>
      <c r="N83" s="278"/>
      <c r="O83" s="278"/>
    </row>
    <row r="86" spans="3:15">
      <c r="D86" s="278"/>
      <c r="E86" s="278"/>
      <c r="F86" s="278"/>
      <c r="G86" s="278"/>
      <c r="H86" s="278"/>
      <c r="I86" s="278"/>
      <c r="J86" s="278"/>
      <c r="K86" s="278"/>
      <c r="L86" s="278"/>
      <c r="M86" s="278"/>
      <c r="N86" s="278"/>
      <c r="O86" s="278"/>
    </row>
    <row r="87" spans="3:15">
      <c r="D87" s="415">
        <v>45658</v>
      </c>
      <c r="E87" s="415">
        <v>45689</v>
      </c>
      <c r="F87" s="415">
        <v>45717</v>
      </c>
      <c r="G87" s="415">
        <v>45748</v>
      </c>
      <c r="H87" s="415">
        <v>45778</v>
      </c>
      <c r="I87" s="415">
        <v>45809</v>
      </c>
      <c r="J87" s="415">
        <v>45839</v>
      </c>
      <c r="K87" s="415">
        <v>45870</v>
      </c>
      <c r="L87" s="415">
        <v>45901</v>
      </c>
      <c r="M87" s="415">
        <v>45931</v>
      </c>
      <c r="N87" s="415">
        <v>45962</v>
      </c>
      <c r="O87" s="415">
        <v>45992</v>
      </c>
    </row>
    <row r="88" spans="3:15">
      <c r="D88" s="221">
        <f>+DAY(DATE(YEAR(D87),MONTH(D87)+1,1)-1)</f>
        <v>31</v>
      </c>
      <c r="E88" s="221">
        <f t="shared" ref="E88:O88" si="33">+DAY(DATE(YEAR(E87),MONTH(E87)+1,1)-1)</f>
        <v>28</v>
      </c>
      <c r="F88" s="221">
        <f t="shared" si="33"/>
        <v>31</v>
      </c>
      <c r="G88" s="221">
        <f t="shared" si="33"/>
        <v>30</v>
      </c>
      <c r="H88" s="221">
        <f t="shared" si="33"/>
        <v>31</v>
      </c>
      <c r="I88" s="221">
        <f t="shared" si="33"/>
        <v>30</v>
      </c>
      <c r="J88" s="221">
        <f t="shared" si="33"/>
        <v>31</v>
      </c>
      <c r="K88" s="221">
        <f t="shared" si="33"/>
        <v>31</v>
      </c>
      <c r="L88" s="221">
        <f t="shared" si="33"/>
        <v>30</v>
      </c>
      <c r="M88" s="221">
        <f t="shared" si="33"/>
        <v>31</v>
      </c>
      <c r="N88" s="221">
        <f t="shared" si="33"/>
        <v>30</v>
      </c>
      <c r="O88" s="221">
        <f t="shared" si="33"/>
        <v>31</v>
      </c>
    </row>
    <row r="89" spans="3:15">
      <c r="C89" s="221" t="s">
        <v>170</v>
      </c>
      <c r="D89" s="277">
        <f>+D43/(24*D88*0.8)</f>
        <v>10.935933775177576</v>
      </c>
      <c r="E89" s="277">
        <f t="shared" ref="E89:K89" si="34">+E43/(24*E88*0.8)</f>
        <v>42.352736014564776</v>
      </c>
      <c r="F89" s="277">
        <f t="shared" si="34"/>
        <v>99.542819561480556</v>
      </c>
      <c r="G89" s="277">
        <f t="shared" si="34"/>
        <v>90.521659235656315</v>
      </c>
      <c r="H89" s="277">
        <f t="shared" si="34"/>
        <v>26.178861807863541</v>
      </c>
      <c r="I89" s="277">
        <f t="shared" si="34"/>
        <v>27.755545509055487</v>
      </c>
      <c r="J89" s="277">
        <f t="shared" si="34"/>
        <v>26.639855439193546</v>
      </c>
      <c r="K89" s="277">
        <f t="shared" si="34"/>
        <v>31.356760634433055</v>
      </c>
    </row>
    <row r="90" spans="3:15">
      <c r="C90" s="221" t="s">
        <v>170</v>
      </c>
      <c r="D90" s="277">
        <f>+D41/(24*D88*0.75)</f>
        <v>110.10042140320016</v>
      </c>
      <c r="E90" s="277">
        <f t="shared" ref="E90:K90" si="35">+E41/(24*E88*0.75)</f>
        <v>154.99221847505959</v>
      </c>
      <c r="F90" s="277">
        <f t="shared" si="35"/>
        <v>208.34675615231762</v>
      </c>
      <c r="G90" s="277">
        <f t="shared" si="35"/>
        <v>195.17170501803341</v>
      </c>
      <c r="H90" s="277">
        <f t="shared" si="35"/>
        <v>121.95879755921213</v>
      </c>
      <c r="I90" s="277">
        <f t="shared" si="35"/>
        <v>124.05020069114067</v>
      </c>
      <c r="J90" s="277">
        <f t="shared" si="35"/>
        <v>122.48574632151973</v>
      </c>
      <c r="K90" s="277">
        <f t="shared" si="35"/>
        <v>126.37963241866409</v>
      </c>
    </row>
    <row r="92" spans="3:15">
      <c r="C92" s="221" t="s">
        <v>169</v>
      </c>
      <c r="D92" s="277">
        <v>11.006451612903229</v>
      </c>
      <c r="E92" s="277">
        <v>18.315714285714286</v>
      </c>
      <c r="F92" s="277">
        <v>23.218387096774197</v>
      </c>
      <c r="G92" s="277">
        <v>20.841666666666665</v>
      </c>
      <c r="H92" s="277">
        <v>12.400967741935483</v>
      </c>
      <c r="I92" s="277">
        <v>12.681666666666667</v>
      </c>
      <c r="J92" s="277">
        <v>12.499870967741934</v>
      </c>
      <c r="K92" s="277">
        <v>12.912258064516131</v>
      </c>
    </row>
    <row r="93" spans="3:15">
      <c r="C93" s="221" t="s">
        <v>171</v>
      </c>
      <c r="D93" s="277">
        <f>+D90/D92</f>
        <v>10.003262202518183</v>
      </c>
      <c r="E93" s="277">
        <f t="shared" ref="E93:K93" si="36">+E90/E92</f>
        <v>8.4622535631028555</v>
      </c>
      <c r="F93" s="277">
        <f t="shared" si="36"/>
        <v>8.9733518217233907</v>
      </c>
      <c r="G93" s="277">
        <f t="shared" si="36"/>
        <v>9.364496042448625</v>
      </c>
      <c r="H93" s="277">
        <f t="shared" si="36"/>
        <v>9.8346193698087454</v>
      </c>
      <c r="I93" s="277">
        <f t="shared" si="36"/>
        <v>9.7818531232335921</v>
      </c>
      <c r="J93" s="277">
        <f t="shared" si="36"/>
        <v>9.798960856285257</v>
      </c>
      <c r="K93" s="277">
        <f t="shared" si="36"/>
        <v>9.7875702132971583</v>
      </c>
    </row>
    <row r="95" spans="3:15">
      <c r="D95" s="277">
        <f>+D90/0.9</f>
        <v>122.33380155911128</v>
      </c>
      <c r="E95" s="277">
        <f t="shared" ref="E95:K95" si="37">+E90/0.9</f>
        <v>172.21357608339954</v>
      </c>
      <c r="F95" s="277">
        <f t="shared" si="37"/>
        <v>231.49639572479737</v>
      </c>
      <c r="G95" s="277">
        <f t="shared" si="37"/>
        <v>216.85745002003711</v>
      </c>
      <c r="H95" s="277">
        <f t="shared" si="37"/>
        <v>135.50977506579125</v>
      </c>
      <c r="I95" s="277">
        <f t="shared" si="37"/>
        <v>137.83355632348963</v>
      </c>
      <c r="J95" s="277">
        <f t="shared" si="37"/>
        <v>136.09527369057747</v>
      </c>
      <c r="K95" s="277">
        <f t="shared" si="37"/>
        <v>140.42181379851564</v>
      </c>
    </row>
  </sheetData>
  <printOptions horizontalCentered="1"/>
  <pageMargins left="0.39370078740157483" right="0.39370078740157483" top="1.3779527559055118" bottom="1" header="0" footer="0"/>
  <pageSetup paperSize="9" scale="7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F31A-E606-442E-B331-69985B6D4EEA}">
  <sheetPr>
    <pageSetUpPr fitToPage="1"/>
  </sheetPr>
  <dimension ref="A2:IN92"/>
  <sheetViews>
    <sheetView view="pageBreakPreview" topLeftCell="A12" zoomScaleNormal="80" zoomScaleSheetLayoutView="100" zoomScalePageLayoutView="85" workbookViewId="0">
      <selection activeCell="S22" sqref="S22"/>
    </sheetView>
  </sheetViews>
  <sheetFormatPr baseColWidth="10" defaultColWidth="9" defaultRowHeight="11.25"/>
  <cols>
    <col min="1" max="1" width="3" style="221" customWidth="1"/>
    <col min="2" max="2" width="3.85546875" style="221" customWidth="1"/>
    <col min="3" max="3" width="26.85546875" style="221" bestFit="1" customWidth="1"/>
    <col min="4" max="4" width="10.7109375" style="221" customWidth="1"/>
    <col min="5" max="5" width="10.7109375" style="221" bestFit="1" customWidth="1"/>
    <col min="6" max="8" width="10.7109375" style="221" customWidth="1"/>
    <col min="9" max="9" width="11.85546875" style="221" customWidth="1"/>
    <col min="10" max="15" width="11.7109375" style="221" customWidth="1"/>
    <col min="16" max="16" width="15.7109375" style="221" customWidth="1"/>
    <col min="17" max="17" width="3.28515625" style="221" customWidth="1"/>
    <col min="18" max="18" width="10.5703125" style="221" bestFit="1" customWidth="1"/>
    <col min="19" max="19" width="9.85546875" style="221" bestFit="1" customWidth="1"/>
    <col min="20" max="16384" width="9" style="221"/>
  </cols>
  <sheetData>
    <row r="2" spans="3:16" ht="13.5" customHeight="1"/>
    <row r="3" spans="3:16">
      <c r="C3" s="222" t="s">
        <v>0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3:16">
      <c r="C4" s="222" t="s">
        <v>168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</row>
    <row r="5" spans="3:16" ht="12" thickBot="1"/>
    <row r="6" spans="3:16" ht="12" thickTop="1">
      <c r="C6" s="224" t="s">
        <v>1</v>
      </c>
      <c r="D6" s="225" t="s">
        <v>2</v>
      </c>
      <c r="E6" s="225" t="s">
        <v>3</v>
      </c>
      <c r="F6" s="225" t="s">
        <v>4</v>
      </c>
      <c r="G6" s="225" t="s">
        <v>5</v>
      </c>
      <c r="H6" s="225" t="s">
        <v>6</v>
      </c>
      <c r="I6" s="225" t="s">
        <v>7</v>
      </c>
      <c r="J6" s="225" t="s">
        <v>8</v>
      </c>
      <c r="K6" s="225" t="s">
        <v>9</v>
      </c>
      <c r="L6" s="225" t="s">
        <v>10</v>
      </c>
      <c r="M6" s="225" t="s">
        <v>11</v>
      </c>
      <c r="N6" s="225" t="s">
        <v>12</v>
      </c>
      <c r="O6" s="226" t="s">
        <v>13</v>
      </c>
      <c r="P6" s="227" t="s">
        <v>14</v>
      </c>
    </row>
    <row r="7" spans="3:16">
      <c r="C7" s="228" t="s">
        <v>15</v>
      </c>
      <c r="D7" s="229"/>
      <c r="E7" s="229"/>
      <c r="F7" s="230"/>
      <c r="G7" s="230"/>
      <c r="H7" s="230"/>
      <c r="I7" s="230"/>
      <c r="J7" s="230"/>
      <c r="K7" s="231"/>
      <c r="L7" s="230"/>
      <c r="M7" s="230"/>
      <c r="N7" s="230"/>
      <c r="O7" s="232"/>
      <c r="P7" s="233"/>
    </row>
    <row r="8" spans="3:16">
      <c r="C8" s="234" t="s">
        <v>16</v>
      </c>
      <c r="D8" s="360">
        <f>+'2025'!D8</f>
        <v>1071.4801257123947</v>
      </c>
      <c r="E8" s="360">
        <f>+'2025'!E8</f>
        <v>641.48354343147889</v>
      </c>
      <c r="F8" s="360">
        <f>+'2025'!F8</f>
        <v>1070.9441155992747</v>
      </c>
      <c r="G8" s="360">
        <f>+'2025'!G8</f>
        <v>1112.831780352499</v>
      </c>
      <c r="H8" s="360">
        <f>+'2025'!H8</f>
        <v>1111.4552526048421</v>
      </c>
      <c r="I8" s="360">
        <f>+'2025'!I8</f>
        <v>1179.1163690490723</v>
      </c>
      <c r="J8" s="360">
        <f>+'2025'!J8</f>
        <v>1227.3952107833361</v>
      </c>
      <c r="K8" s="360">
        <f>+'2025'!K8</f>
        <v>1234.0160851449966</v>
      </c>
      <c r="L8" s="360">
        <f>+'2025'!L8</f>
        <v>1098.9526686256986</v>
      </c>
      <c r="M8" s="360">
        <f>+'2025'!M8</f>
        <v>1196.4329496154785</v>
      </c>
      <c r="N8" s="360">
        <f>+'2025'!N8</f>
        <v>1109.5140981475115</v>
      </c>
      <c r="O8" s="360">
        <f>+'2025'!O8</f>
        <v>0</v>
      </c>
      <c r="P8" s="269">
        <f t="shared" ref="P8:P14" si="0">+SUM(D8:O8)</f>
        <v>12053.622199066584</v>
      </c>
    </row>
    <row r="9" spans="3:16">
      <c r="C9" s="234" t="s">
        <v>17</v>
      </c>
      <c r="D9" s="360">
        <f>+'2025'!D9</f>
        <v>404.07446083474161</v>
      </c>
      <c r="E9" s="360">
        <f>+'2025'!E9</f>
        <v>240.09358940844595</v>
      </c>
      <c r="F9" s="360">
        <f>+'2025'!F9</f>
        <v>307.68512540183553</v>
      </c>
      <c r="G9" s="360">
        <f>+'2025'!G9</f>
        <v>289.89299666596031</v>
      </c>
      <c r="H9" s="360">
        <f>+'2025'!H9</f>
        <v>401.21818551334741</v>
      </c>
      <c r="I9" s="360">
        <f>+'2025'!I9</f>
        <v>392.73166775226463</v>
      </c>
      <c r="J9" s="360">
        <f>+'2025'!J9</f>
        <v>412.36309768211919</v>
      </c>
      <c r="K9" s="360">
        <f>+'2025'!K9</f>
        <v>415.9599274068164</v>
      </c>
      <c r="L9" s="360">
        <f>+'2025'!L9</f>
        <v>397.44116822347047</v>
      </c>
      <c r="M9" s="360">
        <f>+'2025'!M9</f>
        <v>414.96536869551824</v>
      </c>
      <c r="N9" s="360">
        <f>+'2025'!N9</f>
        <v>397.44756723966833</v>
      </c>
      <c r="O9" s="360">
        <f>+'2025'!O9</f>
        <v>0</v>
      </c>
      <c r="P9" s="269">
        <f t="shared" si="0"/>
        <v>4073.8731548241885</v>
      </c>
    </row>
    <row r="10" spans="3:16">
      <c r="C10" s="234" t="s">
        <v>18</v>
      </c>
      <c r="D10" s="360">
        <f>+'2025'!D10</f>
        <v>3247.1436416816709</v>
      </c>
      <c r="E10" s="360">
        <f>+'2025'!E10</f>
        <v>1937.0824618477523</v>
      </c>
      <c r="F10" s="360">
        <f>+'2025'!F10</f>
        <v>3152.9510521995426</v>
      </c>
      <c r="G10" s="360">
        <f>+'2025'!G10</f>
        <v>3217.7276859518288</v>
      </c>
      <c r="H10" s="360">
        <f>+'2025'!H10</f>
        <v>3250.2231558488606</v>
      </c>
      <c r="I10" s="360">
        <f>+'2025'!I10</f>
        <v>3316.9198746948241</v>
      </c>
      <c r="J10" s="360">
        <f>+'2025'!J10</f>
        <v>3342.7577209835054</v>
      </c>
      <c r="K10" s="360">
        <f>+'2025'!K10</f>
        <v>3460.3538351020811</v>
      </c>
      <c r="L10" s="360">
        <f>+'2025'!L10</f>
        <v>3253.4667921400069</v>
      </c>
      <c r="M10" s="360">
        <f>+'2025'!M10</f>
        <v>3469.1438617248537</v>
      </c>
      <c r="N10" s="360">
        <f>+'2025'!N10</f>
        <v>3236.668688128233</v>
      </c>
      <c r="O10" s="360">
        <f>+'2025'!O10</f>
        <v>0</v>
      </c>
      <c r="P10" s="269">
        <f t="shared" si="0"/>
        <v>34884.438770303153</v>
      </c>
    </row>
    <row r="11" spans="3:16">
      <c r="C11" s="234" t="s">
        <v>19</v>
      </c>
      <c r="D11" s="360">
        <f>+'2025'!D11</f>
        <v>4544.3818629291873</v>
      </c>
      <c r="E11" s="360">
        <f>+'2025'!E11</f>
        <v>268.0055301438681</v>
      </c>
      <c r="F11" s="360">
        <f>+'2025'!F11</f>
        <v>4915.6273986550814</v>
      </c>
      <c r="G11" s="360">
        <f>+'2025'!G11</f>
        <v>7198.528393291218</v>
      </c>
      <c r="H11" s="360">
        <f>+'2025'!H11</f>
        <v>8175.1059603481872</v>
      </c>
      <c r="I11" s="360">
        <f>+'2025'!I11</f>
        <v>8617.9938681294025</v>
      </c>
      <c r="J11" s="360">
        <f>+'2025'!J11</f>
        <v>8899.9958844158355</v>
      </c>
      <c r="K11" s="360">
        <f>+'2025'!K11</f>
        <v>9125.2142678133278</v>
      </c>
      <c r="L11" s="360">
        <f>+'2025'!L11</f>
        <v>9020.468833935347</v>
      </c>
      <c r="M11" s="360">
        <f>+'2025'!M11</f>
        <v>9029.9013549556566</v>
      </c>
      <c r="N11" s="360">
        <f>+'2025'!N11</f>
        <v>8811.3212131629734</v>
      </c>
      <c r="O11" s="360">
        <f>+'2025'!O11</f>
        <v>0</v>
      </c>
      <c r="P11" s="269">
        <f t="shared" si="0"/>
        <v>78606.544567780074</v>
      </c>
    </row>
    <row r="12" spans="3:16">
      <c r="C12" s="234" t="s">
        <v>20</v>
      </c>
      <c r="D12" s="360">
        <f>+'2025'!D12</f>
        <v>48993.449982387545</v>
      </c>
      <c r="E12" s="360">
        <f>+'2025'!E12</f>
        <v>73638.445548386095</v>
      </c>
      <c r="F12" s="360">
        <f>+'2025'!F12</f>
        <v>103348.24450420434</v>
      </c>
      <c r="G12" s="360">
        <f>+'2025'!G12</f>
        <v>89778.412216391895</v>
      </c>
      <c r="H12" s="360">
        <f>+'2025'!H12</f>
        <v>55201.793487043869</v>
      </c>
      <c r="I12" s="360">
        <f>+'2025'!I12</f>
        <v>54628.248451390864</v>
      </c>
      <c r="J12" s="360">
        <f>+'2025'!J12</f>
        <v>55641.347944330242</v>
      </c>
      <c r="K12" s="360">
        <f>+'2025'!K12</f>
        <v>57478.526284375264</v>
      </c>
      <c r="L12" s="360">
        <f>+'2025'!L12</f>
        <v>58425.001062251387</v>
      </c>
      <c r="M12" s="360">
        <f>+'2025'!M12</f>
        <v>58873.805630592586</v>
      </c>
      <c r="N12" s="360">
        <f>+'2025'!N12</f>
        <v>56862.163104238301</v>
      </c>
      <c r="O12" s="360">
        <f>+'2025'!O12</f>
        <v>0</v>
      </c>
      <c r="P12" s="269">
        <f t="shared" si="0"/>
        <v>712869.43821559253</v>
      </c>
    </row>
    <row r="13" spans="3:16">
      <c r="C13" s="234" t="s">
        <v>21</v>
      </c>
      <c r="D13" s="360">
        <f>+'2025'!D13</f>
        <v>4376.2359955304828</v>
      </c>
      <c r="E13" s="360">
        <f>+'2025'!E13</f>
        <v>2624.4824723689412</v>
      </c>
      <c r="F13" s="360">
        <f>+'2025'!F13</f>
        <v>5180.7431619914996</v>
      </c>
      <c r="G13" s="360">
        <f>+'2025'!G13</f>
        <v>5434.7071193848215</v>
      </c>
      <c r="H13" s="360">
        <f>+'2025'!H13</f>
        <v>1040.3780395913125</v>
      </c>
      <c r="I13" s="360">
        <f>+'2025'!I13</f>
        <v>0</v>
      </c>
      <c r="J13" s="360">
        <f>+'2025'!J13</f>
        <v>0</v>
      </c>
      <c r="K13" s="360">
        <f>+'2025'!K13</f>
        <v>0</v>
      </c>
      <c r="L13" s="360">
        <f>+'2025'!L13</f>
        <v>0</v>
      </c>
      <c r="M13" s="360">
        <f>+'2025'!M13</f>
        <v>0</v>
      </c>
      <c r="N13" s="360">
        <f>+'2025'!N13</f>
        <v>0</v>
      </c>
      <c r="O13" s="360">
        <f>+'2025'!O13</f>
        <v>0</v>
      </c>
      <c r="P13" s="269">
        <f t="shared" si="0"/>
        <v>18656.546788867057</v>
      </c>
    </row>
    <row r="14" spans="3:16">
      <c r="C14" s="240" t="s">
        <v>22</v>
      </c>
      <c r="D14" s="361">
        <f t="shared" ref="D14:M14" si="1">SUM(D8:D13)</f>
        <v>62636.766069076024</v>
      </c>
      <c r="E14" s="361">
        <f>SUM(E8:E13)</f>
        <v>79349.593145586579</v>
      </c>
      <c r="F14" s="361">
        <f>SUM(F8:F13)</f>
        <v>117976.19535805157</v>
      </c>
      <c r="G14" s="361">
        <f>SUM(G8:G13)</f>
        <v>107032.10019203823</v>
      </c>
      <c r="H14" s="361">
        <f>SUM(H8:H13)</f>
        <v>69180.174080950412</v>
      </c>
      <c r="I14" s="361">
        <f t="shared" si="1"/>
        <v>68135.010231016422</v>
      </c>
      <c r="J14" s="361">
        <f t="shared" si="1"/>
        <v>69523.859858195035</v>
      </c>
      <c r="K14" s="361">
        <f t="shared" si="1"/>
        <v>71714.070399842487</v>
      </c>
      <c r="L14" s="361">
        <f t="shared" si="1"/>
        <v>72195.330525175916</v>
      </c>
      <c r="M14" s="361">
        <f t="shared" si="1"/>
        <v>72984.2491655841</v>
      </c>
      <c r="N14" s="361">
        <f>SUM(N8:N13)</f>
        <v>70417.114670916693</v>
      </c>
      <c r="O14" s="361">
        <f>SUM(O8:O13)</f>
        <v>0</v>
      </c>
      <c r="P14" s="362">
        <f t="shared" si="0"/>
        <v>861144.46369643346</v>
      </c>
    </row>
    <row r="15" spans="3:16">
      <c r="C15" s="228" t="s">
        <v>23</v>
      </c>
      <c r="D15" s="360"/>
      <c r="E15" s="360"/>
      <c r="F15" s="360"/>
      <c r="G15" s="360"/>
      <c r="H15" s="360"/>
      <c r="I15" s="268"/>
      <c r="J15" s="268"/>
      <c r="K15" s="268"/>
      <c r="L15" s="268"/>
      <c r="M15" s="268"/>
      <c r="N15" s="268"/>
      <c r="O15" s="268"/>
      <c r="P15" s="269"/>
    </row>
    <row r="16" spans="3:16">
      <c r="C16" s="248" t="s">
        <v>24</v>
      </c>
      <c r="D16" s="360"/>
      <c r="E16" s="360"/>
      <c r="F16" s="360"/>
      <c r="G16" s="360"/>
      <c r="H16" s="360"/>
      <c r="I16" s="268"/>
      <c r="J16" s="268"/>
      <c r="K16" s="268"/>
      <c r="L16" s="268"/>
      <c r="M16" s="268"/>
      <c r="N16" s="268"/>
      <c r="O16" s="268"/>
      <c r="P16" s="269">
        <f t="shared" ref="P16:P22" si="2">+SUM(D16:O16)</f>
        <v>0</v>
      </c>
    </row>
    <row r="17" spans="2:20">
      <c r="C17" s="234" t="s">
        <v>25</v>
      </c>
      <c r="D17" s="360">
        <f>+'2025'!D17</f>
        <v>5.3895011291503909</v>
      </c>
      <c r="E17" s="360">
        <f>+'2025'!E17</f>
        <v>0</v>
      </c>
      <c r="F17" s="360">
        <f>+'2025'!F17</f>
        <v>0</v>
      </c>
      <c r="G17" s="360">
        <f>+'2025'!G17</f>
        <v>0</v>
      </c>
      <c r="H17" s="360">
        <f>+'2025'!H17</f>
        <v>42.227031082153317</v>
      </c>
      <c r="I17" s="360">
        <f>+'2025'!I17</f>
        <v>0</v>
      </c>
      <c r="J17" s="360">
        <f>+'2025'!J17</f>
        <v>8.6205345020852402</v>
      </c>
      <c r="K17" s="360">
        <f>+'2025'!K17</f>
        <v>0</v>
      </c>
      <c r="L17" s="360">
        <f>+'2025'!L17</f>
        <v>105.93009354591369</v>
      </c>
      <c r="M17" s="360">
        <f>+'2025'!M17</f>
        <v>0</v>
      </c>
      <c r="N17" s="360">
        <f>+'2025'!N17</f>
        <v>0</v>
      </c>
      <c r="O17" s="360"/>
      <c r="P17" s="269">
        <f t="shared" si="2"/>
        <v>162.16716025930265</v>
      </c>
    </row>
    <row r="18" spans="2:20">
      <c r="C18" s="248" t="s">
        <v>26</v>
      </c>
      <c r="D18" s="360">
        <f>+'2025'!D18</f>
        <v>16.545310285568238</v>
      </c>
      <c r="E18" s="360">
        <f>+'2025'!E18</f>
        <v>19.131363072872162</v>
      </c>
      <c r="F18" s="360">
        <f>+'2025'!F18</f>
        <v>0</v>
      </c>
      <c r="G18" s="360">
        <f>+'2025'!G18</f>
        <v>32.036662517547605</v>
      </c>
      <c r="H18" s="360">
        <f>+'2025'!H18</f>
        <v>20.943377021789551</v>
      </c>
      <c r="I18" s="360">
        <f>+'2025'!I18</f>
        <v>18.835031382493675</v>
      </c>
      <c r="J18" s="360">
        <f>+'2025'!J18</f>
        <v>0</v>
      </c>
      <c r="K18" s="360">
        <f>+'2025'!K18</f>
        <v>8.7933216330707076</v>
      </c>
      <c r="L18" s="360">
        <f>+'2025'!L18</f>
        <v>77.065237656593325</v>
      </c>
      <c r="M18" s="360">
        <f>+'2025'!M18</f>
        <v>0</v>
      </c>
      <c r="N18" s="360">
        <f>+'2025'!N18</f>
        <v>0</v>
      </c>
      <c r="O18" s="360"/>
      <c r="P18" s="269">
        <f t="shared" si="2"/>
        <v>193.35030356993525</v>
      </c>
      <c r="Q18" s="249"/>
    </row>
    <row r="19" spans="2:20">
      <c r="C19" s="248" t="s">
        <v>27</v>
      </c>
      <c r="D19" s="360">
        <f>+'2025'!D19</f>
        <v>0</v>
      </c>
      <c r="E19" s="360">
        <f>+'2025'!E19</f>
        <v>63.724881828308106</v>
      </c>
      <c r="F19" s="360">
        <f>+'2025'!F19</f>
        <v>86.595364361762989</v>
      </c>
      <c r="G19" s="360">
        <f>+'2025'!G19</f>
        <v>0</v>
      </c>
      <c r="H19" s="360">
        <f>+'2025'!H19</f>
        <v>43.476679145812987</v>
      </c>
      <c r="I19" s="360">
        <f>+'2025'!I19</f>
        <v>19.874380126953124</v>
      </c>
      <c r="J19" s="360">
        <f>+'2025'!J19</f>
        <v>28.227888476693288</v>
      </c>
      <c r="K19" s="360">
        <f>+'2025'!K19</f>
        <v>20.725413511991501</v>
      </c>
      <c r="L19" s="360">
        <f>+'2025'!L19</f>
        <v>210.79020661044123</v>
      </c>
      <c r="M19" s="360">
        <f>+'2025'!M19</f>
        <v>0</v>
      </c>
      <c r="N19" s="360">
        <f>+'2025'!N19</f>
        <v>18.541163642883301</v>
      </c>
      <c r="O19" s="360"/>
      <c r="P19" s="269">
        <f t="shared" si="2"/>
        <v>491.95597770484659</v>
      </c>
      <c r="Q19" s="249"/>
    </row>
    <row r="20" spans="2:20">
      <c r="C20" s="250" t="s">
        <v>46</v>
      </c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269">
        <f t="shared" si="2"/>
        <v>0</v>
      </c>
      <c r="Q20" s="249"/>
    </row>
    <row r="21" spans="2:20">
      <c r="C21" s="240" t="s">
        <v>28</v>
      </c>
      <c r="D21" s="361">
        <f t="shared" ref="D21:N21" si="3">SUM(D16:D20)</f>
        <v>21.934811414718631</v>
      </c>
      <c r="E21" s="361">
        <f>SUM(E16:E20)</f>
        <v>82.856244901180276</v>
      </c>
      <c r="F21" s="361">
        <f>SUM(F16:F20)</f>
        <v>86.595364361762989</v>
      </c>
      <c r="G21" s="361">
        <f>SUM(G16:G20)</f>
        <v>32.036662517547605</v>
      </c>
      <c r="H21" s="361">
        <f>SUM(H16:H20)</f>
        <v>106.64708724975586</v>
      </c>
      <c r="I21" s="361">
        <f t="shared" si="3"/>
        <v>38.709411509446795</v>
      </c>
      <c r="J21" s="361">
        <f t="shared" si="3"/>
        <v>36.84842297877853</v>
      </c>
      <c r="K21" s="361">
        <f t="shared" si="3"/>
        <v>29.518735145062209</v>
      </c>
      <c r="L21" s="361">
        <f t="shared" si="3"/>
        <v>393.78553781294829</v>
      </c>
      <c r="M21" s="361">
        <f t="shared" si="3"/>
        <v>0</v>
      </c>
      <c r="N21" s="361">
        <f t="shared" si="3"/>
        <v>18.541163642883301</v>
      </c>
      <c r="O21" s="361">
        <f>SUM(O16:O20)</f>
        <v>0</v>
      </c>
      <c r="P21" s="362">
        <f t="shared" si="2"/>
        <v>847.47344153408449</v>
      </c>
    </row>
    <row r="22" spans="2:20" ht="12" thickBot="1">
      <c r="C22" s="251" t="s">
        <v>29</v>
      </c>
      <c r="D22" s="363">
        <f t="shared" ref="D22:N22" si="4">+D14+D21</f>
        <v>62658.700880490745</v>
      </c>
      <c r="E22" s="363">
        <f>+E14+E21</f>
        <v>79432.44939048776</v>
      </c>
      <c r="F22" s="363">
        <f>+F14+F21</f>
        <v>118062.79072241334</v>
      </c>
      <c r="G22" s="363">
        <f>+G14+G21</f>
        <v>107064.13685455578</v>
      </c>
      <c r="H22" s="363">
        <f>+H14+H21</f>
        <v>69286.821168200171</v>
      </c>
      <c r="I22" s="363">
        <f t="shared" si="4"/>
        <v>68173.719642525873</v>
      </c>
      <c r="J22" s="363">
        <f t="shared" si="4"/>
        <v>69560.708281173807</v>
      </c>
      <c r="K22" s="363">
        <f t="shared" si="4"/>
        <v>71743.589134987546</v>
      </c>
      <c r="L22" s="363">
        <f t="shared" si="4"/>
        <v>72589.116062988862</v>
      </c>
      <c r="M22" s="363">
        <f t="shared" si="4"/>
        <v>72984.2491655841</v>
      </c>
      <c r="N22" s="363">
        <f t="shared" si="4"/>
        <v>70435.655834559569</v>
      </c>
      <c r="O22" s="363">
        <f>+O14+O21</f>
        <v>0</v>
      </c>
      <c r="P22" s="364">
        <f t="shared" si="2"/>
        <v>861991.93713796756</v>
      </c>
    </row>
    <row r="23" spans="2:20" ht="12" thickTop="1">
      <c r="D23" s="329"/>
    </row>
    <row r="24" spans="2:20">
      <c r="B24" s="423"/>
      <c r="C24" s="424" t="s">
        <v>147</v>
      </c>
      <c r="D24" s="425"/>
      <c r="E24" s="425"/>
      <c r="F24" s="425"/>
      <c r="G24" s="425"/>
      <c r="H24" s="425"/>
      <c r="I24" s="425"/>
      <c r="J24" s="425"/>
      <c r="K24" s="425"/>
      <c r="L24" s="425"/>
      <c r="M24" s="425"/>
      <c r="N24" s="425"/>
      <c r="O24" s="425"/>
      <c r="P24" s="425"/>
      <c r="Q24" s="423"/>
    </row>
    <row r="25" spans="2:20" ht="12" thickBot="1">
      <c r="B25" s="423"/>
      <c r="C25" s="423"/>
      <c r="D25" s="423"/>
      <c r="E25" s="423"/>
      <c r="F25" s="423"/>
      <c r="G25" s="423"/>
      <c r="H25" s="423"/>
      <c r="I25" s="423"/>
      <c r="J25" s="423"/>
      <c r="K25" s="423"/>
      <c r="L25" s="423"/>
      <c r="M25" s="423"/>
      <c r="N25" s="423"/>
      <c r="O25" s="423"/>
      <c r="P25" s="423"/>
      <c r="Q25" s="423"/>
    </row>
    <row r="26" spans="2:20" ht="12" thickTop="1">
      <c r="B26" s="423"/>
      <c r="C26" s="426" t="s">
        <v>30</v>
      </c>
      <c r="D26" s="427" t="s">
        <v>2</v>
      </c>
      <c r="E26" s="427" t="s">
        <v>3</v>
      </c>
      <c r="F26" s="427" t="s">
        <v>4</v>
      </c>
      <c r="G26" s="427" t="s">
        <v>5</v>
      </c>
      <c r="H26" s="427" t="s">
        <v>6</v>
      </c>
      <c r="I26" s="427" t="s">
        <v>7</v>
      </c>
      <c r="J26" s="427" t="s">
        <v>8</v>
      </c>
      <c r="K26" s="427" t="s">
        <v>9</v>
      </c>
      <c r="L26" s="427" t="s">
        <v>10</v>
      </c>
      <c r="M26" s="427" t="s">
        <v>11</v>
      </c>
      <c r="N26" s="427" t="s">
        <v>12</v>
      </c>
      <c r="O26" s="427" t="s">
        <v>13</v>
      </c>
      <c r="P26" s="428" t="s">
        <v>14</v>
      </c>
      <c r="Q26" s="423"/>
    </row>
    <row r="27" spans="2:20">
      <c r="B27" s="423"/>
      <c r="C27" s="382" t="s">
        <v>31</v>
      </c>
      <c r="D27" s="383">
        <f t="shared" ref="D27:O27" si="5">+D28+D29</f>
        <v>62658.700880490745</v>
      </c>
      <c r="E27" s="383">
        <f t="shared" si="5"/>
        <v>79432.44939048776</v>
      </c>
      <c r="F27" s="383">
        <f t="shared" si="5"/>
        <v>118062.79072241334</v>
      </c>
      <c r="G27" s="383">
        <f t="shared" si="5"/>
        <v>107064.13685455578</v>
      </c>
      <c r="H27" s="383">
        <f t="shared" si="5"/>
        <v>69286.821168200171</v>
      </c>
      <c r="I27" s="383">
        <f t="shared" si="5"/>
        <v>68173.719642525873</v>
      </c>
      <c r="J27" s="383">
        <f t="shared" si="5"/>
        <v>69560.708281173807</v>
      </c>
      <c r="K27" s="383">
        <f>+K28+K29</f>
        <v>71743.589134987546</v>
      </c>
      <c r="L27" s="383">
        <f t="shared" si="5"/>
        <v>72589.116062988862</v>
      </c>
      <c r="M27" s="383">
        <f t="shared" si="5"/>
        <v>72984.2491655841</v>
      </c>
      <c r="N27" s="383">
        <f t="shared" si="5"/>
        <v>70435.655834559569</v>
      </c>
      <c r="O27" s="383">
        <f t="shared" si="5"/>
        <v>0</v>
      </c>
      <c r="P27" s="384">
        <f>SUM(D27:O27)</f>
        <v>861991.93713796756</v>
      </c>
      <c r="Q27" s="423"/>
      <c r="R27" s="305"/>
      <c r="T27" s="277"/>
    </row>
    <row r="28" spans="2:20">
      <c r="B28" s="423"/>
      <c r="C28" s="385" t="s">
        <v>32</v>
      </c>
      <c r="D28" s="386">
        <f>+D14</f>
        <v>62636.766069076024</v>
      </c>
      <c r="E28" s="386">
        <f t="shared" ref="E28:O28" si="6">+E14</f>
        <v>79349.593145586579</v>
      </c>
      <c r="F28" s="386">
        <f t="shared" si="6"/>
        <v>117976.19535805157</v>
      </c>
      <c r="G28" s="386">
        <f t="shared" si="6"/>
        <v>107032.10019203823</v>
      </c>
      <c r="H28" s="386">
        <f t="shared" si="6"/>
        <v>69180.174080950412</v>
      </c>
      <c r="I28" s="386">
        <f t="shared" si="6"/>
        <v>68135.010231016422</v>
      </c>
      <c r="J28" s="386">
        <f t="shared" si="6"/>
        <v>69523.859858195035</v>
      </c>
      <c r="K28" s="386">
        <f>+K14</f>
        <v>71714.070399842487</v>
      </c>
      <c r="L28" s="386">
        <f t="shared" si="6"/>
        <v>72195.330525175916</v>
      </c>
      <c r="M28" s="386">
        <f t="shared" si="6"/>
        <v>72984.2491655841</v>
      </c>
      <c r="N28" s="386">
        <f t="shared" si="6"/>
        <v>70417.114670916693</v>
      </c>
      <c r="O28" s="386">
        <f t="shared" si="6"/>
        <v>0</v>
      </c>
      <c r="P28" s="387">
        <f>SUM(D28:O28)</f>
        <v>861144.46369643346</v>
      </c>
      <c r="Q28" s="423"/>
      <c r="R28" s="305"/>
    </row>
    <row r="29" spans="2:20">
      <c r="B29" s="423"/>
      <c r="C29" s="388" t="s">
        <v>33</v>
      </c>
      <c r="D29" s="389">
        <f>+D21</f>
        <v>21.934811414718631</v>
      </c>
      <c r="E29" s="389">
        <f t="shared" ref="E29:O29" si="7">+E21</f>
        <v>82.856244901180276</v>
      </c>
      <c r="F29" s="389">
        <f t="shared" si="7"/>
        <v>86.595364361762989</v>
      </c>
      <c r="G29" s="389">
        <f t="shared" si="7"/>
        <v>32.036662517547605</v>
      </c>
      <c r="H29" s="389">
        <f t="shared" si="7"/>
        <v>106.64708724975586</v>
      </c>
      <c r="I29" s="389">
        <f t="shared" si="7"/>
        <v>38.709411509446795</v>
      </c>
      <c r="J29" s="389">
        <f t="shared" si="7"/>
        <v>36.84842297877853</v>
      </c>
      <c r="K29" s="389">
        <f>+K21</f>
        <v>29.518735145062209</v>
      </c>
      <c r="L29" s="389">
        <f t="shared" si="7"/>
        <v>393.78553781294829</v>
      </c>
      <c r="M29" s="389">
        <f t="shared" si="7"/>
        <v>0</v>
      </c>
      <c r="N29" s="389">
        <f t="shared" si="7"/>
        <v>18.541163642883301</v>
      </c>
      <c r="O29" s="389">
        <f t="shared" si="7"/>
        <v>0</v>
      </c>
      <c r="P29" s="390">
        <f>SUM(D29:O29)</f>
        <v>847.47344153408449</v>
      </c>
      <c r="Q29" s="423"/>
      <c r="R29" s="305"/>
    </row>
    <row r="30" spans="2:20">
      <c r="B30" s="423"/>
      <c r="C30" s="382" t="s">
        <v>34</v>
      </c>
      <c r="D30" s="383">
        <f>+SUM(D31:D33)</f>
        <v>109.505</v>
      </c>
      <c r="E30" s="383">
        <f>+SUM(E31:E33)</f>
        <v>95.645937351226806</v>
      </c>
      <c r="F30" s="383">
        <f>+SUM(F31:F33)</f>
        <v>107.82954305076599</v>
      </c>
      <c r="G30" s="383">
        <f t="shared" ref="G30:P30" si="8">+SUM(G31:G33)</f>
        <v>101.39997145366668</v>
      </c>
      <c r="H30" s="383">
        <f t="shared" si="8"/>
        <v>108.91785338115692</v>
      </c>
      <c r="I30" s="383">
        <f>+SUM(I31:I33)</f>
        <v>104.58724521446229</v>
      </c>
      <c r="J30" s="383">
        <f t="shared" si="8"/>
        <v>107.45294521808624</v>
      </c>
      <c r="K30" s="383">
        <f>+SUM(K31:K33)</f>
        <v>105.52322145652771</v>
      </c>
      <c r="L30" s="383">
        <f t="shared" si="8"/>
        <v>101.1687472192352</v>
      </c>
      <c r="M30" s="383">
        <f t="shared" si="8"/>
        <v>137.27084288787842</v>
      </c>
      <c r="N30" s="383">
        <f t="shared" si="8"/>
        <v>100.0115708398819</v>
      </c>
      <c r="O30" s="383">
        <f t="shared" si="8"/>
        <v>0</v>
      </c>
      <c r="P30" s="384">
        <f t="shared" si="8"/>
        <v>1179.3128780728882</v>
      </c>
      <c r="Q30" s="423"/>
    </row>
    <row r="31" spans="2:20">
      <c r="B31" s="423"/>
      <c r="C31" s="391" t="s">
        <v>41</v>
      </c>
      <c r="D31" s="386">
        <f>+'2025'!D31</f>
        <v>0</v>
      </c>
      <c r="E31" s="386">
        <f>+'2025'!E31</f>
        <v>0</v>
      </c>
      <c r="F31" s="386">
        <f>+'2025'!F31</f>
        <v>0</v>
      </c>
      <c r="G31" s="386">
        <f>+'2025'!G31</f>
        <v>0</v>
      </c>
      <c r="H31" s="386">
        <f>+'2025'!H31</f>
        <v>0</v>
      </c>
      <c r="I31" s="386">
        <f>+'2025'!I31</f>
        <v>0</v>
      </c>
      <c r="J31" s="386">
        <f>+'2025'!J31</f>
        <v>0</v>
      </c>
      <c r="K31" s="386">
        <f>+'2025'!K31</f>
        <v>0</v>
      </c>
      <c r="L31" s="386">
        <f>+'2025'!L31</f>
        <v>0</v>
      </c>
      <c r="M31" s="386">
        <f>+'2025'!M31</f>
        <v>0</v>
      </c>
      <c r="N31" s="386">
        <f>+'2025'!N31</f>
        <v>0</v>
      </c>
      <c r="O31" s="386"/>
      <c r="P31" s="387">
        <f t="shared" ref="P31:P39" si="9">SUM(D31:O31)</f>
        <v>0</v>
      </c>
      <c r="Q31" s="423"/>
    </row>
    <row r="32" spans="2:20">
      <c r="B32" s="423"/>
      <c r="C32" s="391" t="s">
        <v>109</v>
      </c>
      <c r="D32" s="386">
        <f>+'2025'!D32</f>
        <v>109.505</v>
      </c>
      <c r="E32" s="386">
        <f>+'2025'!E32</f>
        <v>95.645937351226806</v>
      </c>
      <c r="F32" s="386">
        <f>+'2025'!F32</f>
        <v>107.82954305076599</v>
      </c>
      <c r="G32" s="386">
        <f>+'2025'!G32</f>
        <v>101.39997145366668</v>
      </c>
      <c r="H32" s="386">
        <f>+'2025'!H32</f>
        <v>108.91785338115692</v>
      </c>
      <c r="I32" s="386">
        <f>+'2025'!I32</f>
        <v>104.58724521446229</v>
      </c>
      <c r="J32" s="386">
        <f>+'2025'!J32</f>
        <v>107.45294521808624</v>
      </c>
      <c r="K32" s="386">
        <f>+'2025'!K32</f>
        <v>105.52322145652771</v>
      </c>
      <c r="L32" s="386">
        <f>+'2025'!L32</f>
        <v>101.1687472192352</v>
      </c>
      <c r="M32" s="386">
        <f>+'2025'!M32</f>
        <v>137.27084288787842</v>
      </c>
      <c r="N32" s="386">
        <f>+'2025'!N32</f>
        <v>100.0115708398819</v>
      </c>
      <c r="O32" s="386"/>
      <c r="P32" s="387">
        <f t="shared" si="9"/>
        <v>1179.3128780728882</v>
      </c>
      <c r="Q32" s="423"/>
      <c r="R32" s="278"/>
      <c r="S32" s="278"/>
    </row>
    <row r="33" spans="2:20">
      <c r="B33" s="423"/>
      <c r="C33" s="392" t="s">
        <v>125</v>
      </c>
      <c r="D33" s="389">
        <f>+'2025'!D33</f>
        <v>0</v>
      </c>
      <c r="E33" s="389">
        <f>+'2025'!E33</f>
        <v>0</v>
      </c>
      <c r="F33" s="389">
        <f>+'2025'!F33</f>
        <v>0</v>
      </c>
      <c r="G33" s="389">
        <f>+'2025'!G33</f>
        <v>0</v>
      </c>
      <c r="H33" s="389">
        <f>+'2025'!H33</f>
        <v>0</v>
      </c>
      <c r="I33" s="389">
        <f>+'2025'!I33</f>
        <v>0</v>
      </c>
      <c r="J33" s="389">
        <f>+'2025'!J33</f>
        <v>0</v>
      </c>
      <c r="K33" s="389">
        <f>+'2025'!K33</f>
        <v>0</v>
      </c>
      <c r="L33" s="389">
        <f>+'2025'!L33</f>
        <v>0</v>
      </c>
      <c r="M33" s="389">
        <f>+'2025'!M33</f>
        <v>0</v>
      </c>
      <c r="N33" s="389">
        <f>+'2025'!N33</f>
        <v>0</v>
      </c>
      <c r="O33" s="389"/>
      <c r="P33" s="390">
        <f t="shared" si="9"/>
        <v>0</v>
      </c>
      <c r="Q33" s="423"/>
      <c r="R33" s="305"/>
      <c r="S33" s="305"/>
      <c r="T33" s="358"/>
    </row>
    <row r="34" spans="2:20">
      <c r="B34" s="423"/>
      <c r="C34" s="382" t="s">
        <v>35</v>
      </c>
      <c r="D34" s="383">
        <f>+D35+D36</f>
        <v>285.0109333397354</v>
      </c>
      <c r="E34" s="383">
        <f>+E35+E36</f>
        <v>257.42923011330942</v>
      </c>
      <c r="F34" s="383">
        <f>+F35+F36</f>
        <v>335.29899999999998</v>
      </c>
      <c r="G34" s="383">
        <f t="shared" ref="G34:O34" si="10">+G35+G36</f>
        <v>315.78270481708319</v>
      </c>
      <c r="H34" s="383">
        <f t="shared" si="10"/>
        <v>287.06380215528571</v>
      </c>
      <c r="I34" s="383">
        <f t="shared" si="10"/>
        <v>294.97438623366639</v>
      </c>
      <c r="J34" s="383">
        <f t="shared" si="10"/>
        <v>296.06211569135723</v>
      </c>
      <c r="K34" s="383">
        <f>+K35+K36</f>
        <v>294.12512112010131</v>
      </c>
      <c r="L34" s="383">
        <f>+L35+L36</f>
        <v>292.83097551381883</v>
      </c>
      <c r="M34" s="383">
        <f t="shared" si="10"/>
        <v>280.23168830781026</v>
      </c>
      <c r="N34" s="383">
        <f t="shared" si="10"/>
        <v>282.33547255129122</v>
      </c>
      <c r="O34" s="383">
        <f t="shared" si="10"/>
        <v>0</v>
      </c>
      <c r="P34" s="384">
        <f t="shared" si="9"/>
        <v>3221.1454298434587</v>
      </c>
      <c r="Q34" s="423"/>
    </row>
    <row r="35" spans="2:20">
      <c r="B35" s="429"/>
      <c r="C35" s="385" t="s">
        <v>32</v>
      </c>
      <c r="D35" s="386">
        <f>+'2025'!D35</f>
        <v>280.37586632039205</v>
      </c>
      <c r="E35" s="386">
        <f>+'2025'!E35</f>
        <v>253.24271796680571</v>
      </c>
      <c r="F35" s="386">
        <f>+'2025'!F35</f>
        <v>331.27499999999998</v>
      </c>
      <c r="G35" s="386">
        <f>+'2025'!G35</f>
        <v>311.77954544284614</v>
      </c>
      <c r="H35" s="386">
        <f>+'2025'!H35</f>
        <v>282.68931853309238</v>
      </c>
      <c r="I35" s="386">
        <f>+'2025'!I35</f>
        <v>293.255695523241</v>
      </c>
      <c r="J35" s="386">
        <f>+'2025'!J35</f>
        <v>294.64612676232395</v>
      </c>
      <c r="K35" s="386">
        <f>+'2025'!K35</f>
        <v>292.14273315203798</v>
      </c>
      <c r="L35" s="386">
        <f>+'2025'!L35</f>
        <v>278.042759555462</v>
      </c>
      <c r="M35" s="386">
        <f>+'2025'!M35</f>
        <v>280.23168830781026</v>
      </c>
      <c r="N35" s="386">
        <f>+'2025'!N35</f>
        <v>281.22381923097873</v>
      </c>
      <c r="O35" s="386">
        <f>+'2025'!O35</f>
        <v>0</v>
      </c>
      <c r="P35" s="387">
        <f t="shared" si="9"/>
        <v>3178.90527079499</v>
      </c>
      <c r="Q35" s="423"/>
    </row>
    <row r="36" spans="2:20">
      <c r="B36" s="430"/>
      <c r="C36" s="388" t="s">
        <v>33</v>
      </c>
      <c r="D36" s="386">
        <f>+'2025'!D36</f>
        <v>4.6350670193433761</v>
      </c>
      <c r="E36" s="386">
        <f>+'2025'!E36</f>
        <v>4.1865121465036941</v>
      </c>
      <c r="F36" s="386">
        <f>+'2025'!F36</f>
        <v>4.024</v>
      </c>
      <c r="G36" s="386">
        <f>+'2025'!G36</f>
        <v>4.0031593742370601</v>
      </c>
      <c r="H36" s="386">
        <f>+'2025'!H36</f>
        <v>4.3744836221933365</v>
      </c>
      <c r="I36" s="386">
        <f>+'2025'!I36</f>
        <v>1.718690710425377</v>
      </c>
      <c r="J36" s="386">
        <f>+'2025'!J36</f>
        <v>1.4159889290332794</v>
      </c>
      <c r="K36" s="386">
        <f>+'2025'!K36</f>
        <v>1.9823879680633543</v>
      </c>
      <c r="L36" s="386">
        <f>+'2025'!L36</f>
        <v>14.788215958356854</v>
      </c>
      <c r="M36" s="386">
        <f>+'2025'!M36</f>
        <v>0</v>
      </c>
      <c r="N36" s="386">
        <f>+'2025'!N36</f>
        <v>1.1116533203125001</v>
      </c>
      <c r="O36" s="386">
        <f>+'2025'!O36</f>
        <v>0</v>
      </c>
      <c r="P36" s="390">
        <f t="shared" si="9"/>
        <v>42.240159048468826</v>
      </c>
      <c r="Q36" s="423"/>
    </row>
    <row r="37" spans="2:20">
      <c r="B37" s="423"/>
      <c r="C37" s="393" t="s">
        <v>36</v>
      </c>
      <c r="D37" s="383">
        <f>+'2025'!D37</f>
        <v>1047.1598041653197</v>
      </c>
      <c r="E37" s="383">
        <f>+'2025'!E37</f>
        <v>1154.5879862956499</v>
      </c>
      <c r="F37" s="383">
        <f>+'2025'!F37</f>
        <v>1577.8313324708724</v>
      </c>
      <c r="G37" s="383">
        <f>+'2025'!G37</f>
        <v>1457.0334114543075</v>
      </c>
      <c r="H37" s="383">
        <f>+'2025'!H37</f>
        <v>1055.6661813856626</v>
      </c>
      <c r="I37" s="383">
        <f>+'2025'!I37</f>
        <v>996.22412829071982</v>
      </c>
      <c r="J37" s="383">
        <f>+'2025'!J37</f>
        <v>1025.0526632925321</v>
      </c>
      <c r="K37" s="383">
        <f>+'2025'!K37</f>
        <v>1035.1523457094154</v>
      </c>
      <c r="L37" s="383">
        <f>+'2025'!L37</f>
        <v>1049.7398051559721</v>
      </c>
      <c r="M37" s="383">
        <f>+'2025'!M37</f>
        <v>1077.2685164371796</v>
      </c>
      <c r="N37" s="383">
        <f>+'2025'!N37</f>
        <v>995.06373653828632</v>
      </c>
      <c r="O37" s="383">
        <f>+'2025'!O37</f>
        <v>0</v>
      </c>
      <c r="P37" s="395">
        <f t="shared" si="9"/>
        <v>12470.779911195918</v>
      </c>
      <c r="Q37" s="423"/>
    </row>
    <row r="38" spans="2:20" hidden="1">
      <c r="B38" s="430"/>
      <c r="C38" s="385" t="s">
        <v>37</v>
      </c>
      <c r="D38" s="386"/>
      <c r="E38" s="386"/>
      <c r="F38" s="386"/>
      <c r="G38" s="386"/>
      <c r="H38" s="386"/>
      <c r="I38" s="386"/>
      <c r="J38" s="386"/>
      <c r="K38" s="386"/>
      <c r="L38" s="386"/>
      <c r="M38" s="386"/>
      <c r="N38" s="386"/>
      <c r="O38" s="386"/>
      <c r="P38" s="387">
        <f t="shared" si="9"/>
        <v>0</v>
      </c>
      <c r="Q38" s="423"/>
    </row>
    <row r="39" spans="2:20" hidden="1">
      <c r="B39" s="431"/>
      <c r="C39" s="385" t="s">
        <v>38</v>
      </c>
      <c r="D39" s="389"/>
      <c r="E39" s="389"/>
      <c r="F39" s="389"/>
      <c r="G39" s="386"/>
      <c r="H39" s="386"/>
      <c r="I39" s="386"/>
      <c r="J39" s="386"/>
      <c r="K39" s="386"/>
      <c r="L39" s="389"/>
      <c r="M39" s="389"/>
      <c r="N39" s="389"/>
      <c r="O39" s="389"/>
      <c r="P39" s="387">
        <f t="shared" si="9"/>
        <v>0</v>
      </c>
      <c r="Q39" s="423"/>
    </row>
    <row r="40" spans="2:20">
      <c r="B40" s="431"/>
      <c r="C40" s="432" t="s">
        <v>39</v>
      </c>
      <c r="D40" s="433">
        <f>+D27+D30-D34-D37</f>
        <v>61436.035142985689</v>
      </c>
      <c r="E40" s="433">
        <f t="shared" ref="E40:P40" si="11">+E27+E30-E34-E37</f>
        <v>78116.078111430033</v>
      </c>
      <c r="F40" s="433">
        <f t="shared" si="11"/>
        <v>116257.48993299324</v>
      </c>
      <c r="G40" s="433">
        <f t="shared" si="11"/>
        <v>105392.72070973805</v>
      </c>
      <c r="H40" s="433">
        <f t="shared" si="11"/>
        <v>68053.009038040371</v>
      </c>
      <c r="I40" s="433">
        <f t="shared" si="11"/>
        <v>66987.10837321596</v>
      </c>
      <c r="J40" s="433">
        <f t="shared" si="11"/>
        <v>68347.046447408007</v>
      </c>
      <c r="K40" s="433">
        <f t="shared" si="11"/>
        <v>70519.834889614562</v>
      </c>
      <c r="L40" s="433">
        <f t="shared" si="11"/>
        <v>71347.7140295383</v>
      </c>
      <c r="M40" s="433">
        <f t="shared" si="11"/>
        <v>71764.019803726987</v>
      </c>
      <c r="N40" s="433">
        <f t="shared" si="11"/>
        <v>69258.268196309873</v>
      </c>
      <c r="O40" s="433">
        <f t="shared" si="11"/>
        <v>0</v>
      </c>
      <c r="P40" s="434">
        <f t="shared" si="11"/>
        <v>847479.32467500097</v>
      </c>
      <c r="Q40" s="423"/>
    </row>
    <row r="41" spans="2:20">
      <c r="B41" s="431"/>
      <c r="C41" s="432" t="s">
        <v>40</v>
      </c>
      <c r="D41" s="433">
        <f>+D42+D45+D54</f>
        <v>61436.035142985696</v>
      </c>
      <c r="E41" s="433">
        <f t="shared" ref="E41:P41" si="12">+E42+E45+E54</f>
        <v>78116.078111430019</v>
      </c>
      <c r="F41" s="433">
        <f t="shared" si="12"/>
        <v>116257.48993299324</v>
      </c>
      <c r="G41" s="433">
        <f t="shared" si="12"/>
        <v>105392.72070973803</v>
      </c>
      <c r="H41" s="433">
        <f t="shared" si="12"/>
        <v>68053.009038040385</v>
      </c>
      <c r="I41" s="433">
        <f t="shared" si="12"/>
        <v>66987.10837321596</v>
      </c>
      <c r="J41" s="433">
        <f t="shared" si="12"/>
        <v>68347.046447408007</v>
      </c>
      <c r="K41" s="433">
        <f t="shared" si="12"/>
        <v>70519.834889614547</v>
      </c>
      <c r="L41" s="433">
        <f t="shared" si="12"/>
        <v>71347.7140295383</v>
      </c>
      <c r="M41" s="433">
        <f t="shared" si="12"/>
        <v>71764.019803726987</v>
      </c>
      <c r="N41" s="433">
        <f t="shared" si="12"/>
        <v>69258.268196309873</v>
      </c>
      <c r="O41" s="433">
        <f t="shared" si="12"/>
        <v>0</v>
      </c>
      <c r="P41" s="434">
        <f t="shared" si="12"/>
        <v>847479.32467500097</v>
      </c>
      <c r="Q41" s="423"/>
      <c r="R41" s="249"/>
    </row>
    <row r="42" spans="2:20">
      <c r="B42" s="423"/>
      <c r="C42" s="393" t="s">
        <v>44</v>
      </c>
      <c r="D42" s="383">
        <f>+D43+D44</f>
        <v>6509.0677829856941</v>
      </c>
      <c r="E42" s="383">
        <f t="shared" ref="E42:P42" si="13">+E43+E44</f>
        <v>22768.830881430025</v>
      </c>
      <c r="F42" s="383">
        <f t="shared" si="13"/>
        <v>59247.886202993235</v>
      </c>
      <c r="G42" s="383">
        <f t="shared" si="13"/>
        <v>52140.475719738039</v>
      </c>
      <c r="H42" s="383">
        <f>+H43+H44</f>
        <v>15581.658548040381</v>
      </c>
      <c r="I42" s="383">
        <f>+I43+I44</f>
        <v>15987.19421321596</v>
      </c>
      <c r="J42" s="383">
        <f>+J43+J44</f>
        <v>15856.041957408001</v>
      </c>
      <c r="K42" s="383">
        <f>+K43+K44</f>
        <v>18663.543929614556</v>
      </c>
      <c r="L42" s="383">
        <f t="shared" si="13"/>
        <v>19265.0047595383</v>
      </c>
      <c r="M42" s="383">
        <f>+M43+M44</f>
        <v>18931.509933726978</v>
      </c>
      <c r="N42" s="383">
        <f t="shared" si="13"/>
        <v>17935.785356309876</v>
      </c>
      <c r="O42" s="383">
        <f t="shared" si="13"/>
        <v>0</v>
      </c>
      <c r="P42" s="384">
        <f t="shared" si="13"/>
        <v>262886.99928500107</v>
      </c>
      <c r="Q42" s="423"/>
      <c r="R42" s="249"/>
      <c r="S42" s="249"/>
      <c r="T42" s="305"/>
    </row>
    <row r="43" spans="2:20">
      <c r="B43" s="430"/>
      <c r="C43" s="385" t="s">
        <v>41</v>
      </c>
      <c r="D43" s="386">
        <f>+'2025'!D43</f>
        <v>6509.0677829856941</v>
      </c>
      <c r="E43" s="386">
        <f>+'2025'!E43</f>
        <v>22768.830881430025</v>
      </c>
      <c r="F43" s="386">
        <f>+'2025'!F43</f>
        <v>59247.886202993235</v>
      </c>
      <c r="G43" s="386">
        <f>+'2025'!G43</f>
        <v>52140.475719738039</v>
      </c>
      <c r="H43" s="386">
        <f>+'2025'!H43</f>
        <v>15581.658548040381</v>
      </c>
      <c r="I43" s="386">
        <f>+'2025'!I43</f>
        <v>15987.19421321596</v>
      </c>
      <c r="J43" s="386">
        <f>+'2025'!J43</f>
        <v>15856.041957408001</v>
      </c>
      <c r="K43" s="386">
        <f>+'2025'!K43</f>
        <v>18663.543929614556</v>
      </c>
      <c r="L43" s="386">
        <f>+'2025'!L43</f>
        <v>19265.0047595383</v>
      </c>
      <c r="M43" s="386">
        <f>+'2025'!M43</f>
        <v>18931.509933726978</v>
      </c>
      <c r="N43" s="386">
        <f>+'2025'!N43</f>
        <v>17935.785356309876</v>
      </c>
      <c r="O43" s="386"/>
      <c r="P43" s="387">
        <f>+SUM(D43:O43)</f>
        <v>262886.99928500107</v>
      </c>
      <c r="Q43" s="423"/>
      <c r="R43" s="249"/>
      <c r="S43" s="278"/>
      <c r="T43" s="305"/>
    </row>
    <row r="44" spans="2:20" hidden="1">
      <c r="B44" s="423"/>
      <c r="C44" s="385" t="s">
        <v>45</v>
      </c>
      <c r="D44" s="386">
        <v>0</v>
      </c>
      <c r="E44" s="386">
        <v>0</v>
      </c>
      <c r="F44" s="386">
        <v>0</v>
      </c>
      <c r="G44" s="386">
        <v>0</v>
      </c>
      <c r="H44" s="386">
        <v>0</v>
      </c>
      <c r="I44" s="386">
        <v>0</v>
      </c>
      <c r="J44" s="386">
        <v>0</v>
      </c>
      <c r="K44" s="386">
        <v>0</v>
      </c>
      <c r="L44" s="386">
        <v>0</v>
      </c>
      <c r="M44" s="386">
        <v>0</v>
      </c>
      <c r="N44" s="386">
        <v>0</v>
      </c>
      <c r="O44" s="386">
        <v>0</v>
      </c>
      <c r="P44" s="387">
        <v>0</v>
      </c>
      <c r="Q44" s="423"/>
      <c r="R44" s="249"/>
      <c r="S44" s="278"/>
      <c r="T44" s="305"/>
    </row>
    <row r="45" spans="2:20">
      <c r="B45" s="423"/>
      <c r="C45" s="393" t="s">
        <v>174</v>
      </c>
      <c r="D45" s="394">
        <f>+SUM(D46:D53)</f>
        <v>48886.061110000002</v>
      </c>
      <c r="E45" s="394">
        <f t="shared" ref="E45:P45" si="14">+SUM(E46:E53)</f>
        <v>46791.178819999994</v>
      </c>
      <c r="F45" s="394">
        <f t="shared" si="14"/>
        <v>51070.500180000003</v>
      </c>
      <c r="G45" s="394">
        <f t="shared" si="14"/>
        <v>47908.612740000004</v>
      </c>
      <c r="H45" s="394">
        <f t="shared" si="14"/>
        <v>46694.411870000004</v>
      </c>
      <c r="I45" s="394">
        <f t="shared" si="14"/>
        <v>45704.833149999999</v>
      </c>
      <c r="J45" s="394">
        <f t="shared" si="14"/>
        <v>47220.275300000001</v>
      </c>
      <c r="K45" s="394">
        <f t="shared" si="14"/>
        <v>46554.337019999999</v>
      </c>
      <c r="L45" s="394">
        <f t="shared" si="14"/>
        <v>46308.82123999999</v>
      </c>
      <c r="M45" s="394">
        <f t="shared" si="14"/>
        <v>47117.009980000003</v>
      </c>
      <c r="N45" s="394">
        <f t="shared" si="14"/>
        <v>45860.433539999998</v>
      </c>
      <c r="O45" s="394">
        <f t="shared" si="14"/>
        <v>0</v>
      </c>
      <c r="P45" s="395">
        <f t="shared" si="14"/>
        <v>520116.47495</v>
      </c>
      <c r="Q45" s="423"/>
      <c r="R45" s="249"/>
      <c r="S45" s="327">
        <f>+(P45+P54)/P41</f>
        <v>0.68980128289759135</v>
      </c>
      <c r="T45" s="305"/>
    </row>
    <row r="46" spans="2:20">
      <c r="B46" s="423"/>
      <c r="C46" s="397" t="s">
        <v>141</v>
      </c>
      <c r="D46" s="386">
        <f>+'2025'!D47</f>
        <v>7365.1667500000021</v>
      </c>
      <c r="E46" s="386">
        <f>+'2025'!E47</f>
        <v>7018.3674900000015</v>
      </c>
      <c r="F46" s="386">
        <f>+'2025'!F47</f>
        <v>7688.3515699999998</v>
      </c>
      <c r="G46" s="386">
        <f>+'2025'!G47</f>
        <v>7128.4224600000007</v>
      </c>
      <c r="H46" s="386">
        <f>+'2025'!H47</f>
        <v>6931.3061600000001</v>
      </c>
      <c r="I46" s="386">
        <f>+'2025'!I47</f>
        <v>6757.0020999999997</v>
      </c>
      <c r="J46" s="386">
        <f>+'2025'!J47</f>
        <v>6928.1396000000013</v>
      </c>
      <c r="K46" s="386">
        <f>+'2025'!K47</f>
        <v>6835.6618400000007</v>
      </c>
      <c r="L46" s="386">
        <f>+'2025'!L47</f>
        <v>6754.2373800000005</v>
      </c>
      <c r="M46" s="386">
        <f>+'2025'!M47</f>
        <v>7059.2576499999996</v>
      </c>
      <c r="N46" s="386">
        <f>+'2025'!N47</f>
        <v>6827.8354300000001</v>
      </c>
      <c r="O46" s="386">
        <f>+'2025'!O47</f>
        <v>0</v>
      </c>
      <c r="P46" s="387">
        <f>+SUM(D46:O46)</f>
        <v>77293.748430000007</v>
      </c>
      <c r="Q46" s="423"/>
      <c r="R46" s="249"/>
      <c r="S46" s="278"/>
      <c r="T46" s="305"/>
    </row>
    <row r="47" spans="2:20">
      <c r="B47" s="423"/>
      <c r="C47" s="398" t="s">
        <v>48</v>
      </c>
      <c r="D47" s="386">
        <f>+'2025'!D48</f>
        <v>17676.402279999998</v>
      </c>
      <c r="E47" s="386">
        <f>+'2025'!E48</f>
        <v>16997.900180000001</v>
      </c>
      <c r="F47" s="386">
        <f>+'2025'!F48</f>
        <v>18619.74739</v>
      </c>
      <c r="G47" s="386">
        <f>+'2025'!G48</f>
        <v>17042.902190000001</v>
      </c>
      <c r="H47" s="386">
        <f>+'2025'!H48</f>
        <v>16839.271290000001</v>
      </c>
      <c r="I47" s="386">
        <f>+'2025'!I48</f>
        <v>16216.58252</v>
      </c>
      <c r="J47" s="386">
        <f>+'2025'!J48</f>
        <v>16527.4486</v>
      </c>
      <c r="K47" s="386">
        <f>+'2025'!K48</f>
        <v>16542.91732</v>
      </c>
      <c r="L47" s="386">
        <f>+'2025'!L48</f>
        <v>16314.942719999999</v>
      </c>
      <c r="M47" s="386">
        <f>+'2025'!M48</f>
        <v>16891.706280000002</v>
      </c>
      <c r="N47" s="386">
        <f>+'2025'!N48</f>
        <v>16520.058840000002</v>
      </c>
      <c r="O47" s="386">
        <f>+'2025'!O48</f>
        <v>0</v>
      </c>
      <c r="P47" s="387">
        <f t="shared" ref="P47:P65" si="15">+SUM(D47:O47)</f>
        <v>186189.87961000003</v>
      </c>
      <c r="Q47" s="423"/>
      <c r="R47" s="249"/>
      <c r="S47" s="278"/>
      <c r="T47" s="305"/>
    </row>
    <row r="48" spans="2:20">
      <c r="B48" s="423"/>
      <c r="C48" s="398" t="s">
        <v>50</v>
      </c>
      <c r="D48" s="386">
        <f>+'2025'!D49</f>
        <v>571.43657999999994</v>
      </c>
      <c r="E48" s="386">
        <f>+'2025'!E49</f>
        <v>537.69816000000003</v>
      </c>
      <c r="F48" s="386">
        <f>+'2025'!F49</f>
        <v>577.5942</v>
      </c>
      <c r="G48" s="386">
        <f>+'2025'!G49</f>
        <v>537.63725999999997</v>
      </c>
      <c r="H48" s="386">
        <f>+'2025'!H49</f>
        <v>538.04948000000002</v>
      </c>
      <c r="I48" s="386">
        <f>+'2025'!I49</f>
        <v>506.73082000000005</v>
      </c>
      <c r="J48" s="386">
        <f>+'2025'!J49</f>
        <v>519.79071999999996</v>
      </c>
      <c r="K48" s="386">
        <f>+'2025'!K49</f>
        <v>520.69096000000002</v>
      </c>
      <c r="L48" s="386">
        <f>+'2025'!L49</f>
        <v>520.46896000000004</v>
      </c>
      <c r="M48" s="386">
        <f>+'2025'!M49</f>
        <v>548.49203999999997</v>
      </c>
      <c r="N48" s="386">
        <f>+'2025'!N49</f>
        <v>534.72397999999998</v>
      </c>
      <c r="O48" s="386">
        <f>+'2025'!O49</f>
        <v>0</v>
      </c>
      <c r="P48" s="387">
        <f t="shared" si="15"/>
        <v>5913.3131600000006</v>
      </c>
      <c r="Q48" s="429"/>
      <c r="R48" s="249"/>
      <c r="S48" s="278"/>
      <c r="T48" s="305"/>
    </row>
    <row r="49" spans="2:20">
      <c r="B49" s="423"/>
      <c r="C49" s="398" t="s">
        <v>51</v>
      </c>
      <c r="D49" s="386">
        <f>+'2025'!D50</f>
        <v>530.77382</v>
      </c>
      <c r="E49" s="386">
        <f>+'2025'!E50</f>
        <v>505.10965999999996</v>
      </c>
      <c r="F49" s="386">
        <f>+'2025'!F50</f>
        <v>589.41984000000014</v>
      </c>
      <c r="G49" s="386">
        <f>+'2025'!G50</f>
        <v>541.21627999999998</v>
      </c>
      <c r="H49" s="386">
        <f>+'2025'!H50</f>
        <v>614.12513999999976</v>
      </c>
      <c r="I49" s="386">
        <f>+'2025'!I50</f>
        <v>604.04539999999986</v>
      </c>
      <c r="J49" s="386">
        <f>+'2025'!J50</f>
        <v>645.61243999999999</v>
      </c>
      <c r="K49" s="386">
        <f>+'2025'!K50</f>
        <v>634.15031999999997</v>
      </c>
      <c r="L49" s="386">
        <f>+'2025'!L50</f>
        <v>613.4747000000001</v>
      </c>
      <c r="M49" s="386">
        <f>+'2025'!M50</f>
        <v>635.53039999999999</v>
      </c>
      <c r="N49" s="386">
        <f>+'2025'!N50</f>
        <v>656.82587999999998</v>
      </c>
      <c r="O49" s="386">
        <f>+'2025'!O50</f>
        <v>0</v>
      </c>
      <c r="P49" s="387">
        <f t="shared" si="15"/>
        <v>6570.283879999999</v>
      </c>
      <c r="Q49" s="429"/>
      <c r="R49" s="249"/>
      <c r="S49" s="278"/>
      <c r="T49" s="305"/>
    </row>
    <row r="50" spans="2:20">
      <c r="B50" s="423"/>
      <c r="C50" s="398" t="s">
        <v>52</v>
      </c>
      <c r="D50" s="386">
        <f>+'2025'!D51</f>
        <v>379.65100000000001</v>
      </c>
      <c r="E50" s="386">
        <f>+'2025'!E51</f>
        <v>364.8929</v>
      </c>
      <c r="F50" s="386">
        <f>+'2025'!F51</f>
        <v>374.64787999999999</v>
      </c>
      <c r="G50" s="386">
        <f>+'2025'!G51</f>
        <v>395.30433999999997</v>
      </c>
      <c r="H50" s="386">
        <f>+'2025'!H51</f>
        <v>414.07952</v>
      </c>
      <c r="I50" s="386">
        <f>+'2025'!I51</f>
        <v>398.79703999999998</v>
      </c>
      <c r="J50" s="386">
        <f>+'2025'!J51</f>
        <v>428.74503999999996</v>
      </c>
      <c r="K50" s="386">
        <f>+'2025'!K51</f>
        <v>404.31956000000002</v>
      </c>
      <c r="L50" s="386">
        <f>+'2025'!L51</f>
        <v>417.81036000000006</v>
      </c>
      <c r="M50" s="386">
        <f>+'2025'!M51</f>
        <v>391.92528000000004</v>
      </c>
      <c r="N50" s="386">
        <f>+'2025'!N51</f>
        <v>367.00918000000007</v>
      </c>
      <c r="O50" s="386">
        <f>+'2025'!O51</f>
        <v>0</v>
      </c>
      <c r="P50" s="387">
        <f t="shared" si="15"/>
        <v>4337.1821</v>
      </c>
      <c r="Q50" s="429"/>
      <c r="R50" s="249"/>
      <c r="S50" s="278"/>
      <c r="T50" s="305"/>
    </row>
    <row r="51" spans="2:20">
      <c r="B51" s="423"/>
      <c r="C51" s="398" t="s">
        <v>90</v>
      </c>
      <c r="D51" s="386">
        <f>+'2025'!D52</f>
        <v>669.15801999999996</v>
      </c>
      <c r="E51" s="386">
        <f>+'2025'!E52</f>
        <v>612.17848000000004</v>
      </c>
      <c r="F51" s="386">
        <f>+'2025'!F52</f>
        <v>689.89776000000018</v>
      </c>
      <c r="G51" s="386">
        <f>+'2025'!G52</f>
        <v>657.6853000000001</v>
      </c>
      <c r="H51" s="386">
        <f>+'2025'!H52</f>
        <v>682.15207999999996</v>
      </c>
      <c r="I51" s="386">
        <f>+'2025'!I52</f>
        <v>661.56467999999995</v>
      </c>
      <c r="J51" s="386">
        <f>+'2025'!J52</f>
        <v>674.5886999999999</v>
      </c>
      <c r="K51" s="386">
        <f>+'2025'!K52</f>
        <v>690.40893999999992</v>
      </c>
      <c r="L51" s="386">
        <f>+'2025'!L52</f>
        <v>688.55143999999996</v>
      </c>
      <c r="M51" s="386">
        <f>+'2025'!M52</f>
        <v>722.23327999999992</v>
      </c>
      <c r="N51" s="386">
        <f>+'2025'!N52</f>
        <v>700.6741199999999</v>
      </c>
      <c r="O51" s="386">
        <f>+'2025'!O52</f>
        <v>0</v>
      </c>
      <c r="P51" s="387">
        <f t="shared" si="15"/>
        <v>7449.0928000000004</v>
      </c>
      <c r="Q51" s="429"/>
      <c r="R51" s="249"/>
      <c r="S51" s="278"/>
      <c r="T51" s="305"/>
    </row>
    <row r="52" spans="2:20">
      <c r="B52" s="423"/>
      <c r="C52" s="397" t="s">
        <v>141</v>
      </c>
      <c r="D52" s="386">
        <f>+'2025'!D54</f>
        <v>14508.992340000001</v>
      </c>
      <c r="E52" s="386">
        <f>+'2025'!E54</f>
        <v>14046.636990000001</v>
      </c>
      <c r="F52" s="386">
        <f>+'2025'!F54</f>
        <v>15292.67252</v>
      </c>
      <c r="G52" s="386">
        <f>+'2025'!G54</f>
        <v>14185.386820000002</v>
      </c>
      <c r="H52" s="386">
        <f>+'2025'!H54</f>
        <v>13293.305169999998</v>
      </c>
      <c r="I52" s="386">
        <f>+'2025'!I54</f>
        <v>12950.986029999998</v>
      </c>
      <c r="J52" s="386">
        <f>+'2025'!J54</f>
        <v>13342.372069999998</v>
      </c>
      <c r="K52" s="386">
        <f>+'2025'!K54</f>
        <v>13122.064849999999</v>
      </c>
      <c r="L52" s="386">
        <f>+'2025'!L54</f>
        <v>12984.588599999999</v>
      </c>
      <c r="M52" s="386">
        <f>+'2025'!M54</f>
        <v>13522.35794</v>
      </c>
      <c r="N52" s="386">
        <f>+'2025'!N54</f>
        <v>13376.179179999999</v>
      </c>
      <c r="O52" s="386">
        <f>+'2025'!O54</f>
        <v>0</v>
      </c>
      <c r="P52" s="387">
        <f t="shared" si="15"/>
        <v>150625.54251</v>
      </c>
      <c r="Q52" s="429"/>
      <c r="R52" s="249"/>
      <c r="S52" s="278"/>
      <c r="T52" s="305"/>
    </row>
    <row r="53" spans="2:20">
      <c r="B53" s="423"/>
      <c r="C53" s="397" t="s">
        <v>134</v>
      </c>
      <c r="D53" s="386">
        <f>+'2025'!D55</f>
        <v>7184.4803200000006</v>
      </c>
      <c r="E53" s="386">
        <f>+'2025'!E55</f>
        <v>6708.3949599999996</v>
      </c>
      <c r="F53" s="386">
        <f>+'2025'!F55</f>
        <v>7238.1690199999994</v>
      </c>
      <c r="G53" s="386">
        <f>+'2025'!G55</f>
        <v>7420.0580900000014</v>
      </c>
      <c r="H53" s="386">
        <f>+'2025'!H55</f>
        <v>7382.1230299999997</v>
      </c>
      <c r="I53" s="386">
        <f>+'2025'!I55</f>
        <v>7609.1245599999993</v>
      </c>
      <c r="J53" s="386">
        <f>+'2025'!J55</f>
        <v>8153.5781300000008</v>
      </c>
      <c r="K53" s="386">
        <f>+'2025'!K55</f>
        <v>7804.1232300000001</v>
      </c>
      <c r="L53" s="386">
        <f>+'2025'!L55</f>
        <v>8014.7470800000001</v>
      </c>
      <c r="M53" s="386">
        <f>+'2025'!M55</f>
        <v>7345.5071099999996</v>
      </c>
      <c r="N53" s="386">
        <f>+'2025'!N55</f>
        <v>6877.1269299999994</v>
      </c>
      <c r="O53" s="386">
        <f>+'2025'!O55</f>
        <v>0</v>
      </c>
      <c r="P53" s="387">
        <f t="shared" si="15"/>
        <v>81737.432459999996</v>
      </c>
      <c r="Q53" s="429"/>
      <c r="R53" s="249"/>
      <c r="S53" s="278"/>
      <c r="T53" s="305"/>
    </row>
    <row r="54" spans="2:20">
      <c r="B54" s="423"/>
      <c r="C54" s="393" t="s">
        <v>173</v>
      </c>
      <c r="D54" s="394">
        <f>+SUM(D55:D66)</f>
        <v>6040.90625</v>
      </c>
      <c r="E54" s="394">
        <f t="shared" ref="E54:P54" si="16">+SUM(E55:E66)</f>
        <v>8556.0684100000035</v>
      </c>
      <c r="F54" s="394">
        <f t="shared" si="16"/>
        <v>5939.1035499999998</v>
      </c>
      <c r="G54" s="394">
        <f t="shared" si="16"/>
        <v>5343.6322500000006</v>
      </c>
      <c r="H54" s="394">
        <f t="shared" si="16"/>
        <v>5776.9386199999999</v>
      </c>
      <c r="I54" s="394">
        <f t="shared" si="16"/>
        <v>5295.0810100000008</v>
      </c>
      <c r="J54" s="394">
        <f t="shared" si="16"/>
        <v>5270.72919</v>
      </c>
      <c r="K54" s="394">
        <f t="shared" si="16"/>
        <v>5301.9539399999994</v>
      </c>
      <c r="L54" s="394">
        <f t="shared" si="16"/>
        <v>5773.8880300000001</v>
      </c>
      <c r="M54" s="394">
        <f t="shared" si="16"/>
        <v>5715.499890000001</v>
      </c>
      <c r="N54" s="394">
        <f t="shared" si="16"/>
        <v>5462.0493000000006</v>
      </c>
      <c r="O54" s="394">
        <f t="shared" si="16"/>
        <v>0</v>
      </c>
      <c r="P54" s="395">
        <f t="shared" si="16"/>
        <v>64475.850440000009</v>
      </c>
      <c r="Q54" s="429"/>
      <c r="R54" s="249"/>
      <c r="S54" s="278"/>
      <c r="T54" s="305"/>
    </row>
    <row r="55" spans="2:20">
      <c r="B55" s="423"/>
      <c r="C55" s="398" t="s">
        <v>116</v>
      </c>
      <c r="D55" s="386">
        <f>+'2025'!D57</f>
        <v>841.29300999999998</v>
      </c>
      <c r="E55" s="386">
        <f>+'2025'!E57</f>
        <v>912.10712999999998</v>
      </c>
      <c r="F55" s="386">
        <f>+'2025'!F57</f>
        <v>1001.5081499999999</v>
      </c>
      <c r="G55" s="386">
        <f>+'2025'!G57</f>
        <v>742.68247999999994</v>
      </c>
      <c r="H55" s="386">
        <f>+'2025'!H57</f>
        <v>831.88967999999988</v>
      </c>
      <c r="I55" s="386">
        <f>+'2025'!I57</f>
        <v>814.08248000000003</v>
      </c>
      <c r="J55" s="386">
        <f>+'2025'!J57</f>
        <v>838.89695999999992</v>
      </c>
      <c r="K55" s="386">
        <f>+'2025'!K57</f>
        <v>920.09044000000006</v>
      </c>
      <c r="L55" s="386">
        <f>+'2025'!L57</f>
        <v>866.10011999999983</v>
      </c>
      <c r="M55" s="386">
        <f>+'2025'!M57</f>
        <v>862.26913000000002</v>
      </c>
      <c r="N55" s="386">
        <f>+'2025'!N57</f>
        <v>858.60283000000004</v>
      </c>
      <c r="O55" s="386">
        <f>+'2025'!O57</f>
        <v>0</v>
      </c>
      <c r="P55" s="387">
        <f t="shared" si="15"/>
        <v>9489.5224099999996</v>
      </c>
      <c r="Q55" s="435"/>
      <c r="R55" s="249"/>
      <c r="S55" s="278"/>
    </row>
    <row r="56" spans="2:20">
      <c r="B56" s="423"/>
      <c r="C56" s="397" t="s">
        <v>117</v>
      </c>
      <c r="D56" s="386">
        <f>+'2025'!D58</f>
        <v>1246.6288599999998</v>
      </c>
      <c r="E56" s="386">
        <f>+'2025'!E58</f>
        <v>1174.3625900000002</v>
      </c>
      <c r="F56" s="386">
        <f>+'2025'!F58</f>
        <v>1311.9070599999998</v>
      </c>
      <c r="G56" s="386">
        <f>+'2025'!G58</f>
        <v>1272.2868600000002</v>
      </c>
      <c r="H56" s="386">
        <f>+'2025'!H58</f>
        <v>1447.5801200000001</v>
      </c>
      <c r="I56" s="386">
        <f>+'2025'!I58</f>
        <v>1318.1143100000002</v>
      </c>
      <c r="J56" s="386">
        <f>+'2025'!J58</f>
        <v>1191.2968099999998</v>
      </c>
      <c r="K56" s="386">
        <f>+'2025'!K58</f>
        <v>1189.5787700000001</v>
      </c>
      <c r="L56" s="386">
        <f>+'2025'!L58</f>
        <v>1297.5853200000001</v>
      </c>
      <c r="M56" s="386">
        <f>+'2025'!M58</f>
        <v>1230.7398500000002</v>
      </c>
      <c r="N56" s="386">
        <f>+'2025'!N58</f>
        <v>1294.6774799999998</v>
      </c>
      <c r="O56" s="386">
        <f>+'2025'!O58</f>
        <v>0</v>
      </c>
      <c r="P56" s="387">
        <f t="shared" si="15"/>
        <v>13974.758029999999</v>
      </c>
      <c r="Q56" s="435"/>
      <c r="R56" s="249"/>
      <c r="S56" s="278"/>
    </row>
    <row r="57" spans="2:20">
      <c r="B57" s="423"/>
      <c r="C57" s="397" t="s">
        <v>118</v>
      </c>
      <c r="D57" s="386">
        <f>+'2025'!D59</f>
        <v>276.11928999999998</v>
      </c>
      <c r="E57" s="386">
        <f>+'2025'!E59</f>
        <v>281.12243000000001</v>
      </c>
      <c r="F57" s="386">
        <f>+'2025'!F59</f>
        <v>326.4255</v>
      </c>
      <c r="G57" s="386">
        <f>+'2025'!G59</f>
        <v>321.65985000000006</v>
      </c>
      <c r="H57" s="386">
        <f>+'2025'!H59</f>
        <v>323.42172999999997</v>
      </c>
      <c r="I57" s="386">
        <f>+'2025'!I59</f>
        <v>336.85079000000002</v>
      </c>
      <c r="J57" s="386">
        <f>+'2025'!J59</f>
        <v>341.86887000000002</v>
      </c>
      <c r="K57" s="386">
        <f>+'2025'!K59</f>
        <v>322.87925999999999</v>
      </c>
      <c r="L57" s="386">
        <f>+'2025'!L59</f>
        <v>316.74678</v>
      </c>
      <c r="M57" s="386">
        <f>+'2025'!M59</f>
        <v>304.75796000000003</v>
      </c>
      <c r="N57" s="386">
        <f>+'2025'!N59</f>
        <v>263.10406999999998</v>
      </c>
      <c r="O57" s="386">
        <f>+'2025'!O59</f>
        <v>0</v>
      </c>
      <c r="P57" s="387">
        <f t="shared" si="15"/>
        <v>3414.9565299999999</v>
      </c>
      <c r="Q57" s="429"/>
      <c r="R57" s="249"/>
      <c r="S57" s="278"/>
    </row>
    <row r="58" spans="2:20">
      <c r="B58" s="423"/>
      <c r="C58" s="397" t="s">
        <v>119</v>
      </c>
      <c r="D58" s="386">
        <f>+'2025'!D60</f>
        <v>205.27674999999999</v>
      </c>
      <c r="E58" s="386">
        <f>+'2025'!E60</f>
        <v>171.36226000000002</v>
      </c>
      <c r="F58" s="386">
        <f>+'2025'!F60</f>
        <v>196.65259</v>
      </c>
      <c r="G58" s="386">
        <f>+'2025'!G60</f>
        <v>172.81202999999999</v>
      </c>
      <c r="H58" s="386">
        <f>+'2025'!H60</f>
        <v>187.95459999999997</v>
      </c>
      <c r="I58" s="386">
        <f>+'2025'!I60</f>
        <v>178.18703000000002</v>
      </c>
      <c r="J58" s="386">
        <f>+'2025'!J60</f>
        <v>178.17282999999998</v>
      </c>
      <c r="K58" s="386">
        <f>+'2025'!K60</f>
        <v>177.17060999999998</v>
      </c>
      <c r="L58" s="386">
        <f>+'2025'!L60</f>
        <v>196.53045</v>
      </c>
      <c r="M58" s="386">
        <f>+'2025'!M60</f>
        <v>217.54597000000001</v>
      </c>
      <c r="N58" s="386">
        <f>+'2025'!N60</f>
        <v>203.29345000000001</v>
      </c>
      <c r="O58" s="386">
        <f>+'2025'!O60</f>
        <v>0</v>
      </c>
      <c r="P58" s="387">
        <f t="shared" si="15"/>
        <v>2084.9585700000002</v>
      </c>
      <c r="Q58" s="429"/>
      <c r="R58" s="249"/>
      <c r="S58" s="278"/>
    </row>
    <row r="59" spans="2:20">
      <c r="B59" s="423"/>
      <c r="C59" s="397" t="s">
        <v>120</v>
      </c>
      <c r="D59" s="386">
        <f>+'2025'!D61</f>
        <v>420.55117000000007</v>
      </c>
      <c r="E59" s="386">
        <f>+'2025'!E61</f>
        <v>251.51130000000001</v>
      </c>
      <c r="F59" s="386">
        <f>+'2025'!F61</f>
        <v>367.01936999999998</v>
      </c>
      <c r="G59" s="386">
        <f>+'2025'!G61</f>
        <v>258.99106999999998</v>
      </c>
      <c r="H59" s="386">
        <f>+'2025'!H61</f>
        <v>229.83891</v>
      </c>
      <c r="I59" s="386">
        <f>+'2025'!I61</f>
        <v>255.57227</v>
      </c>
      <c r="J59" s="386">
        <f>+'2025'!J61</f>
        <v>319.89686</v>
      </c>
      <c r="K59" s="386">
        <f>+'2025'!K61</f>
        <v>396.42832999999996</v>
      </c>
      <c r="L59" s="386">
        <f>+'2025'!L61</f>
        <v>408.81711000000001</v>
      </c>
      <c r="M59" s="386">
        <f>+'2025'!M61</f>
        <v>398.40842000000004</v>
      </c>
      <c r="N59" s="386">
        <f>+'2025'!N61</f>
        <v>589.60901000000001</v>
      </c>
      <c r="O59" s="386">
        <f>+'2025'!O61</f>
        <v>0</v>
      </c>
      <c r="P59" s="387">
        <f t="shared" si="15"/>
        <v>3896.6438199999998</v>
      </c>
      <c r="Q59" s="429"/>
      <c r="R59" s="249"/>
      <c r="S59" s="278"/>
    </row>
    <row r="60" spans="2:20">
      <c r="B60" s="423"/>
      <c r="C60" s="397" t="s">
        <v>121</v>
      </c>
      <c r="D60" s="386">
        <f>+'2025'!D62</f>
        <v>148.95851000000002</v>
      </c>
      <c r="E60" s="386">
        <f>+'2025'!E62</f>
        <v>142.03849</v>
      </c>
      <c r="F60" s="386">
        <f>+'2025'!F62</f>
        <v>152.89709999999999</v>
      </c>
      <c r="G60" s="386">
        <f>+'2025'!G62</f>
        <v>139.96199999999999</v>
      </c>
      <c r="H60" s="386">
        <f>+'2025'!H62</f>
        <v>137.15174999999999</v>
      </c>
      <c r="I60" s="386">
        <f>+'2025'!I62</f>
        <v>128.78387000000001</v>
      </c>
      <c r="J60" s="386">
        <f>+'2025'!J62</f>
        <v>132.13858999999999</v>
      </c>
      <c r="K60" s="386">
        <f>+'2025'!K62</f>
        <v>131.61921000000001</v>
      </c>
      <c r="L60" s="386">
        <f>+'2025'!L62</f>
        <v>128.62386000000001</v>
      </c>
      <c r="M60" s="386">
        <f>+'2025'!M62</f>
        <v>136.45863</v>
      </c>
      <c r="N60" s="386">
        <f>+'2025'!N62</f>
        <v>137.56044</v>
      </c>
      <c r="O60" s="386">
        <f>+'2025'!O62</f>
        <v>0</v>
      </c>
      <c r="P60" s="387">
        <f t="shared" si="15"/>
        <v>1516.19245</v>
      </c>
      <c r="Q60" s="429"/>
      <c r="R60" s="249"/>
      <c r="S60" s="278"/>
    </row>
    <row r="61" spans="2:20">
      <c r="B61" s="423"/>
      <c r="C61" s="397" t="s">
        <v>122</v>
      </c>
      <c r="D61" s="386">
        <f>+'2025'!D63</f>
        <v>57.86056</v>
      </c>
      <c r="E61" s="386">
        <f>+'2025'!E63</f>
        <v>45.358979999999995</v>
      </c>
      <c r="F61" s="386">
        <f>+'2025'!F63</f>
        <v>69.292919999999995</v>
      </c>
      <c r="G61" s="386">
        <f>+'2025'!G63</f>
        <v>69.310269999999988</v>
      </c>
      <c r="H61" s="386">
        <f>+'2025'!H63</f>
        <v>71.388490000000004</v>
      </c>
      <c r="I61" s="386">
        <f>+'2025'!I63</f>
        <v>69.977100000000007</v>
      </c>
      <c r="J61" s="386">
        <f>+'2025'!J63</f>
        <v>53.362350000000006</v>
      </c>
      <c r="K61" s="386">
        <f>+'2025'!K63</f>
        <v>59.543479999999995</v>
      </c>
      <c r="L61" s="386">
        <f>+'2025'!L63</f>
        <v>70.672800000000009</v>
      </c>
      <c r="M61" s="386">
        <f>+'2025'!M63</f>
        <v>70.848079999999996</v>
      </c>
      <c r="N61" s="386">
        <f>+'2025'!N63</f>
        <v>69.19417</v>
      </c>
      <c r="O61" s="386">
        <f>+'2025'!O63</f>
        <v>0</v>
      </c>
      <c r="P61" s="387">
        <f t="shared" si="15"/>
        <v>706.80919999999992</v>
      </c>
      <c r="Q61" s="429"/>
      <c r="R61" s="249"/>
      <c r="S61" s="278"/>
    </row>
    <row r="62" spans="2:20">
      <c r="B62" s="423"/>
      <c r="C62" s="397" t="s">
        <v>123</v>
      </c>
      <c r="D62" s="386">
        <f>+'2025'!D64</f>
        <v>0</v>
      </c>
      <c r="E62" s="386">
        <f>+'2025'!E64</f>
        <v>0</v>
      </c>
      <c r="F62" s="386">
        <f>+'2025'!F64</f>
        <v>0</v>
      </c>
      <c r="G62" s="386">
        <f>+'2025'!G64</f>
        <v>0</v>
      </c>
      <c r="H62" s="386">
        <f>+'2025'!H64</f>
        <v>0</v>
      </c>
      <c r="I62" s="386">
        <f>+'2025'!I64</f>
        <v>0</v>
      </c>
      <c r="J62" s="386">
        <f>+'2025'!J64</f>
        <v>0</v>
      </c>
      <c r="K62" s="386">
        <f>+'2025'!K64</f>
        <v>0</v>
      </c>
      <c r="L62" s="386">
        <f>+'2025'!L64</f>
        <v>0</v>
      </c>
      <c r="M62" s="386">
        <f>+'2025'!M64</f>
        <v>0</v>
      </c>
      <c r="N62" s="386">
        <f>+'2025'!N64</f>
        <v>0</v>
      </c>
      <c r="O62" s="386">
        <f>+'2025'!O64</f>
        <v>0</v>
      </c>
      <c r="P62" s="387">
        <f t="shared" si="15"/>
        <v>0</v>
      </c>
      <c r="Q62" s="429"/>
      <c r="R62" s="249"/>
      <c r="S62" s="278"/>
    </row>
    <row r="63" spans="2:20">
      <c r="B63" s="423"/>
      <c r="C63" s="397" t="s">
        <v>139</v>
      </c>
      <c r="D63" s="386">
        <f>+'2025'!D65</f>
        <v>869.73280999999997</v>
      </c>
      <c r="E63" s="386">
        <f>+'2025'!E65</f>
        <v>816.46986000000004</v>
      </c>
      <c r="F63" s="386">
        <f>+'2025'!F65</f>
        <v>876.46123</v>
      </c>
      <c r="G63" s="386">
        <f>+'2025'!G65</f>
        <v>896.24433999999997</v>
      </c>
      <c r="H63" s="386">
        <f>+'2025'!H65</f>
        <v>931.36354999999992</v>
      </c>
      <c r="I63" s="386">
        <f>+'2025'!I65</f>
        <v>877.23443999999995</v>
      </c>
      <c r="J63" s="386">
        <f>+'2025'!J65</f>
        <v>847.72549000000004</v>
      </c>
      <c r="K63" s="386">
        <f>+'2025'!K65</f>
        <v>840.69533999999999</v>
      </c>
      <c r="L63" s="386">
        <f>+'2025'!L65</f>
        <v>871.92789000000005</v>
      </c>
      <c r="M63" s="386">
        <f>+'2025'!M65</f>
        <v>809.13483999999994</v>
      </c>
      <c r="N63" s="386">
        <f>+'2025'!N65</f>
        <v>737.80849999999998</v>
      </c>
      <c r="O63" s="386">
        <f>+'2025'!O65</f>
        <v>0</v>
      </c>
      <c r="P63" s="387">
        <f t="shared" si="15"/>
        <v>9374.7982899999988</v>
      </c>
      <c r="Q63" s="429"/>
      <c r="R63" s="249"/>
      <c r="S63" s="278"/>
    </row>
    <row r="64" spans="2:20">
      <c r="B64" s="423"/>
      <c r="C64" s="397" t="s">
        <v>93</v>
      </c>
      <c r="D64" s="386">
        <f>+'2025'!D67</f>
        <v>1349.4852900000001</v>
      </c>
      <c r="E64" s="386">
        <f>+'2025'!E67</f>
        <v>1401.7353700000001</v>
      </c>
      <c r="F64" s="386">
        <f>+'2025'!F67</f>
        <v>1636.9396299999999</v>
      </c>
      <c r="G64" s="386">
        <f>+'2025'!G67</f>
        <v>1469.68335</v>
      </c>
      <c r="H64" s="386">
        <f>+'2025'!H67</f>
        <v>1616.34979</v>
      </c>
      <c r="I64" s="386">
        <f>+'2025'!I67</f>
        <v>1316.2787200000002</v>
      </c>
      <c r="J64" s="386">
        <f>+'2025'!J67</f>
        <v>1367.3704300000002</v>
      </c>
      <c r="K64" s="386">
        <f>+'2025'!K67</f>
        <v>1263.9485</v>
      </c>
      <c r="L64" s="386">
        <f>+'2025'!L67</f>
        <v>1616.8836999999996</v>
      </c>
      <c r="M64" s="386">
        <f>+'2025'!M67</f>
        <v>1685.3370099999997</v>
      </c>
      <c r="N64" s="386">
        <f>+'2025'!N67</f>
        <v>1308.1993499999999</v>
      </c>
      <c r="O64" s="386">
        <f>+'2025'!O67</f>
        <v>0</v>
      </c>
      <c r="P64" s="387">
        <f t="shared" si="15"/>
        <v>16032.211140000003</v>
      </c>
      <c r="Q64" s="429"/>
      <c r="R64" s="249"/>
      <c r="S64" s="278"/>
    </row>
    <row r="65" spans="1:248">
      <c r="B65" s="423"/>
      <c r="C65" s="397" t="s">
        <v>142</v>
      </c>
      <c r="D65" s="386">
        <f>+'2025'!D68</f>
        <v>625</v>
      </c>
      <c r="E65" s="386">
        <f>+'2025'!E68</f>
        <v>3360.0000000000027</v>
      </c>
      <c r="F65" s="386">
        <f>+'2025'!F68</f>
        <v>0</v>
      </c>
      <c r="G65" s="386">
        <f>+'2025'!G68</f>
        <v>0</v>
      </c>
      <c r="H65" s="386">
        <f>+'2025'!H68</f>
        <v>0</v>
      </c>
      <c r="I65" s="386">
        <f>+'2025'!I68</f>
        <v>0</v>
      </c>
      <c r="J65" s="386">
        <f>+'2025'!J68</f>
        <v>0</v>
      </c>
      <c r="K65" s="386">
        <f>+'2025'!K68</f>
        <v>0</v>
      </c>
      <c r="L65" s="386">
        <f>+'2025'!L68</f>
        <v>0</v>
      </c>
      <c r="M65" s="386">
        <f>+'2025'!M68</f>
        <v>0</v>
      </c>
      <c r="N65" s="386">
        <f>+'2025'!N68</f>
        <v>0</v>
      </c>
      <c r="O65" s="386">
        <f>+'2025'!O68</f>
        <v>0</v>
      </c>
      <c r="P65" s="387">
        <f t="shared" si="15"/>
        <v>3985.0000000000027</v>
      </c>
      <c r="Q65" s="429"/>
      <c r="R65" s="249"/>
      <c r="S65" s="278"/>
    </row>
    <row r="66" spans="1:248" ht="12" thickBot="1">
      <c r="B66" s="423"/>
      <c r="C66" s="399"/>
      <c r="D66" s="400"/>
      <c r="E66" s="400"/>
      <c r="F66" s="400"/>
      <c r="G66" s="400"/>
      <c r="H66" s="400"/>
      <c r="I66" s="400"/>
      <c r="J66" s="400"/>
      <c r="K66" s="400"/>
      <c r="L66" s="400"/>
      <c r="M66" s="400"/>
      <c r="N66" s="400"/>
      <c r="O66" s="400"/>
      <c r="P66" s="401"/>
      <c r="Q66" s="429"/>
      <c r="R66" s="249"/>
    </row>
    <row r="67" spans="1:248" ht="12" thickTop="1">
      <c r="B67" s="423"/>
      <c r="C67" s="423"/>
      <c r="D67" s="423"/>
      <c r="E67" s="423"/>
      <c r="F67" s="423"/>
      <c r="G67" s="423"/>
      <c r="H67" s="423"/>
      <c r="I67" s="423"/>
      <c r="J67" s="423"/>
      <c r="K67" s="423"/>
      <c r="L67" s="423"/>
      <c r="M67" s="423"/>
      <c r="N67" s="423"/>
      <c r="O67" s="423"/>
      <c r="P67" s="423"/>
      <c r="Q67" s="429"/>
      <c r="R67" s="249"/>
    </row>
    <row r="68" spans="1:248">
      <c r="B68" s="423"/>
      <c r="C68" s="423"/>
      <c r="D68" s="436">
        <f t="shared" ref="D68:O68" si="17">+D35/D28</f>
        <v>4.4762187436559646E-3</v>
      </c>
      <c r="E68" s="436">
        <f t="shared" si="17"/>
        <v>3.1914809884679425E-3</v>
      </c>
      <c r="F68" s="436">
        <f t="shared" si="17"/>
        <v>2.8079817203343245E-3</v>
      </c>
      <c r="G68" s="436">
        <f t="shared" si="17"/>
        <v>2.9129536361843567E-3</v>
      </c>
      <c r="H68" s="436">
        <f t="shared" si="17"/>
        <v>4.0862764843914183E-3</v>
      </c>
      <c r="I68" s="436">
        <f t="shared" si="17"/>
        <v>4.3040383281507917E-3</v>
      </c>
      <c r="J68" s="436">
        <f t="shared" si="17"/>
        <v>4.2380576591015164E-3</v>
      </c>
      <c r="K68" s="436">
        <f t="shared" si="17"/>
        <v>4.0737156812211796E-3</v>
      </c>
      <c r="L68" s="436">
        <f t="shared" si="17"/>
        <v>3.8512568269010567E-3</v>
      </c>
      <c r="M68" s="436">
        <f t="shared" si="17"/>
        <v>3.8396187055652303E-3</v>
      </c>
      <c r="N68" s="436">
        <f t="shared" si="17"/>
        <v>3.9936856337444955E-3</v>
      </c>
      <c r="O68" s="436" t="e">
        <f t="shared" si="17"/>
        <v>#DIV/0!</v>
      </c>
      <c r="P68" s="423"/>
      <c r="Q68" s="423"/>
    </row>
    <row r="69" spans="1:248">
      <c r="B69" s="423"/>
      <c r="C69" s="423"/>
      <c r="D69" s="437"/>
      <c r="E69" s="438"/>
      <c r="F69" s="437"/>
      <c r="G69" s="437"/>
      <c r="H69" s="437"/>
      <c r="I69" s="423"/>
      <c r="J69" s="423"/>
      <c r="K69" s="423"/>
      <c r="L69" s="439"/>
      <c r="M69" s="439"/>
      <c r="N69" s="423"/>
      <c r="O69" s="423"/>
      <c r="P69" s="423"/>
      <c r="Q69" s="423"/>
    </row>
    <row r="70" spans="1:248">
      <c r="B70" s="423"/>
      <c r="C70" s="423" t="s">
        <v>92</v>
      </c>
      <c r="D70" s="437"/>
      <c r="E70" s="438"/>
      <c r="F70" s="437"/>
      <c r="G70" s="437"/>
      <c r="H70" s="437"/>
      <c r="I70" s="423"/>
      <c r="J70" s="423"/>
      <c r="K70" s="423"/>
      <c r="L70" s="439"/>
      <c r="M70" s="439"/>
      <c r="N70" s="423"/>
      <c r="O70" s="423"/>
      <c r="P70" s="423"/>
      <c r="Q70" s="423"/>
    </row>
    <row r="71" spans="1:248" s="231" customFormat="1">
      <c r="A71" s="221"/>
      <c r="B71" s="221"/>
      <c r="C71" s="221"/>
      <c r="D71" s="370" t="e">
        <f>+#REF!+#REF!+D54+#REF!</f>
        <v>#REF!</v>
      </c>
      <c r="E71" s="370" t="e">
        <f>+#REF!+#REF!+E54+#REF!</f>
        <v>#REF!</v>
      </c>
      <c r="F71" s="370" t="e">
        <f>+#REF!+#REF!+F54+#REF!</f>
        <v>#REF!</v>
      </c>
      <c r="G71" s="370" t="e">
        <f>+#REF!+#REF!+G54+#REF!</f>
        <v>#REF!</v>
      </c>
      <c r="H71" s="370" t="e">
        <f>+#REF!+#REF!+H54+#REF!</f>
        <v>#REF!</v>
      </c>
      <c r="I71" s="370" t="e">
        <f>+#REF!+#REF!+I54+#REF!</f>
        <v>#REF!</v>
      </c>
      <c r="J71" s="370" t="e">
        <f>+#REF!+#REF!+J54+#REF!</f>
        <v>#REF!</v>
      </c>
      <c r="K71" s="370" t="e">
        <f>+#REF!+#REF!+K54+#REF!</f>
        <v>#REF!</v>
      </c>
      <c r="L71" s="370" t="e">
        <f>+#REF!+#REF!+L54+#REF!</f>
        <v>#REF!</v>
      </c>
      <c r="M71" s="370" t="e">
        <f>+#REF!+#REF!+M54+#REF!</f>
        <v>#REF!</v>
      </c>
      <c r="N71" s="370" t="e">
        <f>+#REF!+#REF!+N54+#REF!</f>
        <v>#REF!</v>
      </c>
      <c r="O71" s="370" t="e">
        <f>+#REF!+#REF!+O54+#REF!</f>
        <v>#REF!</v>
      </c>
    </row>
    <row r="72" spans="1:248">
      <c r="D72" s="296">
        <f t="shared" ref="D72:O72" si="18">+D54</f>
        <v>6040.90625</v>
      </c>
      <c r="E72" s="296">
        <f t="shared" si="18"/>
        <v>8556.0684100000035</v>
      </c>
      <c r="F72" s="296">
        <f t="shared" si="18"/>
        <v>5939.1035499999998</v>
      </c>
      <c r="G72" s="296">
        <f t="shared" si="18"/>
        <v>5343.6322500000006</v>
      </c>
      <c r="H72" s="296">
        <f t="shared" si="18"/>
        <v>5776.9386199999999</v>
      </c>
      <c r="I72" s="296">
        <f t="shared" si="18"/>
        <v>5295.0810100000008</v>
      </c>
      <c r="J72" s="296">
        <f t="shared" si="18"/>
        <v>5270.72919</v>
      </c>
      <c r="K72" s="296">
        <f t="shared" si="18"/>
        <v>5301.9539399999994</v>
      </c>
      <c r="L72" s="296">
        <f t="shared" si="18"/>
        <v>5773.8880300000001</v>
      </c>
      <c r="M72" s="296">
        <f t="shared" si="18"/>
        <v>5715.499890000001</v>
      </c>
      <c r="N72" s="296">
        <f t="shared" si="18"/>
        <v>5462.0493000000006</v>
      </c>
      <c r="O72" s="296">
        <f t="shared" si="18"/>
        <v>0</v>
      </c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231"/>
      <c r="AO72" s="231"/>
      <c r="AP72" s="231"/>
      <c r="AQ72" s="231"/>
      <c r="AR72" s="231"/>
      <c r="AS72" s="231"/>
      <c r="AT72" s="231"/>
      <c r="AU72" s="231"/>
      <c r="AV72" s="231"/>
      <c r="AW72" s="231"/>
      <c r="AX72" s="231"/>
      <c r="AY72" s="231"/>
      <c r="AZ72" s="231"/>
      <c r="BA72" s="231"/>
      <c r="BB72" s="231"/>
      <c r="BC72" s="231"/>
      <c r="BD72" s="231"/>
      <c r="BE72" s="231"/>
      <c r="BF72" s="231"/>
      <c r="BG72" s="231"/>
      <c r="BH72" s="231"/>
      <c r="BI72" s="231"/>
      <c r="BJ72" s="231"/>
      <c r="BK72" s="231"/>
      <c r="BL72" s="231"/>
      <c r="BM72" s="231"/>
      <c r="BN72" s="231"/>
      <c r="BO72" s="231"/>
      <c r="BP72" s="231"/>
      <c r="BQ72" s="231"/>
      <c r="BR72" s="231"/>
      <c r="BS72" s="231"/>
      <c r="BT72" s="231"/>
      <c r="BU72" s="231"/>
      <c r="BV72" s="231"/>
      <c r="BW72" s="231"/>
      <c r="BX72" s="231"/>
      <c r="BY72" s="231"/>
      <c r="BZ72" s="231"/>
      <c r="CA72" s="231"/>
      <c r="CB72" s="231"/>
      <c r="CC72" s="231"/>
      <c r="CD72" s="231"/>
      <c r="CE72" s="231"/>
      <c r="CF72" s="231"/>
      <c r="CG72" s="231"/>
      <c r="CH72" s="231"/>
      <c r="CI72" s="231"/>
      <c r="CJ72" s="231"/>
      <c r="CK72" s="231"/>
      <c r="CL72" s="231"/>
      <c r="CM72" s="231"/>
      <c r="CN72" s="231"/>
      <c r="CO72" s="231"/>
      <c r="CP72" s="231"/>
      <c r="CQ72" s="231"/>
      <c r="CR72" s="231"/>
      <c r="CS72" s="231"/>
      <c r="CT72" s="231"/>
      <c r="CU72" s="231"/>
      <c r="CV72" s="231"/>
      <c r="CW72" s="231"/>
      <c r="CX72" s="231"/>
      <c r="CY72" s="231"/>
      <c r="CZ72" s="231"/>
      <c r="DA72" s="231"/>
      <c r="DB72" s="231"/>
      <c r="DC72" s="231"/>
      <c r="DD72" s="231"/>
      <c r="DE72" s="231"/>
      <c r="DF72" s="231"/>
      <c r="DG72" s="231"/>
      <c r="DH72" s="231"/>
      <c r="DI72" s="231"/>
      <c r="DJ72" s="231"/>
      <c r="DK72" s="231"/>
      <c r="DL72" s="231"/>
      <c r="DM72" s="231"/>
      <c r="DN72" s="231"/>
      <c r="DO72" s="231"/>
      <c r="DP72" s="231"/>
      <c r="DQ72" s="231"/>
      <c r="DR72" s="231"/>
      <c r="DS72" s="231"/>
      <c r="DT72" s="231"/>
      <c r="DU72" s="231"/>
      <c r="DV72" s="231"/>
      <c r="DW72" s="231"/>
      <c r="DX72" s="231"/>
      <c r="DY72" s="231"/>
      <c r="DZ72" s="231"/>
      <c r="EA72" s="231"/>
      <c r="EB72" s="231"/>
      <c r="EC72" s="231"/>
      <c r="ED72" s="231"/>
      <c r="EE72" s="231"/>
      <c r="EF72" s="231"/>
      <c r="EG72" s="231"/>
      <c r="EH72" s="231"/>
      <c r="EI72" s="231"/>
      <c r="EJ72" s="231"/>
      <c r="EK72" s="231"/>
      <c r="EL72" s="231"/>
      <c r="EM72" s="231"/>
      <c r="EN72" s="231"/>
      <c r="EO72" s="231"/>
      <c r="EP72" s="231"/>
      <c r="EQ72" s="231"/>
      <c r="ER72" s="231"/>
      <c r="ES72" s="231"/>
      <c r="ET72" s="231"/>
      <c r="EU72" s="231"/>
      <c r="EV72" s="231"/>
      <c r="EW72" s="231"/>
      <c r="EX72" s="231"/>
      <c r="EY72" s="231"/>
      <c r="EZ72" s="231"/>
      <c r="FA72" s="231"/>
      <c r="FB72" s="231"/>
      <c r="FC72" s="231"/>
      <c r="FD72" s="231"/>
      <c r="FE72" s="231"/>
      <c r="FF72" s="231"/>
      <c r="FG72" s="231"/>
      <c r="FH72" s="231"/>
      <c r="FI72" s="231"/>
      <c r="FJ72" s="231"/>
      <c r="FK72" s="231"/>
      <c r="FL72" s="231"/>
      <c r="FM72" s="231"/>
      <c r="FN72" s="231"/>
      <c r="FO72" s="231"/>
      <c r="FP72" s="231"/>
      <c r="FQ72" s="231"/>
      <c r="FR72" s="231"/>
      <c r="FS72" s="231"/>
      <c r="FT72" s="231"/>
      <c r="FU72" s="231"/>
      <c r="FV72" s="231"/>
      <c r="FW72" s="231"/>
      <c r="FX72" s="231"/>
      <c r="FY72" s="231"/>
      <c r="FZ72" s="231"/>
      <c r="GA72" s="231"/>
      <c r="GB72" s="231"/>
      <c r="GC72" s="231"/>
      <c r="GD72" s="231"/>
      <c r="GE72" s="231"/>
      <c r="GF72" s="231"/>
      <c r="GG72" s="231"/>
      <c r="GH72" s="231"/>
      <c r="GI72" s="231"/>
      <c r="GJ72" s="231"/>
      <c r="GK72" s="231"/>
      <c r="GL72" s="231"/>
      <c r="GM72" s="231"/>
      <c r="GN72" s="231"/>
      <c r="GO72" s="231"/>
      <c r="GP72" s="231"/>
      <c r="GQ72" s="231"/>
      <c r="GR72" s="231"/>
      <c r="GS72" s="231"/>
      <c r="GT72" s="231"/>
      <c r="GU72" s="231"/>
      <c r="GV72" s="231"/>
      <c r="GW72" s="231"/>
      <c r="GX72" s="231"/>
      <c r="GY72" s="231"/>
      <c r="GZ72" s="231"/>
      <c r="HA72" s="231"/>
      <c r="HB72" s="231"/>
      <c r="HC72" s="231"/>
      <c r="HD72" s="231"/>
      <c r="HE72" s="231"/>
      <c r="HF72" s="231"/>
      <c r="HG72" s="231"/>
      <c r="HH72" s="231"/>
      <c r="HI72" s="231"/>
      <c r="HJ72" s="231"/>
      <c r="HK72" s="231"/>
      <c r="HL72" s="231"/>
      <c r="HM72" s="231"/>
      <c r="HN72" s="231"/>
      <c r="HO72" s="231"/>
      <c r="HP72" s="231"/>
      <c r="HQ72" s="231"/>
      <c r="HR72" s="231"/>
      <c r="HS72" s="231"/>
      <c r="HT72" s="231"/>
      <c r="HU72" s="231"/>
      <c r="HV72" s="231"/>
      <c r="HW72" s="231"/>
      <c r="HX72" s="231"/>
      <c r="HY72" s="231"/>
      <c r="HZ72" s="231"/>
      <c r="IA72" s="231"/>
      <c r="IB72" s="231"/>
      <c r="IC72" s="231"/>
      <c r="ID72" s="231"/>
      <c r="IE72" s="231"/>
      <c r="IF72" s="231"/>
      <c r="IG72" s="231"/>
      <c r="IH72" s="231"/>
      <c r="II72" s="231"/>
      <c r="IJ72" s="231"/>
      <c r="IK72" s="231"/>
      <c r="IL72" s="231"/>
      <c r="IM72" s="231"/>
      <c r="IN72" s="231"/>
    </row>
    <row r="73" spans="1:248">
      <c r="D73" s="297">
        <f t="shared" ref="D73:O73" si="19">+D40-D41</f>
        <v>0</v>
      </c>
      <c r="E73" s="297">
        <f t="shared" si="19"/>
        <v>0</v>
      </c>
      <c r="F73" s="297">
        <f t="shared" si="19"/>
        <v>0</v>
      </c>
      <c r="G73" s="297">
        <f t="shared" si="19"/>
        <v>0</v>
      </c>
      <c r="H73" s="297">
        <f t="shared" si="19"/>
        <v>0</v>
      </c>
      <c r="I73" s="297">
        <f t="shared" si="19"/>
        <v>0</v>
      </c>
      <c r="J73" s="297">
        <f t="shared" si="19"/>
        <v>0</v>
      </c>
      <c r="K73" s="297">
        <f t="shared" si="19"/>
        <v>0</v>
      </c>
      <c r="L73" s="297">
        <f t="shared" si="19"/>
        <v>0</v>
      </c>
      <c r="M73" s="297">
        <f t="shared" si="19"/>
        <v>0</v>
      </c>
      <c r="N73" s="297">
        <f t="shared" si="19"/>
        <v>0</v>
      </c>
      <c r="O73" s="297">
        <f t="shared" si="19"/>
        <v>0</v>
      </c>
      <c r="P73" s="297"/>
    </row>
    <row r="74" spans="1:248">
      <c r="B74" s="278"/>
      <c r="C74" s="249"/>
      <c r="D74" s="297">
        <f>+D73*0.4</f>
        <v>0</v>
      </c>
      <c r="E74" s="297">
        <f t="shared" ref="E74:O74" si="20">+E73*0.4</f>
        <v>0</v>
      </c>
      <c r="F74" s="297">
        <f t="shared" si="20"/>
        <v>0</v>
      </c>
      <c r="G74" s="297">
        <f t="shared" si="20"/>
        <v>0</v>
      </c>
      <c r="H74" s="297">
        <f t="shared" si="20"/>
        <v>0</v>
      </c>
      <c r="I74" s="297">
        <f t="shared" si="20"/>
        <v>0</v>
      </c>
      <c r="J74" s="297">
        <f t="shared" si="20"/>
        <v>0</v>
      </c>
      <c r="K74" s="297">
        <f t="shared" si="20"/>
        <v>0</v>
      </c>
      <c r="L74" s="297">
        <f t="shared" si="20"/>
        <v>0</v>
      </c>
      <c r="M74" s="297">
        <f t="shared" si="20"/>
        <v>0</v>
      </c>
      <c r="N74" s="297">
        <f t="shared" si="20"/>
        <v>0</v>
      </c>
      <c r="O74" s="297">
        <f t="shared" si="20"/>
        <v>0</v>
      </c>
      <c r="P74" s="297"/>
    </row>
    <row r="75" spans="1:248">
      <c r="B75" s="278"/>
      <c r="C75" s="249"/>
      <c r="D75" s="297">
        <f>+D73*0.6</f>
        <v>0</v>
      </c>
      <c r="E75" s="297">
        <f t="shared" ref="E75:O75" si="21">+E73*0.6</f>
        <v>0</v>
      </c>
      <c r="F75" s="297">
        <f t="shared" si="21"/>
        <v>0</v>
      </c>
      <c r="G75" s="297">
        <f t="shared" si="21"/>
        <v>0</v>
      </c>
      <c r="H75" s="297">
        <f t="shared" si="21"/>
        <v>0</v>
      </c>
      <c r="I75" s="297">
        <f t="shared" si="21"/>
        <v>0</v>
      </c>
      <c r="J75" s="297">
        <f t="shared" si="21"/>
        <v>0</v>
      </c>
      <c r="K75" s="297">
        <f>+K73*0.6</f>
        <v>0</v>
      </c>
      <c r="L75" s="297">
        <f t="shared" si="21"/>
        <v>0</v>
      </c>
      <c r="M75" s="297">
        <f t="shared" si="21"/>
        <v>0</v>
      </c>
      <c r="N75" s="297">
        <f t="shared" si="21"/>
        <v>0</v>
      </c>
      <c r="O75" s="297">
        <f t="shared" si="21"/>
        <v>0</v>
      </c>
      <c r="P75" s="297"/>
    </row>
    <row r="76" spans="1:248">
      <c r="C76" s="418" t="s">
        <v>172</v>
      </c>
      <c r="D76" s="419" t="str">
        <f>+D26</f>
        <v>Enero</v>
      </c>
      <c r="E76" s="419" t="str">
        <f t="shared" ref="E76:O76" si="22">+E26</f>
        <v>Febrero</v>
      </c>
      <c r="F76" s="419" t="str">
        <f t="shared" si="22"/>
        <v>Marzo</v>
      </c>
      <c r="G76" s="419" t="str">
        <f t="shared" si="22"/>
        <v>Abril</v>
      </c>
      <c r="H76" s="419" t="str">
        <f t="shared" si="22"/>
        <v>Mayo</v>
      </c>
      <c r="I76" s="419" t="str">
        <f t="shared" si="22"/>
        <v>Junio</v>
      </c>
      <c r="J76" s="419" t="str">
        <f t="shared" si="22"/>
        <v>Julio</v>
      </c>
      <c r="K76" s="419" t="str">
        <f t="shared" si="22"/>
        <v>Agosto</v>
      </c>
      <c r="L76" s="419" t="str">
        <f t="shared" si="22"/>
        <v>Septiembre</v>
      </c>
      <c r="M76" s="419" t="str">
        <f t="shared" si="22"/>
        <v>Octubre</v>
      </c>
      <c r="N76" s="419" t="str">
        <f t="shared" si="22"/>
        <v>Noviembre</v>
      </c>
      <c r="O76" s="419" t="str">
        <f t="shared" si="22"/>
        <v>Diciembre</v>
      </c>
    </row>
    <row r="77" spans="1:248">
      <c r="C77" s="416" t="str">
        <f>+C45</f>
        <v>Usaurios Regulados</v>
      </c>
      <c r="D77" s="417">
        <f>+D45/D$41</f>
        <v>0.79572291727848332</v>
      </c>
      <c r="E77" s="417">
        <f t="shared" ref="E77:O77" si="23">+E45/E$41</f>
        <v>0.59899549428549026</v>
      </c>
      <c r="F77" s="417">
        <f t="shared" si="23"/>
        <v>0.43928782747189243</v>
      </c>
      <c r="G77" s="417">
        <f t="shared" si="23"/>
        <v>0.45457231218031707</v>
      </c>
      <c r="H77" s="417">
        <f t="shared" si="23"/>
        <v>0.68614764475585033</v>
      </c>
      <c r="I77" s="417">
        <f t="shared" si="23"/>
        <v>0.68229297039301018</v>
      </c>
      <c r="J77" s="417">
        <f t="shared" si="23"/>
        <v>0.69088977145976993</v>
      </c>
      <c r="K77" s="417">
        <f t="shared" si="23"/>
        <v>0.66015947276212428</v>
      </c>
      <c r="L77" s="417">
        <f t="shared" si="23"/>
        <v>0.64905823360826831</v>
      </c>
      <c r="M77" s="417">
        <f t="shared" si="23"/>
        <v>0.65655477645850924</v>
      </c>
      <c r="N77" s="417">
        <f t="shared" si="23"/>
        <v>0.66216546752238126</v>
      </c>
      <c r="O77" s="417" t="e">
        <f t="shared" si="23"/>
        <v>#DIV/0!</v>
      </c>
      <c r="P77" s="351"/>
    </row>
    <row r="78" spans="1:248">
      <c r="C78" s="416" t="str">
        <f>+C54</f>
        <v>Usaurios Libres</v>
      </c>
      <c r="D78" s="417">
        <f>+D54/D$41</f>
        <v>9.832838717440745E-2</v>
      </c>
      <c r="E78" s="417">
        <f t="shared" ref="E78:O78" si="24">+E54/E$41</f>
        <v>0.10953018401403937</v>
      </c>
      <c r="F78" s="417">
        <f t="shared" si="24"/>
        <v>5.1085771363402838E-2</v>
      </c>
      <c r="G78" s="417">
        <f t="shared" si="24"/>
        <v>5.0702099860548168E-2</v>
      </c>
      <c r="H78" s="417">
        <f t="shared" si="24"/>
        <v>8.4888805089732289E-2</v>
      </c>
      <c r="I78" s="417">
        <f t="shared" si="24"/>
        <v>7.9046269328400795E-2</v>
      </c>
      <c r="J78" s="417">
        <f t="shared" si="24"/>
        <v>7.7117146445468493E-2</v>
      </c>
      <c r="K78" s="417">
        <f t="shared" si="24"/>
        <v>7.5183867748686656E-2</v>
      </c>
      <c r="L78" s="417">
        <f t="shared" si="24"/>
        <v>8.0926040988637454E-2</v>
      </c>
      <c r="M78" s="417">
        <f t="shared" si="24"/>
        <v>7.964297297770899E-2</v>
      </c>
      <c r="N78" s="417">
        <f t="shared" si="24"/>
        <v>7.8864941937589805E-2</v>
      </c>
      <c r="O78" s="417" t="e">
        <f t="shared" si="24"/>
        <v>#DIV/0!</v>
      </c>
    </row>
    <row r="79" spans="1:248">
      <c r="C79" s="416" t="s">
        <v>41</v>
      </c>
      <c r="D79" s="417">
        <f>+D43/D$41</f>
        <v>0.10594869554710921</v>
      </c>
      <c r="E79" s="417">
        <f t="shared" ref="E79:O79" si="25">+E43/E$41</f>
        <v>0.29147432170047038</v>
      </c>
      <c r="F79" s="417">
        <f t="shared" si="25"/>
        <v>0.5096264011647047</v>
      </c>
      <c r="G79" s="417">
        <f t="shared" si="25"/>
        <v>0.4947255879591349</v>
      </c>
      <c r="H79" s="417">
        <f t="shared" si="25"/>
        <v>0.22896355015441741</v>
      </c>
      <c r="I79" s="417">
        <f t="shared" si="25"/>
        <v>0.23866076027858907</v>
      </c>
      <c r="J79" s="417">
        <f t="shared" si="25"/>
        <v>0.23199308209476147</v>
      </c>
      <c r="K79" s="417">
        <f t="shared" si="25"/>
        <v>0.26465665948918909</v>
      </c>
      <c r="L79" s="417">
        <f t="shared" si="25"/>
        <v>0.27001572540309415</v>
      </c>
      <c r="M79" s="417">
        <f t="shared" si="25"/>
        <v>0.2638022505637817</v>
      </c>
      <c r="N79" s="417">
        <f t="shared" si="25"/>
        <v>0.25896959054002894</v>
      </c>
      <c r="O79" s="417" t="e">
        <f t="shared" si="25"/>
        <v>#DIV/0!</v>
      </c>
    </row>
    <row r="80" spans="1:248">
      <c r="C80" s="221" t="s">
        <v>146</v>
      </c>
      <c r="D80" s="351"/>
      <c r="E80" s="351"/>
      <c r="F80" s="351"/>
      <c r="G80" s="351"/>
      <c r="H80" s="351"/>
      <c r="I80" s="351"/>
      <c r="J80" s="351"/>
      <c r="K80" s="278"/>
      <c r="L80" s="278"/>
      <c r="M80" s="278"/>
      <c r="N80" s="278"/>
      <c r="O80" s="278"/>
    </row>
    <row r="83" spans="4:15">
      <c r="D83" s="278"/>
      <c r="E83" s="278"/>
      <c r="F83" s="278"/>
      <c r="G83" s="278"/>
      <c r="H83" s="278"/>
      <c r="I83" s="278"/>
      <c r="J83" s="278"/>
      <c r="K83" s="278"/>
      <c r="L83" s="278"/>
      <c r="M83" s="278"/>
      <c r="N83" s="278"/>
      <c r="O83" s="278"/>
    </row>
    <row r="84" spans="4:15">
      <c r="D84" s="415"/>
      <c r="E84" s="415"/>
      <c r="F84" s="415"/>
      <c r="G84" s="415"/>
      <c r="H84" s="415"/>
      <c r="I84" s="415"/>
      <c r="J84" s="415"/>
      <c r="K84" s="415"/>
      <c r="L84" s="415"/>
      <c r="M84" s="415"/>
      <c r="N84" s="415"/>
      <c r="O84" s="415"/>
    </row>
    <row r="86" spans="4:15">
      <c r="D86" s="277"/>
      <c r="E86" s="277"/>
      <c r="F86" s="277"/>
      <c r="G86" s="277"/>
      <c r="H86" s="277"/>
      <c r="I86" s="277"/>
      <c r="J86" s="277"/>
      <c r="K86" s="277"/>
    </row>
    <row r="87" spans="4:15">
      <c r="D87" s="277"/>
      <c r="E87" s="277"/>
      <c r="F87" s="277"/>
      <c r="G87" s="277"/>
      <c r="H87" s="277"/>
      <c r="I87" s="277"/>
      <c r="J87" s="277"/>
      <c r="K87" s="277"/>
    </row>
    <row r="89" spans="4:15">
      <c r="D89" s="277"/>
      <c r="E89" s="277"/>
      <c r="F89" s="277"/>
      <c r="G89" s="277"/>
      <c r="H89" s="277"/>
      <c r="I89" s="277"/>
      <c r="J89" s="277"/>
      <c r="K89" s="277"/>
    </row>
    <row r="90" spans="4:15">
      <c r="D90" s="277"/>
      <c r="E90" s="277"/>
      <c r="F90" s="277"/>
      <c r="G90" s="277"/>
      <c r="H90" s="277"/>
      <c r="I90" s="277"/>
      <c r="J90" s="277"/>
      <c r="K90" s="277"/>
    </row>
    <row r="92" spans="4:15">
      <c r="D92" s="277"/>
      <c r="E92" s="277"/>
      <c r="F92" s="277"/>
      <c r="G92" s="277"/>
      <c r="H92" s="277"/>
      <c r="I92" s="277"/>
      <c r="J92" s="277"/>
      <c r="K92" s="277"/>
    </row>
  </sheetData>
  <printOptions horizontalCentered="1"/>
  <pageMargins left="0.39370078740157483" right="0.39370078740157483" top="1.3779527559055118" bottom="1" header="0" footer="0"/>
  <pageSetup paperSize="9" scale="7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5A4D-E786-43BD-8EDE-CDD76331CF5C}">
  <sheetPr codeName="Sheet24"/>
  <dimension ref="B7:AM59"/>
  <sheetViews>
    <sheetView topLeftCell="K13" zoomScaleNormal="100" workbookViewId="0">
      <selection activeCell="AK49" sqref="AK49"/>
    </sheetView>
  </sheetViews>
  <sheetFormatPr baseColWidth="10" defaultColWidth="9.140625" defaultRowHeight="12.75"/>
  <cols>
    <col min="1" max="1" width="9.140625" customWidth="1"/>
    <col min="2" max="2" width="22.28515625" customWidth="1"/>
    <col min="3" max="3" width="11.5703125" bestFit="1" customWidth="1"/>
    <col min="4" max="5" width="12.28515625" bestFit="1" customWidth="1"/>
    <col min="6" max="6" width="11.42578125" bestFit="1" customWidth="1"/>
    <col min="7" max="8" width="10.28515625" bestFit="1" customWidth="1"/>
    <col min="9" max="9" width="12.7109375" customWidth="1"/>
    <col min="10" max="10" width="12.140625" customWidth="1"/>
    <col min="11" max="11" width="12.7109375" customWidth="1"/>
    <col min="12" max="12" width="11.5703125" customWidth="1"/>
    <col min="13" max="13" width="13.140625" customWidth="1"/>
    <col min="14" max="14" width="11.140625" customWidth="1"/>
    <col min="15" max="15" width="10.42578125" customWidth="1"/>
    <col min="16" max="16" width="11.28515625" customWidth="1"/>
  </cols>
  <sheetData>
    <row r="7" spans="2:39">
      <c r="B7" s="378" t="s">
        <v>144</v>
      </c>
      <c r="C7" s="378">
        <v>2021</v>
      </c>
      <c r="D7" s="378">
        <f>+C7+1</f>
        <v>2022</v>
      </c>
      <c r="E7" s="378">
        <f>+D7+1</f>
        <v>2023</v>
      </c>
      <c r="F7" s="378">
        <f>+E7+1</f>
        <v>2024</v>
      </c>
      <c r="G7" s="379">
        <v>45658</v>
      </c>
      <c r="H7" s="379">
        <v>45689</v>
      </c>
      <c r="I7" s="379">
        <v>45717</v>
      </c>
      <c r="J7" s="379">
        <v>45748</v>
      </c>
      <c r="K7" s="379">
        <v>45778</v>
      </c>
      <c r="L7" s="379">
        <v>45809</v>
      </c>
      <c r="M7" s="379">
        <v>45839</v>
      </c>
      <c r="N7" s="379">
        <v>45870</v>
      </c>
      <c r="O7" s="379">
        <v>45901</v>
      </c>
      <c r="P7" s="379">
        <v>45931</v>
      </c>
    </row>
    <row r="8" spans="2:39">
      <c r="B8" t="s">
        <v>41</v>
      </c>
      <c r="C8" s="380">
        <f>(+'2021-R2'!P42)/1000</f>
        <v>252.64911528275144</v>
      </c>
      <c r="D8" s="380">
        <f>(+'2022-R1'!P42)/1000</f>
        <v>80.961446595472637</v>
      </c>
      <c r="E8" s="380">
        <f>(+'2023-R1'!P43)/1000</f>
        <v>19.142720340066226</v>
      </c>
      <c r="F8" s="380">
        <f>(+'2024-R1'!P43)/1000</f>
        <v>291.53219299412262</v>
      </c>
      <c r="G8" s="380">
        <f>+'2025'!D43</f>
        <v>6509.0677829856941</v>
      </c>
      <c r="H8" s="380">
        <f>+'2025'!E43</f>
        <v>22768.830881430025</v>
      </c>
      <c r="I8" s="380">
        <f>+'2025'!F43</f>
        <v>59247.886202993235</v>
      </c>
      <c r="J8" s="380">
        <f>+'2025'!G43</f>
        <v>52140.475719738039</v>
      </c>
      <c r="K8" s="380">
        <f>+'2025'!H43</f>
        <v>15581.658548040381</v>
      </c>
      <c r="L8" s="380">
        <f>+'2025'!I43</f>
        <v>15987.19421321596</v>
      </c>
      <c r="M8" s="380">
        <f>+'2025'!J43</f>
        <v>15856.041957408001</v>
      </c>
      <c r="N8" s="380">
        <f>+'2025'!K43</f>
        <v>18663.543929614556</v>
      </c>
      <c r="O8" s="380">
        <f>+'2025'!L43</f>
        <v>19265.0047595383</v>
      </c>
      <c r="P8" s="380">
        <f>+'2025'!M43</f>
        <v>18931.509933726978</v>
      </c>
    </row>
    <row r="9" spans="2:39">
      <c r="B9" t="s">
        <v>183</v>
      </c>
      <c r="C9" s="380">
        <f>(+'2021-R2'!P44)/1000</f>
        <v>656.08626573000004</v>
      </c>
      <c r="D9" s="380">
        <f>(+'2022-R1'!P44)/1000</f>
        <v>785.48827017000008</v>
      </c>
      <c r="E9" s="380">
        <f>(+'2023-R1'!P45+'2023-R1'!P54)/1000</f>
        <v>817.10310513999991</v>
      </c>
      <c r="F9" s="380">
        <f>(+'2024-R1'!P45+'2024-R1'!P52)/1000</f>
        <v>469.68272978999988</v>
      </c>
      <c r="G9" s="380">
        <f>+'2025'!D46+'2025'!D53</f>
        <v>48886.061109999995</v>
      </c>
      <c r="H9" s="380">
        <f>+'2025'!E46+'2025'!E53</f>
        <v>46791.178820000001</v>
      </c>
      <c r="I9" s="380">
        <f>+'2025'!F46+'2025'!F53</f>
        <v>51070.500180000003</v>
      </c>
      <c r="J9" s="380">
        <f>+'2025'!G46+'2025'!G53</f>
        <v>47908.612740000004</v>
      </c>
      <c r="K9" s="380">
        <f>+'2025'!H46+'2025'!H53</f>
        <v>46694.411869999996</v>
      </c>
      <c r="L9" s="380">
        <f>+'2025'!I46+'2025'!I53</f>
        <v>45704.833149999999</v>
      </c>
      <c r="M9" s="380">
        <f>+'2025'!J46+'2025'!J53</f>
        <v>47220.275300000008</v>
      </c>
      <c r="N9" s="380">
        <f>+'2025'!K46+'2025'!K53</f>
        <v>46554.337020000006</v>
      </c>
      <c r="O9" s="380">
        <f>+'2025'!L46+'2025'!L53</f>
        <v>46308.82123999999</v>
      </c>
      <c r="P9" s="380">
        <f>+'2025'!M46+'2025'!M53</f>
        <v>47117.009980000003</v>
      </c>
    </row>
    <row r="10" spans="2:39">
      <c r="B10" t="s">
        <v>182</v>
      </c>
      <c r="C10" s="380">
        <f>(+'2021-R2'!P54)/1000</f>
        <v>60.789024859999998</v>
      </c>
      <c r="D10" s="380">
        <f>(+'2022-R1'!P54)/1000</f>
        <v>48.362153769999992</v>
      </c>
      <c r="E10" s="380">
        <f>(+'2023-R1'!P56)/1000</f>
        <v>38.812936839999992</v>
      </c>
      <c r="F10" s="380">
        <f>(+'2024-R1'!P56++'2024-R1'!P66)/1000</f>
        <v>111.98029223609041</v>
      </c>
      <c r="G10" s="380">
        <f>+'2025'!D56+'2025'!D66</f>
        <v>6040.90625</v>
      </c>
      <c r="H10" s="380">
        <f>+'2025'!E56+'2025'!E66</f>
        <v>8556.0684100000035</v>
      </c>
      <c r="I10" s="380">
        <f>+'2025'!F56+'2025'!F66</f>
        <v>5939.1035499999998</v>
      </c>
      <c r="J10" s="380">
        <f>+'2025'!G56+'2025'!G66</f>
        <v>5343.6322500000006</v>
      </c>
      <c r="K10" s="380">
        <f>+'2025'!H56+'2025'!H66</f>
        <v>5776.9386199999999</v>
      </c>
      <c r="L10" s="380">
        <f>+'2025'!I56+'2025'!I66</f>
        <v>5295.0810100000008</v>
      </c>
      <c r="M10" s="380">
        <f>+'2025'!J56+'2025'!J66</f>
        <v>5270.72919</v>
      </c>
      <c r="N10" s="380">
        <f>+'2025'!K56+'2025'!K66</f>
        <v>5301.9539399999994</v>
      </c>
      <c r="O10" s="380">
        <f>+'2025'!L56+'2025'!L66</f>
        <v>5773.8880300000001</v>
      </c>
      <c r="P10" s="380">
        <f>+'2025'!M56+'2025'!M66</f>
        <v>5715.499890000001</v>
      </c>
      <c r="AM10" t="s">
        <v>184</v>
      </c>
    </row>
    <row r="11" spans="2:39">
      <c r="B11" s="378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381"/>
      <c r="P11" s="381"/>
    </row>
    <row r="12" spans="2:39">
      <c r="B12" t="s">
        <v>146</v>
      </c>
      <c r="C12" s="377">
        <f t="shared" ref="C12:P12" si="0">+SUM(C8:C10)</f>
        <v>969.52440587275157</v>
      </c>
      <c r="D12" s="377">
        <f t="shared" si="0"/>
        <v>914.81187053547262</v>
      </c>
      <c r="E12" s="377">
        <f t="shared" si="0"/>
        <v>875.05876232006619</v>
      </c>
      <c r="F12" s="377">
        <f t="shared" si="0"/>
        <v>873.19521502021303</v>
      </c>
      <c r="G12" s="377">
        <f t="shared" si="0"/>
        <v>61436.035142985689</v>
      </c>
      <c r="H12" s="377">
        <f t="shared" si="0"/>
        <v>78116.078111430033</v>
      </c>
      <c r="I12" s="377">
        <f t="shared" si="0"/>
        <v>116257.48993299324</v>
      </c>
      <c r="J12" s="377">
        <f t="shared" si="0"/>
        <v>105392.72070973803</v>
      </c>
      <c r="K12" s="377">
        <f t="shared" si="0"/>
        <v>68053.009038040371</v>
      </c>
      <c r="L12" s="377">
        <f t="shared" si="0"/>
        <v>66987.10837321596</v>
      </c>
      <c r="M12" s="377">
        <f t="shared" si="0"/>
        <v>68347.046447408007</v>
      </c>
      <c r="N12" s="377">
        <f t="shared" si="0"/>
        <v>70519.834889614562</v>
      </c>
      <c r="O12" s="377">
        <f t="shared" si="0"/>
        <v>71347.7140295383</v>
      </c>
      <c r="P12" s="377">
        <f t="shared" si="0"/>
        <v>71764.019803726987</v>
      </c>
    </row>
    <row r="52" spans="2:15" ht="38.25"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175</v>
      </c>
      <c r="L52" t="s">
        <v>11</v>
      </c>
      <c r="M52" t="s">
        <v>12</v>
      </c>
      <c r="N52" t="s">
        <v>13</v>
      </c>
      <c r="O52" s="422" t="s">
        <v>179</v>
      </c>
    </row>
    <row r="53" spans="2:15">
      <c r="B53" t="s">
        <v>178</v>
      </c>
      <c r="C53" s="421">
        <f>+'2025V1'!D27</f>
        <v>62658.700880490745</v>
      </c>
      <c r="D53" s="421">
        <f>+'2025V1'!E27</f>
        <v>79432.44939048776</v>
      </c>
      <c r="E53" s="421">
        <f>+'2025V1'!F27</f>
        <v>118062.79072241334</v>
      </c>
      <c r="F53" s="421">
        <f>+'2025V1'!G27</f>
        <v>107064.13685455578</v>
      </c>
      <c r="G53" s="421">
        <f>+'2025V1'!H27</f>
        <v>69286.821168200171</v>
      </c>
      <c r="H53" s="421">
        <f>+'2025V1'!I27</f>
        <v>68173.719642525873</v>
      </c>
      <c r="I53" s="421">
        <f>+'2025V1'!J27</f>
        <v>69560.708281173807</v>
      </c>
      <c r="J53" s="421">
        <f>+'2025V1'!K27</f>
        <v>71743.589134987546</v>
      </c>
      <c r="K53" s="421">
        <f>+'2025V1'!L27</f>
        <v>72589.116062988862</v>
      </c>
      <c r="L53" s="421">
        <f>+'2025V1'!M27</f>
        <v>72984.2491655841</v>
      </c>
      <c r="M53" s="421">
        <f>+'2025V1'!N27</f>
        <v>70435.655834559569</v>
      </c>
      <c r="N53" s="421">
        <f>+'2025V1'!O27</f>
        <v>0</v>
      </c>
      <c r="O53" s="420">
        <f t="shared" ref="O53:O59" si="1">+SUM(C53:N53)</f>
        <v>861991.93713796756</v>
      </c>
    </row>
    <row r="54" spans="2:15">
      <c r="B54" t="s">
        <v>176</v>
      </c>
      <c r="C54" s="380">
        <f>+'2025V1'!D30</f>
        <v>109.505</v>
      </c>
      <c r="D54" s="380">
        <f>+'2025V1'!E30</f>
        <v>95.645937351226806</v>
      </c>
      <c r="E54" s="380">
        <f>+'2025V1'!F30</f>
        <v>107.82954305076599</v>
      </c>
      <c r="F54" s="380">
        <f>+'2025V1'!G30</f>
        <v>101.39997145366668</v>
      </c>
      <c r="G54" s="380">
        <f>+'2025V1'!H30</f>
        <v>108.91785338115692</v>
      </c>
      <c r="H54" s="380">
        <f>+'2025V1'!I30</f>
        <v>104.58724521446229</v>
      </c>
      <c r="I54" s="380">
        <f>+'2025V1'!J30</f>
        <v>107.45294521808624</v>
      </c>
      <c r="J54" s="380">
        <f>+'2025V1'!K30</f>
        <v>105.52322145652771</v>
      </c>
      <c r="K54" s="380">
        <f>+'2025V1'!L30</f>
        <v>101.1687472192352</v>
      </c>
      <c r="L54" s="380">
        <f>+'2025V1'!M30</f>
        <v>137.27084288787842</v>
      </c>
      <c r="M54" s="380">
        <f>+'2025V1'!N30</f>
        <v>100.0115708398819</v>
      </c>
      <c r="N54" s="380">
        <f>+'2025V1'!O30</f>
        <v>0</v>
      </c>
      <c r="O54" s="420">
        <f t="shared" si="1"/>
        <v>1179.3128780728882</v>
      </c>
    </row>
    <row r="55" spans="2:15">
      <c r="B55" t="s">
        <v>177</v>
      </c>
      <c r="C55" s="380">
        <f>+'2025V1'!D34</f>
        <v>285.0109333397354</v>
      </c>
      <c r="D55" s="380">
        <f>+'2025V1'!E34</f>
        <v>257.42923011330942</v>
      </c>
      <c r="E55" s="380">
        <f>+'2025V1'!F34</f>
        <v>335.29899999999998</v>
      </c>
      <c r="F55" s="380">
        <f>+'2025V1'!G34</f>
        <v>315.78270481708319</v>
      </c>
      <c r="G55" s="380">
        <f>+'2025V1'!H34</f>
        <v>287.06380215528571</v>
      </c>
      <c r="H55" s="380">
        <f>+'2025V1'!I34</f>
        <v>294.97438623366639</v>
      </c>
      <c r="I55" s="380">
        <f>+'2025V1'!J34</f>
        <v>296.06211569135723</v>
      </c>
      <c r="J55" s="380">
        <f>+'2025V1'!K34</f>
        <v>294.12512112010131</v>
      </c>
      <c r="K55" s="380">
        <f>+'2025V1'!L34</f>
        <v>292.83097551381883</v>
      </c>
      <c r="L55" s="380">
        <f>+'2025V1'!M34</f>
        <v>280.23168830781026</v>
      </c>
      <c r="M55" s="380">
        <f>+'2025V1'!N34</f>
        <v>282.33547255129122</v>
      </c>
      <c r="N55" s="380">
        <f>+'2025V1'!O34</f>
        <v>0</v>
      </c>
      <c r="O55" s="420">
        <f t="shared" si="1"/>
        <v>3221.1454298434587</v>
      </c>
    </row>
    <row r="56" spans="2:15">
      <c r="B56" t="s">
        <v>181</v>
      </c>
      <c r="C56" s="380">
        <f>+'2025V1'!D37</f>
        <v>1047.1598041653197</v>
      </c>
      <c r="D56" s="380">
        <f>+'2025V1'!E37</f>
        <v>1154.5879862956499</v>
      </c>
      <c r="E56" s="380">
        <f>+'2025V1'!F37</f>
        <v>1577.8313324708724</v>
      </c>
      <c r="F56" s="380">
        <f>+'2025V1'!G37</f>
        <v>1457.0334114543075</v>
      </c>
      <c r="G56" s="380">
        <f>+'2025V1'!H37</f>
        <v>1055.6661813856626</v>
      </c>
      <c r="H56" s="380">
        <f>+'2025V1'!I37</f>
        <v>996.22412829071982</v>
      </c>
      <c r="I56" s="380">
        <f>+'2025V1'!J37</f>
        <v>1025.0526632925321</v>
      </c>
      <c r="J56" s="380">
        <f>+'2025V1'!K37</f>
        <v>1035.1523457094154</v>
      </c>
      <c r="K56" s="380">
        <f>+'2025V1'!L37</f>
        <v>1049.7398051559721</v>
      </c>
      <c r="L56" s="380">
        <f>+'2025V1'!M37</f>
        <v>1077.2685164371796</v>
      </c>
      <c r="M56" s="380">
        <f>+'2025V1'!N37</f>
        <v>995.06373653828632</v>
      </c>
      <c r="N56" s="380">
        <f>+'2025V1'!O37</f>
        <v>0</v>
      </c>
      <c r="O56" s="420">
        <f t="shared" si="1"/>
        <v>12470.779911195918</v>
      </c>
    </row>
    <row r="57" spans="2:15">
      <c r="B57" t="s">
        <v>145</v>
      </c>
      <c r="C57" s="380">
        <f>+'2025V1'!D45</f>
        <v>48886.061110000002</v>
      </c>
      <c r="D57" s="380">
        <f>+'2025V1'!E45</f>
        <v>46791.178819999994</v>
      </c>
      <c r="E57" s="380">
        <f>+'2025V1'!F45</f>
        <v>51070.500180000003</v>
      </c>
      <c r="F57" s="380">
        <f>+'2025V1'!G45</f>
        <v>47908.612740000004</v>
      </c>
      <c r="G57" s="380">
        <f>+'2025V1'!H45</f>
        <v>46694.411870000004</v>
      </c>
      <c r="H57" s="380">
        <f>+'2025V1'!I45</f>
        <v>45704.833149999999</v>
      </c>
      <c r="I57" s="380">
        <f>+'2025V1'!J45</f>
        <v>47220.275300000001</v>
      </c>
      <c r="J57" s="380">
        <f>+'2025V1'!K45</f>
        <v>46554.337019999999</v>
      </c>
      <c r="K57" s="380">
        <f>+'2025V1'!L45</f>
        <v>46308.82123999999</v>
      </c>
      <c r="L57" s="380">
        <f>+'2025V1'!M45</f>
        <v>47117.009980000003</v>
      </c>
      <c r="M57" s="380">
        <f>+'2025V1'!N45</f>
        <v>45860.433539999998</v>
      </c>
      <c r="N57" s="380">
        <f>+'2025V1'!O45</f>
        <v>0</v>
      </c>
      <c r="O57" s="420">
        <f t="shared" si="1"/>
        <v>520116.47494999995</v>
      </c>
    </row>
    <row r="58" spans="2:15">
      <c r="B58" t="s">
        <v>180</v>
      </c>
      <c r="C58" s="380">
        <f>+'2025V1'!D54</f>
        <v>6040.90625</v>
      </c>
      <c r="D58" s="380">
        <f>+'2025V1'!E54</f>
        <v>8556.0684100000035</v>
      </c>
      <c r="E58" s="380">
        <f>+'2025V1'!F54</f>
        <v>5939.1035499999998</v>
      </c>
      <c r="F58" s="380">
        <f>+'2025V1'!G54</f>
        <v>5343.6322500000006</v>
      </c>
      <c r="G58" s="380">
        <f>+'2025V1'!H54</f>
        <v>5776.9386199999999</v>
      </c>
      <c r="H58" s="380">
        <f>+'2025V1'!I54</f>
        <v>5295.0810100000008</v>
      </c>
      <c r="I58" s="380">
        <f>+'2025V1'!J54</f>
        <v>5270.72919</v>
      </c>
      <c r="J58" s="380">
        <f>+'2025V1'!K54</f>
        <v>5301.9539399999994</v>
      </c>
      <c r="K58" s="380">
        <f>+'2025V1'!L54</f>
        <v>5773.8880300000001</v>
      </c>
      <c r="L58" s="380">
        <f>+'2025V1'!M54</f>
        <v>5715.499890000001</v>
      </c>
      <c r="M58" s="380">
        <f>+'2025V1'!N54</f>
        <v>5462.0493000000006</v>
      </c>
      <c r="N58" s="380">
        <f>+'2025V1'!O54</f>
        <v>0</v>
      </c>
      <c r="O58" s="420">
        <f t="shared" si="1"/>
        <v>64475.850440000002</v>
      </c>
    </row>
    <row r="59" spans="2:15">
      <c r="B59" t="s">
        <v>41</v>
      </c>
      <c r="C59" s="380">
        <f>+'2025V1'!D43</f>
        <v>6509.0677829856941</v>
      </c>
      <c r="D59" s="380">
        <f>+'2025V1'!E43</f>
        <v>22768.830881430025</v>
      </c>
      <c r="E59" s="380">
        <f>+'2025V1'!F43</f>
        <v>59247.886202993235</v>
      </c>
      <c r="F59" s="380">
        <f>+'2025V1'!G43</f>
        <v>52140.475719738039</v>
      </c>
      <c r="G59" s="380">
        <f>+'2025V1'!H43</f>
        <v>15581.658548040381</v>
      </c>
      <c r="H59" s="380">
        <f>+'2025V1'!I43</f>
        <v>15987.19421321596</v>
      </c>
      <c r="I59" s="380">
        <f>+'2025V1'!J43</f>
        <v>15856.041957408001</v>
      </c>
      <c r="J59" s="380">
        <f>+'2025V1'!K43</f>
        <v>18663.543929614556</v>
      </c>
      <c r="K59" s="380">
        <f>+'2025V1'!L43</f>
        <v>19265.0047595383</v>
      </c>
      <c r="L59" s="380">
        <f>+'2025V1'!M43</f>
        <v>18931.509933726978</v>
      </c>
      <c r="M59" s="380">
        <f>+'2025V1'!N43</f>
        <v>17935.785356309876</v>
      </c>
      <c r="N59" s="380">
        <f>+'2025V1'!O43</f>
        <v>0</v>
      </c>
      <c r="O59" s="420">
        <f t="shared" si="1"/>
        <v>262886.99928500107</v>
      </c>
    </row>
  </sheetData>
  <phoneticPr fontId="21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8098-4197-4BD8-A82F-504354E4D0B9}">
  <sheetPr codeName="Sheet25"/>
  <dimension ref="A3:EI32"/>
  <sheetViews>
    <sheetView zoomScaleNormal="100" workbookViewId="0">
      <pane xSplit="2" ySplit="3" topLeftCell="DG19" activePane="bottomRight" state="frozen"/>
      <selection pane="topRight" activeCell="C1" sqref="C1"/>
      <selection pane="bottomLeft" activeCell="A4" sqref="A4"/>
      <selection pane="bottomRight" activeCell="DX147" sqref="DX147"/>
    </sheetView>
  </sheetViews>
  <sheetFormatPr baseColWidth="10" defaultColWidth="9.140625" defaultRowHeight="12.75"/>
  <cols>
    <col min="1" max="1" width="27.85546875" bestFit="1" customWidth="1"/>
    <col min="2" max="2" width="19.28515625" bestFit="1" customWidth="1"/>
    <col min="3" max="3" width="10.42578125" bestFit="1" customWidth="1"/>
    <col min="4" max="4" width="11.28515625" bestFit="1" customWidth="1"/>
    <col min="5" max="5" width="10.28515625" bestFit="1" customWidth="1"/>
    <col min="6" max="14" width="11.28515625" bestFit="1" customWidth="1"/>
  </cols>
  <sheetData>
    <row r="3" spans="2:139">
      <c r="B3" s="404" t="s">
        <v>157</v>
      </c>
      <c r="C3" s="405">
        <v>42370</v>
      </c>
      <c r="D3" s="405">
        <f>+DATE(YEAR(C3),MONTH(C3)+1,1)</f>
        <v>42401</v>
      </c>
      <c r="E3" s="405">
        <f t="shared" ref="E3:N3" si="0">+DATE(YEAR(D3),MONTH(D3)+1,1)</f>
        <v>42430</v>
      </c>
      <c r="F3" s="405">
        <f t="shared" si="0"/>
        <v>42461</v>
      </c>
      <c r="G3" s="405">
        <f t="shared" si="0"/>
        <v>42491</v>
      </c>
      <c r="H3" s="405">
        <f t="shared" si="0"/>
        <v>42522</v>
      </c>
      <c r="I3" s="405">
        <f t="shared" si="0"/>
        <v>42552</v>
      </c>
      <c r="J3" s="405">
        <f t="shared" si="0"/>
        <v>42583</v>
      </c>
      <c r="K3" s="405">
        <f t="shared" si="0"/>
        <v>42614</v>
      </c>
      <c r="L3" s="405">
        <f t="shared" si="0"/>
        <v>42644</v>
      </c>
      <c r="M3" s="405">
        <f t="shared" si="0"/>
        <v>42675</v>
      </c>
      <c r="N3" s="405">
        <f t="shared" si="0"/>
        <v>42705</v>
      </c>
      <c r="O3" s="405">
        <f t="shared" ref="O3:Z3" si="1">+DATE(YEAR(N3),MONTH(N3)+1,1)</f>
        <v>42736</v>
      </c>
      <c r="P3" s="405">
        <f t="shared" si="1"/>
        <v>42767</v>
      </c>
      <c r="Q3" s="405">
        <f t="shared" si="1"/>
        <v>42795</v>
      </c>
      <c r="R3" s="405">
        <f t="shared" si="1"/>
        <v>42826</v>
      </c>
      <c r="S3" s="405">
        <f t="shared" si="1"/>
        <v>42856</v>
      </c>
      <c r="T3" s="405">
        <f t="shared" si="1"/>
        <v>42887</v>
      </c>
      <c r="U3" s="405">
        <f t="shared" si="1"/>
        <v>42917</v>
      </c>
      <c r="V3" s="405">
        <f t="shared" si="1"/>
        <v>42948</v>
      </c>
      <c r="W3" s="405">
        <f t="shared" si="1"/>
        <v>42979</v>
      </c>
      <c r="X3" s="405">
        <f t="shared" si="1"/>
        <v>43009</v>
      </c>
      <c r="Y3" s="405">
        <f t="shared" si="1"/>
        <v>43040</v>
      </c>
      <c r="Z3" s="405">
        <f t="shared" si="1"/>
        <v>43070</v>
      </c>
      <c r="AA3" s="405">
        <f t="shared" ref="AA3:AL3" si="2">+DATE(YEAR(Z3),MONTH(Z3)+1,1)</f>
        <v>43101</v>
      </c>
      <c r="AB3" s="405">
        <f t="shared" si="2"/>
        <v>43132</v>
      </c>
      <c r="AC3" s="405">
        <f t="shared" si="2"/>
        <v>43160</v>
      </c>
      <c r="AD3" s="405">
        <f t="shared" si="2"/>
        <v>43191</v>
      </c>
      <c r="AE3" s="405">
        <f t="shared" si="2"/>
        <v>43221</v>
      </c>
      <c r="AF3" s="405">
        <f t="shared" si="2"/>
        <v>43252</v>
      </c>
      <c r="AG3" s="405">
        <f t="shared" si="2"/>
        <v>43282</v>
      </c>
      <c r="AH3" s="405">
        <f t="shared" si="2"/>
        <v>43313</v>
      </c>
      <c r="AI3" s="405">
        <f t="shared" si="2"/>
        <v>43344</v>
      </c>
      <c r="AJ3" s="405">
        <f t="shared" si="2"/>
        <v>43374</v>
      </c>
      <c r="AK3" s="405">
        <f t="shared" si="2"/>
        <v>43405</v>
      </c>
      <c r="AL3" s="405">
        <f t="shared" si="2"/>
        <v>43435</v>
      </c>
      <c r="AM3" s="405">
        <f t="shared" ref="AM3:CX3" si="3">+DATE(YEAR(AL3),MONTH(AL3)+1,1)</f>
        <v>43466</v>
      </c>
      <c r="AN3" s="405">
        <f t="shared" si="3"/>
        <v>43497</v>
      </c>
      <c r="AO3" s="405">
        <f t="shared" si="3"/>
        <v>43525</v>
      </c>
      <c r="AP3" s="405">
        <f t="shared" si="3"/>
        <v>43556</v>
      </c>
      <c r="AQ3" s="405">
        <f t="shared" si="3"/>
        <v>43586</v>
      </c>
      <c r="AR3" s="405">
        <f t="shared" si="3"/>
        <v>43617</v>
      </c>
      <c r="AS3" s="405">
        <f t="shared" si="3"/>
        <v>43647</v>
      </c>
      <c r="AT3" s="405">
        <f t="shared" si="3"/>
        <v>43678</v>
      </c>
      <c r="AU3" s="405">
        <f t="shared" si="3"/>
        <v>43709</v>
      </c>
      <c r="AV3" s="405">
        <f t="shared" si="3"/>
        <v>43739</v>
      </c>
      <c r="AW3" s="405">
        <f t="shared" si="3"/>
        <v>43770</v>
      </c>
      <c r="AX3" s="405">
        <f t="shared" si="3"/>
        <v>43800</v>
      </c>
      <c r="AY3" s="405">
        <f t="shared" si="3"/>
        <v>43831</v>
      </c>
      <c r="AZ3" s="405">
        <f t="shared" si="3"/>
        <v>43862</v>
      </c>
      <c r="BA3" s="405">
        <f t="shared" si="3"/>
        <v>43891</v>
      </c>
      <c r="BB3" s="405">
        <f t="shared" si="3"/>
        <v>43922</v>
      </c>
      <c r="BC3" s="405">
        <f t="shared" si="3"/>
        <v>43952</v>
      </c>
      <c r="BD3" s="405">
        <f t="shared" si="3"/>
        <v>43983</v>
      </c>
      <c r="BE3" s="405">
        <f t="shared" si="3"/>
        <v>44013</v>
      </c>
      <c r="BF3" s="405">
        <f t="shared" si="3"/>
        <v>44044</v>
      </c>
      <c r="BG3" s="405">
        <f t="shared" si="3"/>
        <v>44075</v>
      </c>
      <c r="BH3" s="405">
        <f t="shared" si="3"/>
        <v>44105</v>
      </c>
      <c r="BI3" s="405">
        <f t="shared" si="3"/>
        <v>44136</v>
      </c>
      <c r="BJ3" s="405">
        <f t="shared" si="3"/>
        <v>44166</v>
      </c>
      <c r="BK3" s="405">
        <f t="shared" si="3"/>
        <v>44197</v>
      </c>
      <c r="BL3" s="405">
        <f t="shared" si="3"/>
        <v>44228</v>
      </c>
      <c r="BM3" s="405">
        <f t="shared" si="3"/>
        <v>44256</v>
      </c>
      <c r="BN3" s="405">
        <f t="shared" si="3"/>
        <v>44287</v>
      </c>
      <c r="BO3" s="405">
        <f t="shared" si="3"/>
        <v>44317</v>
      </c>
      <c r="BP3" s="405">
        <f t="shared" si="3"/>
        <v>44348</v>
      </c>
      <c r="BQ3" s="405">
        <f t="shared" si="3"/>
        <v>44378</v>
      </c>
      <c r="BR3" s="405">
        <f t="shared" si="3"/>
        <v>44409</v>
      </c>
      <c r="BS3" s="405">
        <f t="shared" si="3"/>
        <v>44440</v>
      </c>
      <c r="BT3" s="405">
        <f t="shared" si="3"/>
        <v>44470</v>
      </c>
      <c r="BU3" s="405">
        <f t="shared" si="3"/>
        <v>44501</v>
      </c>
      <c r="BV3" s="405">
        <f t="shared" si="3"/>
        <v>44531</v>
      </c>
      <c r="BW3" s="405">
        <f t="shared" si="3"/>
        <v>44562</v>
      </c>
      <c r="BX3" s="405">
        <f t="shared" si="3"/>
        <v>44593</v>
      </c>
      <c r="BY3" s="405">
        <f t="shared" si="3"/>
        <v>44621</v>
      </c>
      <c r="BZ3" s="405">
        <f t="shared" si="3"/>
        <v>44652</v>
      </c>
      <c r="CA3" s="405">
        <f t="shared" si="3"/>
        <v>44682</v>
      </c>
      <c r="CB3" s="405">
        <f t="shared" si="3"/>
        <v>44713</v>
      </c>
      <c r="CC3" s="405">
        <f t="shared" si="3"/>
        <v>44743</v>
      </c>
      <c r="CD3" s="405">
        <f t="shared" si="3"/>
        <v>44774</v>
      </c>
      <c r="CE3" s="405">
        <f t="shared" si="3"/>
        <v>44805</v>
      </c>
      <c r="CF3" s="405">
        <f t="shared" si="3"/>
        <v>44835</v>
      </c>
      <c r="CG3" s="405">
        <f t="shared" si="3"/>
        <v>44866</v>
      </c>
      <c r="CH3" s="405">
        <f t="shared" si="3"/>
        <v>44896</v>
      </c>
      <c r="CI3" s="405">
        <f t="shared" si="3"/>
        <v>44927</v>
      </c>
      <c r="CJ3" s="405">
        <f t="shared" si="3"/>
        <v>44958</v>
      </c>
      <c r="CK3" s="405">
        <f t="shared" si="3"/>
        <v>44986</v>
      </c>
      <c r="CL3" s="405">
        <f t="shared" si="3"/>
        <v>45017</v>
      </c>
      <c r="CM3" s="405">
        <f t="shared" si="3"/>
        <v>45047</v>
      </c>
      <c r="CN3" s="405">
        <f t="shared" si="3"/>
        <v>45078</v>
      </c>
      <c r="CO3" s="405">
        <f t="shared" si="3"/>
        <v>45108</v>
      </c>
      <c r="CP3" s="405">
        <f t="shared" si="3"/>
        <v>45139</v>
      </c>
      <c r="CQ3" s="405">
        <f t="shared" si="3"/>
        <v>45170</v>
      </c>
      <c r="CR3" s="405">
        <f t="shared" si="3"/>
        <v>45200</v>
      </c>
      <c r="CS3" s="405">
        <f t="shared" si="3"/>
        <v>45231</v>
      </c>
      <c r="CT3" s="405">
        <f t="shared" si="3"/>
        <v>45261</v>
      </c>
      <c r="CU3" s="405">
        <f t="shared" si="3"/>
        <v>45292</v>
      </c>
      <c r="CV3" s="405">
        <f t="shared" si="3"/>
        <v>45323</v>
      </c>
      <c r="CW3" s="405">
        <f t="shared" si="3"/>
        <v>45352</v>
      </c>
      <c r="CX3" s="405">
        <f t="shared" si="3"/>
        <v>45383</v>
      </c>
      <c r="CY3" s="405">
        <f t="shared" ref="CY3:DR3" si="4">+DATE(YEAR(CX3),MONTH(CX3)+1,1)</f>
        <v>45413</v>
      </c>
      <c r="CZ3" s="405">
        <f t="shared" si="4"/>
        <v>45444</v>
      </c>
      <c r="DA3" s="405">
        <f t="shared" si="4"/>
        <v>45474</v>
      </c>
      <c r="DB3" s="405">
        <f t="shared" si="4"/>
        <v>45505</v>
      </c>
      <c r="DC3" s="405">
        <f t="shared" si="4"/>
        <v>45536</v>
      </c>
      <c r="DD3" s="405">
        <f t="shared" si="4"/>
        <v>45566</v>
      </c>
      <c r="DE3" s="405">
        <f t="shared" si="4"/>
        <v>45597</v>
      </c>
      <c r="DF3" s="405">
        <f t="shared" si="4"/>
        <v>45627</v>
      </c>
      <c r="DG3" s="405">
        <f t="shared" si="4"/>
        <v>45658</v>
      </c>
      <c r="DH3" s="405">
        <f t="shared" si="4"/>
        <v>45689</v>
      </c>
      <c r="DI3" s="405">
        <f t="shared" si="4"/>
        <v>45717</v>
      </c>
      <c r="DJ3" s="405">
        <f t="shared" si="4"/>
        <v>45748</v>
      </c>
      <c r="DK3" s="405">
        <f t="shared" si="4"/>
        <v>45778</v>
      </c>
      <c r="DL3" s="405">
        <f t="shared" si="4"/>
        <v>45809</v>
      </c>
      <c r="DM3" s="405">
        <f t="shared" si="4"/>
        <v>45839</v>
      </c>
      <c r="DN3" s="405">
        <f t="shared" si="4"/>
        <v>45870</v>
      </c>
      <c r="DO3" s="405">
        <f t="shared" si="4"/>
        <v>45901</v>
      </c>
      <c r="DP3" s="405">
        <f t="shared" si="4"/>
        <v>45931</v>
      </c>
      <c r="DQ3" s="405">
        <f t="shared" si="4"/>
        <v>45962</v>
      </c>
      <c r="DR3" s="405">
        <f t="shared" si="4"/>
        <v>45992</v>
      </c>
      <c r="DZ3">
        <v>2016</v>
      </c>
      <c r="EA3">
        <f>+DZ3+1</f>
        <v>2017</v>
      </c>
      <c r="EB3">
        <f t="shared" ref="EB3:EI3" si="5">+EA3+1</f>
        <v>2018</v>
      </c>
      <c r="EC3">
        <f t="shared" si="5"/>
        <v>2019</v>
      </c>
      <c r="ED3">
        <f t="shared" si="5"/>
        <v>2020</v>
      </c>
      <c r="EE3">
        <f t="shared" si="5"/>
        <v>2021</v>
      </c>
      <c r="EF3">
        <f t="shared" si="5"/>
        <v>2022</v>
      </c>
      <c r="EG3">
        <f t="shared" si="5"/>
        <v>2023</v>
      </c>
      <c r="EH3">
        <f t="shared" si="5"/>
        <v>2024</v>
      </c>
      <c r="EI3">
        <f t="shared" si="5"/>
        <v>2025</v>
      </c>
    </row>
    <row r="4" spans="2:139">
      <c r="B4" t="s">
        <v>148</v>
      </c>
      <c r="C4" s="380">
        <f>+'2016 (rev3)'!C28/1000</f>
        <v>61.567066504126338</v>
      </c>
      <c r="D4" s="380">
        <f>+'2016 (rev3)'!D28/1000</f>
        <v>66.408160214047584</v>
      </c>
      <c r="E4" s="380">
        <f>+'2016 (rev3)'!E28/1000</f>
        <v>62.199981954332735</v>
      </c>
      <c r="F4" s="380">
        <f>+'2016 (rev3)'!F28/1000</f>
        <v>59.417910550665319</v>
      </c>
      <c r="G4" s="380">
        <f>+'2016 (rev3)'!G28/1000</f>
        <v>61.089623960136436</v>
      </c>
      <c r="H4" s="380">
        <f>+'2016 (rev3)'!H28/1000</f>
        <v>59.430511744705903</v>
      </c>
      <c r="I4" s="380">
        <f>+'2016 (rev3)'!I28/1000</f>
        <v>61.383133368061863</v>
      </c>
      <c r="J4" s="380">
        <f>+'2016 (rev3)'!J28/1000</f>
        <v>61.280807284408787</v>
      </c>
      <c r="K4" s="380">
        <f>+'2016 (rev3)'!K28/1000</f>
        <v>64.747479857348083</v>
      </c>
      <c r="L4" s="380">
        <f>+'2016 (rev3)'!L28/1000</f>
        <v>66.867797694016929</v>
      </c>
      <c r="M4" s="380">
        <f>+'2016 (rev3)'!M28/1000</f>
        <v>64.071134155263451</v>
      </c>
      <c r="N4" s="380">
        <f>+'2016 (rev3)'!N28/1000</f>
        <v>64.030330263130196</v>
      </c>
      <c r="O4" s="380">
        <f>+'2017'!D28/1000</f>
        <v>61.142282919574093</v>
      </c>
      <c r="P4" s="380">
        <f>+'2017'!E28/1000</f>
        <v>54.484409462320585</v>
      </c>
      <c r="Q4" s="380">
        <f>+'2017'!F28/1000</f>
        <v>56.983028025828155</v>
      </c>
      <c r="R4" s="380">
        <f>+'2017'!G28/1000</f>
        <v>84.98278471957606</v>
      </c>
      <c r="S4" s="380">
        <f>+'2017'!H28/1000</f>
        <v>67.209272125361181</v>
      </c>
      <c r="T4" s="380">
        <f>+'2017'!I28/1000</f>
        <v>64.853164249270733</v>
      </c>
      <c r="U4" s="380">
        <f>+'2017'!J28/1000</f>
        <v>72.398662503619022</v>
      </c>
      <c r="V4" s="380">
        <f>+'2017'!K28/1000</f>
        <v>72.470243422627746</v>
      </c>
      <c r="W4" s="380">
        <f>+'2017'!L28/1000</f>
        <v>75.486539444231383</v>
      </c>
      <c r="X4" s="380">
        <f>+'2017'!M28/1000</f>
        <v>78.173623781357662</v>
      </c>
      <c r="Y4" s="380">
        <f>+'2017'!N28/1000</f>
        <v>75.053467069707494</v>
      </c>
      <c r="Z4" s="380">
        <f>+'2017'!O28/1000</f>
        <v>78.157320744917115</v>
      </c>
      <c r="AA4" s="380">
        <f>+'2018-R2 (LDS)'!D28/1000</f>
        <v>89.076605471086197</v>
      </c>
      <c r="AB4" s="380">
        <f>+'2018-R2 (LDS)'!E28/1000</f>
        <v>91.831452207269564</v>
      </c>
      <c r="AC4" s="380">
        <f>+'2018-R2 (LDS)'!F28/1000</f>
        <v>108.58026092508776</v>
      </c>
      <c r="AD4" s="380">
        <f>+'2018-R2 (LDS)'!G28/1000</f>
        <v>82.39780931302127</v>
      </c>
      <c r="AE4" s="380">
        <f>+'2018-R2 (LDS)'!H28/1000</f>
        <v>67.084678381771838</v>
      </c>
      <c r="AF4" s="380">
        <f>+'2018-R2 (LDS)'!I28/1000</f>
        <v>67.034987540106485</v>
      </c>
      <c r="AG4" s="380">
        <f>+'2018-R2 (LDS)'!J28/1000</f>
        <v>74.143987693792269</v>
      </c>
      <c r="AH4" s="380">
        <f>+'2018-R2 (LDS)'!K28/1000</f>
        <v>73.728608470644645</v>
      </c>
      <c r="AI4" s="380">
        <f>+'2018-R2 (LDS)'!L28/1000</f>
        <v>70.018542238986285</v>
      </c>
      <c r="AJ4" s="380">
        <f>+'2018-R2 (LDS)'!M28/1000</f>
        <v>78.763008259738996</v>
      </c>
      <c r="AK4" s="380">
        <f>+'2018-R2 (LDS)'!N28/1000</f>
        <v>74.636334940316303</v>
      </c>
      <c r="AL4" s="380">
        <f>+'2018-R2 (LDS)'!O28/1000</f>
        <v>78.264530889224048</v>
      </c>
      <c r="AM4" s="380">
        <f>+'2019-R2'!D28/1000</f>
        <v>74.934188166091303</v>
      </c>
      <c r="AN4" s="380">
        <f>+'2019-R2'!E28/1000</f>
        <v>97.54191321699362</v>
      </c>
      <c r="AO4" s="380">
        <f>+'2019-R2'!F28/1000</f>
        <v>108.16523532858339</v>
      </c>
      <c r="AP4" s="380">
        <f>+'2019-R2'!G28/1000</f>
        <v>90.073526098213279</v>
      </c>
      <c r="AQ4" s="380">
        <f>+'2019-R2'!H28/1000</f>
        <v>71.143135094790779</v>
      </c>
      <c r="AR4" s="380">
        <f>+'2019-R2'!I28/1000</f>
        <v>69.785813307576319</v>
      </c>
      <c r="AS4" s="380">
        <f>+'2019-R2'!J28/1000</f>
        <v>71.183253297877954</v>
      </c>
      <c r="AT4" s="380">
        <f>+'2019-R2'!K28/1000</f>
        <v>72.913251805648116</v>
      </c>
      <c r="AU4" s="380">
        <f>+'2019-R2'!L28/1000</f>
        <v>70.558253802513065</v>
      </c>
      <c r="AV4" s="380">
        <f>+'2019-R2'!M28/1000</f>
        <v>78.874541926726806</v>
      </c>
      <c r="AW4" s="380">
        <f>+'2019-R2'!N28/1000</f>
        <v>81.026361450428965</v>
      </c>
      <c r="AX4" s="380">
        <f>+'2019-R2'!O28/1000</f>
        <v>75.028635576040131</v>
      </c>
      <c r="AY4" s="380">
        <f>+'2020 R2'!D28/1000</f>
        <v>92.836625345331043</v>
      </c>
      <c r="AZ4" s="380">
        <f>+'2020 R2'!E28/1000</f>
        <v>102.44221549509146</v>
      </c>
      <c r="BA4" s="380">
        <f>+'2020 R2'!F28/1000</f>
        <v>126.77899591645628</v>
      </c>
      <c r="BB4" s="380">
        <f>+'2020 R2'!G28/1000</f>
        <v>104.87340520075884</v>
      </c>
      <c r="BC4" s="380">
        <f>+'2020 R2'!H28/1000</f>
        <v>73.278571884048105</v>
      </c>
      <c r="BD4" s="380">
        <f>+'2020 R2'!I28/1000</f>
        <v>70.157800835827956</v>
      </c>
      <c r="BE4" s="380">
        <f>+'2020 R2'!J28/1000</f>
        <v>72.196912906284055</v>
      </c>
      <c r="BF4" s="380">
        <f>+'2020 R2'!K28/1000</f>
        <v>72.095727010194892</v>
      </c>
      <c r="BG4" s="380">
        <f>+'2020 R2'!L28/1000</f>
        <v>73.550316783644917</v>
      </c>
      <c r="BH4" s="380">
        <f>+'2020 R2'!M28/1000</f>
        <v>78.229384306494126</v>
      </c>
      <c r="BI4" s="380">
        <f>+'2020 R2'!N28/1000</f>
        <v>74.624332872791371</v>
      </c>
      <c r="BJ4" s="380">
        <f>+'2020 R2'!O28/1000</f>
        <v>82.658822000010304</v>
      </c>
      <c r="BK4" s="380">
        <f>+'2021-R2'!D28/1000</f>
        <v>103.73144926541302</v>
      </c>
      <c r="BL4" s="380">
        <f>+'2021-R2'!E28/1000</f>
        <v>77.567931735006979</v>
      </c>
      <c r="BM4" s="380">
        <f>+'2021-R2'!F28/1000</f>
        <v>77.444539568186201</v>
      </c>
      <c r="BN4" s="380">
        <f>+'2021-R2'!G28/1000</f>
        <v>107.79935941108496</v>
      </c>
      <c r="BO4" s="380">
        <f>+'2021-R2'!H28/1000</f>
        <v>71.805397815266502</v>
      </c>
      <c r="BP4" s="380">
        <f>+'2021-R2'!I28/1000</f>
        <v>70.035253482902931</v>
      </c>
      <c r="BQ4" s="380">
        <f>+'2021-R2'!J28/1000</f>
        <v>72.301057227797415</v>
      </c>
      <c r="BR4" s="380">
        <f>+'2021-R2'!K28/1000</f>
        <v>82.677991405165358</v>
      </c>
      <c r="BS4" s="380">
        <f>+'2021-R2'!L28/1000</f>
        <v>79.741329909562808</v>
      </c>
      <c r="BT4" s="380">
        <f>+'2021-R2'!M28/1000</f>
        <v>81.849864320844404</v>
      </c>
      <c r="BU4" s="380">
        <f>+'2021-R2'!N28/1000</f>
        <v>80.581070766352923</v>
      </c>
      <c r="BV4" s="380">
        <f>+'2021-R2'!O28/1000</f>
        <v>82.186705808062683</v>
      </c>
      <c r="BW4" s="380">
        <f>+'2022-R1'!D28/1000</f>
        <v>78.56995672754114</v>
      </c>
      <c r="BX4" s="380">
        <f>+'2022-R1'!E28/1000</f>
        <v>65.74995154843721</v>
      </c>
      <c r="BY4" s="380">
        <f>+'2022-R1'!F28/1000</f>
        <v>91.220513902863146</v>
      </c>
      <c r="BZ4" s="380">
        <f>+'2022-R1'!G28/1000</f>
        <v>73.646073255770588</v>
      </c>
      <c r="CA4" s="380">
        <f>+'2022-R1'!H28/1000</f>
        <v>72.309841697523353</v>
      </c>
      <c r="CB4" s="380">
        <f>+'2022-R1'!I28/1000</f>
        <v>69.925240406494282</v>
      </c>
      <c r="CC4" s="380">
        <f>+'2022-R1'!J28/1000</f>
        <v>72.263825307725227</v>
      </c>
      <c r="CD4" s="380">
        <f>+'2022-R1'!K28/1000</f>
        <v>83.404846011335152</v>
      </c>
      <c r="CE4" s="380">
        <f>+'2022-R1'!L28/1000</f>
        <v>79.533201114287607</v>
      </c>
      <c r="CF4" s="380">
        <f>+'2022-R1'!M28/1000</f>
        <v>83.439235704488269</v>
      </c>
      <c r="CG4" s="380">
        <f>+'2022-R1'!N28/1000</f>
        <v>77.07358374664264</v>
      </c>
      <c r="CH4" s="380">
        <f>+'2022-R1'!O28/1000</f>
        <v>77.151844560392036</v>
      </c>
      <c r="CI4" s="380">
        <f>+'2023-R1'!D28/1000</f>
        <v>65.120628437266433</v>
      </c>
      <c r="CJ4" s="380">
        <f>+'2023-R1'!E28/1000</f>
        <v>90.787952041293366</v>
      </c>
      <c r="CK4" s="380">
        <f>+'2023-R1'!F28/1000</f>
        <v>67.38514438591821</v>
      </c>
      <c r="CL4" s="380">
        <f>+'2023-R1'!G28/1000</f>
        <v>56.194410192638117</v>
      </c>
      <c r="CM4" s="380">
        <f>+'2023-R1'!H28/1000</f>
        <v>63.322651532068761</v>
      </c>
      <c r="CN4" s="380">
        <f>+'2023-R1'!I28/1000</f>
        <v>61.29440517517228</v>
      </c>
      <c r="CO4" s="380">
        <f>+'2023-R1'!J28/1000</f>
        <v>62.58829625727676</v>
      </c>
      <c r="CP4" s="380">
        <f>+'2023-R1'!K28/1000</f>
        <v>64.26915191046848</v>
      </c>
      <c r="CQ4" s="380">
        <f>+'2023-R1'!L28/1000</f>
        <v>67.380036455969531</v>
      </c>
      <c r="CR4" s="380">
        <f>+'2023-R1'!M28/1000</f>
        <v>67.971098798640398</v>
      </c>
      <c r="CS4" s="380">
        <f>+'2023-R1'!N28/1000</f>
        <v>68.618397120368527</v>
      </c>
      <c r="CT4" s="380">
        <f>+'2023-R1'!O28/1000</f>
        <v>65.104281888966028</v>
      </c>
      <c r="CU4" s="380">
        <f>+'2024-R1'!D28/1000</f>
        <v>52.841394967043179</v>
      </c>
      <c r="CV4" s="380">
        <f>+'2024-R1'!E28/1000</f>
        <v>48.462240117791204</v>
      </c>
      <c r="CW4" s="380">
        <f>+'2024-R1'!F28/1000</f>
        <v>125.43042849613097</v>
      </c>
      <c r="CX4" s="380">
        <f>+'2024-R1'!G28/1000</f>
        <v>100.30735981540555</v>
      </c>
      <c r="CY4" s="380">
        <f>+'2024-R1'!H28/1000</f>
        <v>67.392531596284002</v>
      </c>
      <c r="CZ4" s="380">
        <f>+'2024-R1'!I28/1000</f>
        <v>66.566643849286393</v>
      </c>
      <c r="DA4" s="380">
        <f>+'2024-R1'!J28/1000</f>
        <v>71.820854616497783</v>
      </c>
      <c r="DB4" s="380">
        <f>+'2024-R1'!K28/1000</f>
        <v>75.024564844191758</v>
      </c>
      <c r="DC4" s="380">
        <f>+'2024-R1'!L28/1000</f>
        <v>68.178473814152085</v>
      </c>
      <c r="DD4" s="380">
        <f>+'2024-R1'!M28/1000</f>
        <v>71.145529175433737</v>
      </c>
      <c r="DE4" s="380">
        <f>+'2024-R1'!N28/1000</f>
        <v>68.182476745971712</v>
      </c>
      <c r="DF4" s="380">
        <f>+'2024-R1'!O28/1000</f>
        <v>69.350289970301432</v>
      </c>
      <c r="DG4" s="380">
        <f>+'2025'!D28/1000</f>
        <v>62.636766069076025</v>
      </c>
      <c r="DH4" s="380">
        <f>+'2025'!E28/1000</f>
        <v>79.349593145586581</v>
      </c>
      <c r="DI4" s="380">
        <f>+'2025'!F28/1000</f>
        <v>117.97619535805157</v>
      </c>
      <c r="DJ4" s="380">
        <f>+'2025'!G28/1000</f>
        <v>107.03210019203823</v>
      </c>
      <c r="DK4" s="380">
        <f>+'2025'!H28/1000</f>
        <v>69.180174080950408</v>
      </c>
      <c r="DL4" s="380">
        <f>+'2025'!I28/1000</f>
        <v>68.135010231016423</v>
      </c>
      <c r="DM4" s="380">
        <f>+'2025'!J28/1000</f>
        <v>69.523859858195038</v>
      </c>
      <c r="DN4" s="380">
        <f>+'2025'!K28/1000</f>
        <v>71.714070399842484</v>
      </c>
      <c r="DO4" s="380">
        <f>+'2025'!L28/1000</f>
        <v>72.195330525175919</v>
      </c>
      <c r="DP4" s="380">
        <f>+'2025'!M28/1000</f>
        <v>72.984249165584103</v>
      </c>
      <c r="DQ4" s="380">
        <f>+'2025'!N28/1000</f>
        <v>70.417114670916689</v>
      </c>
      <c r="DR4" s="380"/>
      <c r="DZ4" s="377">
        <f t="shared" ref="DZ4:DZ12" si="6">+SUMIFS($C4:$DR4,$C$3:$DR$3,"&gt;="&amp;DATE(DZ$3,1,1),$C$3:$DR$3,"&lt;="&amp;DATE(DZ$3,12,31))</f>
        <v>752.49393755024369</v>
      </c>
      <c r="EA4" s="377">
        <f t="shared" ref="EA4:EI12" si="7">+SUMIFS($C4:$DR4,$C$3:$DR$3,"&gt;="&amp;DATE(EA$3,1,1),$C$3:$DR$3,"&lt;="&amp;DATE(EA$3,12,31))</f>
        <v>841.39479846839117</v>
      </c>
      <c r="EB4" s="377">
        <f t="shared" si="7"/>
        <v>955.56080633104557</v>
      </c>
      <c r="EC4" s="377">
        <f t="shared" si="7"/>
        <v>961.22810907148369</v>
      </c>
      <c r="ED4" s="377">
        <f t="shared" si="7"/>
        <v>1023.7231105569333</v>
      </c>
      <c r="EE4" s="377">
        <f t="shared" si="7"/>
        <v>987.72195071564613</v>
      </c>
      <c r="EF4" s="377">
        <f t="shared" si="7"/>
        <v>924.28811398350069</v>
      </c>
      <c r="EG4" s="377">
        <f t="shared" si="7"/>
        <v>800.03645419604686</v>
      </c>
      <c r="EH4" s="377">
        <f t="shared" si="7"/>
        <v>884.70278800848985</v>
      </c>
      <c r="EI4" s="377">
        <f t="shared" si="7"/>
        <v>861.14446369643338</v>
      </c>
    </row>
    <row r="5" spans="2:139">
      <c r="B5" t="s">
        <v>149</v>
      </c>
      <c r="C5" s="380">
        <f>+'2016 (rev3)'!C29/1000</f>
        <v>38.626081715779939</v>
      </c>
      <c r="D5" s="380">
        <f>+'2016 (rev3)'!D29/1000</f>
        <v>44.840218248802614</v>
      </c>
      <c r="E5" s="380">
        <f>+'2016 (rev3)'!E29/1000</f>
        <v>38.130389823999181</v>
      </c>
      <c r="F5" s="380">
        <f>+'2016 (rev3)'!F29/1000</f>
        <v>45.617715600132748</v>
      </c>
      <c r="G5" s="380">
        <f>+'2016 (rev3)'!G29/1000</f>
        <v>53.266894562541246</v>
      </c>
      <c r="H5" s="380">
        <f>+'2016 (rev3)'!H29/1000</f>
        <v>51.484686660275969</v>
      </c>
      <c r="I5" s="380">
        <f>+'2016 (rev3)'!I29/1000</f>
        <v>53.426959630407481</v>
      </c>
      <c r="J5" s="380">
        <f>+'2016 (rev3)'!J29/1000</f>
        <v>58.31581553369206</v>
      </c>
      <c r="K5" s="380">
        <f>+'2016 (rev3)'!K29/1000</f>
        <v>50.800874566159308</v>
      </c>
      <c r="L5" s="380">
        <f>+'2016 (rev3)'!L29/1000</f>
        <v>54.33690744788445</v>
      </c>
      <c r="M5" s="380">
        <f>+'2016 (rev3)'!M29/1000</f>
        <v>56.720937567992934</v>
      </c>
      <c r="N5" s="380">
        <f>+'2016 (rev3)'!N29/1000</f>
        <v>47.566580240069975</v>
      </c>
      <c r="O5" s="380">
        <f>+'2017'!D29/1000</f>
        <v>37.884227385104055</v>
      </c>
      <c r="P5" s="380">
        <f>+'2017'!E29/1000</f>
        <v>31.468039481987045</v>
      </c>
      <c r="Q5" s="380">
        <f>+'2017'!F29/1000</f>
        <v>38.333420529524666</v>
      </c>
      <c r="R5" s="380">
        <f>+'2017'!G29/1000</f>
        <v>29.288634471402872</v>
      </c>
      <c r="S5" s="380">
        <f>+'2017'!H29/1000</f>
        <v>55.300974414746015</v>
      </c>
      <c r="T5" s="380">
        <f>+'2017'!I29/1000</f>
        <v>56.264951991505328</v>
      </c>
      <c r="U5" s="380">
        <f>+'2017'!J29/1000</f>
        <v>60.779371302797578</v>
      </c>
      <c r="V5" s="380">
        <f>+'2017'!K29/1000</f>
        <v>60.148706397682943</v>
      </c>
      <c r="W5" s="380">
        <f>+'2017'!L29/1000</f>
        <v>44.89870299634908</v>
      </c>
      <c r="X5" s="380">
        <f>+'2017'!M29/1000</f>
        <v>52.127985229351339</v>
      </c>
      <c r="Y5" s="380">
        <f>+'2017'!N29/1000</f>
        <v>47.810845789993181</v>
      </c>
      <c r="Z5" s="380">
        <f>+'2017'!O29/1000</f>
        <v>49.422494496734615</v>
      </c>
      <c r="AA5" s="380">
        <f>+'2018-R2 (LDS)'!D29/1000</f>
        <v>27.513734643887613</v>
      </c>
      <c r="AB5" s="380">
        <f>+'2018-R2 (LDS)'!E29/1000</f>
        <v>10.907846291937627</v>
      </c>
      <c r="AC5" s="380">
        <f>+'2018-R2 (LDS)'!F29/1000</f>
        <v>6.5311074065322581</v>
      </c>
      <c r="AD5" s="380">
        <f>+'2018-R2 (LDS)'!G29/1000</f>
        <v>4.0489795360808385</v>
      </c>
      <c r="AE5" s="380">
        <f>+'2018-R2 (LDS)'!H29/1000</f>
        <v>6.7355071228047914</v>
      </c>
      <c r="AF5" s="380">
        <f>+'2018-R2 (LDS)'!I29/1000</f>
        <v>3.9456361897640226</v>
      </c>
      <c r="AG5" s="380">
        <f>+'2018-R2 (LDS)'!J29/1000</f>
        <v>1.5795852976885576</v>
      </c>
      <c r="AH5" s="380">
        <f>+'2018-R2 (LDS)'!K29/1000</f>
        <v>1.4677571017732649</v>
      </c>
      <c r="AI5" s="380">
        <f>+'2018-R2 (LDS)'!L29/1000</f>
        <v>0.79322606414761776</v>
      </c>
      <c r="AJ5" s="380">
        <f>+'2018-R2 (LDS)'!M29/1000</f>
        <v>1.3594774326375105</v>
      </c>
      <c r="AK5" s="380">
        <f>+'2018-R2 (LDS)'!N29/1000</f>
        <v>8.3239078109382003</v>
      </c>
      <c r="AL5" s="380">
        <f>+'2018-R2 (LDS)'!O29/1000</f>
        <v>12.816476047472481</v>
      </c>
      <c r="AM5" s="380">
        <f>+'2019-R2'!D29/1000</f>
        <v>9.6204093471485486</v>
      </c>
      <c r="AN5" s="380">
        <f>+'2019-R2'!E29/1000</f>
        <v>12.045994730878771</v>
      </c>
      <c r="AO5" s="380">
        <f>+'2019-R2'!F29/1000</f>
        <v>9.4254727835436025</v>
      </c>
      <c r="AP5" s="380">
        <f>+'2019-R2'!G29/1000</f>
        <v>2.6919346852381846E-2</v>
      </c>
      <c r="AQ5" s="380">
        <f>+'2019-R2'!H29/1000</f>
        <v>2.0240179656982424E-2</v>
      </c>
      <c r="AR5" s="380">
        <f>+'2019-R2'!I29/1000</f>
        <v>2.6213820617675784E-2</v>
      </c>
      <c r="AS5" s="380">
        <f>+'2019-R2'!J29/1000</f>
        <v>3.7413505357384677E-2</v>
      </c>
      <c r="AT5" s="380">
        <f>+'2019-R2'!K29/1000</f>
        <v>1.0883161726774764E-2</v>
      </c>
      <c r="AU5" s="380">
        <f>+'2019-R2'!L29/1000</f>
        <v>0.34961303425709728</v>
      </c>
      <c r="AV5" s="380">
        <f>+'2019-R2'!M29/1000</f>
        <v>3.246616606395681E-2</v>
      </c>
      <c r="AW5" s="380">
        <f>+'2019-R2'!N29/1000</f>
        <v>4.37204820098877E-2</v>
      </c>
      <c r="AX5" s="380">
        <f>+'2019-R2'!O29/1000</f>
        <v>0.11403310431754522</v>
      </c>
      <c r="AY5" s="380">
        <f>+'2020 R2'!D29/1000</f>
        <v>2.1151363297047879E-2</v>
      </c>
      <c r="AZ5" s="380">
        <f>+'2020 R2'!E29/1000</f>
        <v>4.1879473379645094E-2</v>
      </c>
      <c r="BA5" s="380">
        <f>+'2020 R2'!F29/1000</f>
        <v>9.3851548099517816E-4</v>
      </c>
      <c r="BB5" s="380">
        <f>+'2020 R2'!G29/1000</f>
        <v>1.8146383666992189E-3</v>
      </c>
      <c r="BC5" s="380">
        <f>+'2020 R2'!H29/1000</f>
        <v>3.4152294490203249E-3</v>
      </c>
      <c r="BD5" s="380">
        <f>+'2020 R2'!I29/1000</f>
        <v>1.667393748186587E-3</v>
      </c>
      <c r="BE5" s="380">
        <f>+'2020 R2'!J29/1000</f>
        <v>3.5564135079628324E-3</v>
      </c>
      <c r="BF5" s="380">
        <f>+'2020 R2'!K29/1000</f>
        <v>1.7456691998542664E-3</v>
      </c>
      <c r="BG5" s="380">
        <f>+'2020 R2'!L29/1000</f>
        <v>2.3777643438636416E-2</v>
      </c>
      <c r="BH5" s="380">
        <f>+'2020 R2'!M29/1000</f>
        <v>5.0988185106721713E-2</v>
      </c>
      <c r="BI5" s="380">
        <f>+'2020 R2'!N29/1000</f>
        <v>5.0404546267491766E-2</v>
      </c>
      <c r="BJ5" s="380">
        <f>+'2020 R2'!O29/1000</f>
        <v>2.813740519238072E-2</v>
      </c>
      <c r="BK5" s="380">
        <f>+'2021-R2'!D29/1000</f>
        <v>2.9758904418945315E-3</v>
      </c>
      <c r="BL5" s="380">
        <f>+'2021-R2'!E29/1000</f>
        <v>6.0929191718295328E-3</v>
      </c>
      <c r="BM5" s="380">
        <f>+'2021-R2'!F29/1000</f>
        <v>2.9530430233717462E-2</v>
      </c>
      <c r="BN5" s="380">
        <f>+'2021-R2'!G29/1000</f>
        <v>1.8313200101896545E-2</v>
      </c>
      <c r="BO5" s="380">
        <f>+'2021-R2'!H29/1000</f>
        <v>5.1917502859456205E-2</v>
      </c>
      <c r="BP5" s="380">
        <f>+'2021-R2'!I29/1000</f>
        <v>3.8723168267362053E-3</v>
      </c>
      <c r="BQ5" s="380">
        <f>+'2021-R2'!J29/1000</f>
        <v>6.9612412113771047E-2</v>
      </c>
      <c r="BR5" s="380">
        <f>+'2021-R2'!K29/1000</f>
        <v>1.2954900040004642E-2</v>
      </c>
      <c r="BS5" s="380">
        <f>+'2021-R2'!L29/1000</f>
        <v>7.7466549249787367E-2</v>
      </c>
      <c r="BT5" s="380">
        <f>+'2021-R2'!M29/1000</f>
        <v>2.5060964653837177E-2</v>
      </c>
      <c r="BU5" s="380">
        <f>+'2021-R2'!N29/1000</f>
        <v>3.7305728566034428E-3</v>
      </c>
      <c r="BV5" s="380">
        <f>+'2021-R2'!O29/1000</f>
        <v>5.3752254999999999E-2</v>
      </c>
      <c r="BW5" s="380">
        <f>+'2022-R1'!D29/1000</f>
        <v>3.9121236070961574E-2</v>
      </c>
      <c r="BX5" s="380">
        <f>+'2022-R1'!E29/1000</f>
        <v>2.6004404616383977E-2</v>
      </c>
      <c r="BY5" s="380">
        <f>+'2022-R1'!F29/1000</f>
        <v>3.1040768379717455E-2</v>
      </c>
      <c r="BZ5" s="380">
        <f>+'2022-R1'!G29/1000</f>
        <v>2.3895357324554816E-2</v>
      </c>
      <c r="CA5" s="380">
        <f>+'2022-R1'!H29/1000</f>
        <v>3.7619538971058207E-2</v>
      </c>
      <c r="CB5" s="380">
        <f>+'2022-R1'!I29/1000</f>
        <v>4.3144192668205565E-2</v>
      </c>
      <c r="CC5" s="380">
        <f>+'2022-R1'!J29/1000</f>
        <v>8.3692802430869503E-2</v>
      </c>
      <c r="CD5" s="380">
        <f>+'2022-R1'!K29/1000</f>
        <v>4.0905771156311034E-2</v>
      </c>
      <c r="CE5" s="380">
        <f>+'2022-R1'!L29/1000</f>
        <v>0.48067968701503372</v>
      </c>
      <c r="CF5" s="380">
        <f>+'2022-R1'!M29/1000</f>
        <v>0.14494519553191754</v>
      </c>
      <c r="CG5" s="380">
        <f>+'2022-R1'!N29/1000</f>
        <v>3.0441012557230627</v>
      </c>
      <c r="CH5" s="380">
        <f>+'2022-R1'!O29/1000</f>
        <v>0.22066359651184081</v>
      </c>
      <c r="CI5" s="380">
        <f>+'2023-R1'!D29/1000</f>
        <v>6.882715797424316E-3</v>
      </c>
      <c r="CJ5" s="380">
        <f>+'2023-R1'!E29/1000</f>
        <v>3.8126038367599251E-2</v>
      </c>
      <c r="CK5" s="380">
        <f>+'2023-R1'!F29/1000</f>
        <v>8.7283748056072849E-2</v>
      </c>
      <c r="CL5" s="380">
        <f>+'2023-R1'!G29/1000</f>
        <v>2.7669551733970642E-2</v>
      </c>
      <c r="CM5" s="380">
        <f>+'2023-R1'!H29/1000</f>
        <v>0.10098932579803467</v>
      </c>
      <c r="CN5" s="380">
        <f>+'2023-R1'!I29/1000</f>
        <v>8.4883284379959095E-2</v>
      </c>
      <c r="CO5" s="380">
        <f>+'2023-R1'!J29/1000</f>
        <v>0.45706072324371338</v>
      </c>
      <c r="CP5" s="380">
        <f>+'2023-R1'!K29/1000</f>
        <v>0.58724409572229286</v>
      </c>
      <c r="CQ5" s="380">
        <f>+'2023-R1'!L29/1000</f>
        <v>6.60599530324575E-2</v>
      </c>
      <c r="CR5" s="380">
        <f>+'2023-R1'!M29/1000</f>
        <v>1.3635068941593168E-2</v>
      </c>
      <c r="CS5" s="380">
        <f>+'2023-R1'!N29/1000</f>
        <v>0.49062657478666299</v>
      </c>
      <c r="CT5" s="380">
        <f>+'2023-R1'!O29/1000</f>
        <v>1.7076840209960936E-3</v>
      </c>
      <c r="CU5" s="380">
        <f>+'2024-R1'!D29/1000</f>
        <v>3.5130200664520266E-2</v>
      </c>
      <c r="CV5" s="380">
        <f>+'2024-R1'!E29/1000</f>
        <v>5.9090877063522583E-2</v>
      </c>
      <c r="CW5" s="380">
        <f>+'2024-R1'!F29/1000</f>
        <v>3.8062149368286127E-2</v>
      </c>
      <c r="CX5" s="380">
        <f>+'2024-R1'!G29/1000</f>
        <v>5.3205307704292236E-2</v>
      </c>
      <c r="CY5" s="380">
        <f>+'2024-R1'!H29/1000</f>
        <v>1.6660364700317384E-2</v>
      </c>
      <c r="CZ5" s="380">
        <f>+'2024-R1'!I29/1000</f>
        <v>6.7907766894047664E-2</v>
      </c>
      <c r="DA5" s="380">
        <f>+'2024-R1'!J29/1000</f>
        <v>7.6586324864864358E-2</v>
      </c>
      <c r="DB5" s="380">
        <f>+'2024-R1'!K29/1000</f>
        <v>2.2778220776081083E-2</v>
      </c>
      <c r="DC5" s="380">
        <f>+'2024-R1'!L29/1000</f>
        <v>0.11145462552642822</v>
      </c>
      <c r="DD5" s="380">
        <f>+'2024-R1'!M29/1000</f>
        <v>6.0963864105701447E-2</v>
      </c>
      <c r="DE5" s="380">
        <f>+'2024-R1'!N29/1000</f>
        <v>2.030673850250244E-2</v>
      </c>
      <c r="DF5" s="380">
        <f>+'2024-R1'!O29/1000</f>
        <v>8.5216462806701671E-2</v>
      </c>
      <c r="DG5" s="380">
        <f>+'2025'!D29/1000</f>
        <v>2.1934811414718629E-2</v>
      </c>
      <c r="DH5" s="380">
        <f>+'2025'!E29/1000</f>
        <v>8.2856244901180279E-2</v>
      </c>
      <c r="DI5" s="380">
        <f>+'2025'!F29/1000</f>
        <v>8.6595364361762989E-2</v>
      </c>
      <c r="DJ5" s="380">
        <f>+'2025'!G29/1000</f>
        <v>3.2036662517547602E-2</v>
      </c>
      <c r="DK5" s="380">
        <f>+'2025'!H29/1000</f>
        <v>0.10664708724975586</v>
      </c>
      <c r="DL5" s="380">
        <f>+'2025'!I29/1000</f>
        <v>3.8709411509446796E-2</v>
      </c>
      <c r="DM5" s="380">
        <f>+'2025'!J29/1000</f>
        <v>3.6848422978778529E-2</v>
      </c>
      <c r="DN5" s="380">
        <f>+'2025'!K29/1000</f>
        <v>2.951873514506221E-2</v>
      </c>
      <c r="DO5" s="380">
        <f>+'2025'!L29/1000</f>
        <v>0.39378553781294828</v>
      </c>
      <c r="DP5" s="380">
        <f>+'2025'!M29/1000</f>
        <v>0</v>
      </c>
      <c r="DQ5" s="380">
        <f>+'2025'!N29/1000</f>
        <v>1.8541163642883302E-2</v>
      </c>
      <c r="DR5" s="380"/>
      <c r="DZ5" s="377">
        <f t="shared" si="6"/>
        <v>593.13406159773785</v>
      </c>
      <c r="EA5" s="377">
        <f t="shared" si="7"/>
        <v>563.72835448717876</v>
      </c>
      <c r="EB5" s="377">
        <f t="shared" si="7"/>
        <v>86.023240945664767</v>
      </c>
      <c r="EC5" s="377">
        <f t="shared" si="7"/>
        <v>31.753379662430614</v>
      </c>
      <c r="ED5" s="377">
        <f t="shared" si="7"/>
        <v>0.229476476434642</v>
      </c>
      <c r="EE5" s="377">
        <f t="shared" si="7"/>
        <v>0.35527991354953414</v>
      </c>
      <c r="EF5" s="377">
        <f t="shared" si="7"/>
        <v>4.2158138063999164</v>
      </c>
      <c r="EG5" s="377">
        <f t="shared" si="7"/>
        <v>1.9621687638807768</v>
      </c>
      <c r="EH5" s="377">
        <f t="shared" si="7"/>
        <v>0.64736290297726551</v>
      </c>
      <c r="EI5" s="377">
        <f t="shared" si="7"/>
        <v>0.84747344153408444</v>
      </c>
    </row>
    <row r="6" spans="2:139">
      <c r="B6" t="s">
        <v>152</v>
      </c>
      <c r="C6" s="380">
        <f>+'2016 (rev3)'!C30/1000</f>
        <v>0</v>
      </c>
      <c r="D6" s="380">
        <f>+'2016 (rev3)'!D30/1000</f>
        <v>0</v>
      </c>
      <c r="E6" s="380">
        <f>+'2016 (rev3)'!E30/1000</f>
        <v>0</v>
      </c>
      <c r="F6" s="380">
        <f>+'2016 (rev3)'!F30/1000</f>
        <v>0</v>
      </c>
      <c r="G6" s="380">
        <f>+'2016 (rev3)'!G30/1000</f>
        <v>0</v>
      </c>
      <c r="H6" s="380">
        <f>+'2016 (rev3)'!H30/1000</f>
        <v>0</v>
      </c>
      <c r="I6" s="380">
        <f>+'2016 (rev3)'!I30/1000</f>
        <v>0</v>
      </c>
      <c r="J6" s="380">
        <f>+'2016 (rev3)'!J30/1000</f>
        <v>0</v>
      </c>
      <c r="K6" s="380">
        <f>+'2016 (rev3)'!K30/1000</f>
        <v>0</v>
      </c>
      <c r="L6" s="380">
        <f>+'2016 (rev3)'!L30/1000</f>
        <v>0</v>
      </c>
      <c r="M6" s="380">
        <f>+'2016 (rev3)'!M30/1000</f>
        <v>0</v>
      </c>
      <c r="N6" s="380">
        <f>+'2016 (rev3)'!N30/1000</f>
        <v>0</v>
      </c>
      <c r="O6" s="380">
        <f>+'2017'!D30/1000</f>
        <v>0</v>
      </c>
      <c r="P6" s="380">
        <f>+'2017'!E30/1000</f>
        <v>0</v>
      </c>
      <c r="Q6" s="380">
        <f>+'2017'!F30/1000</f>
        <v>0</v>
      </c>
      <c r="R6" s="380">
        <f>+'2017'!G30/1000</f>
        <v>0</v>
      </c>
      <c r="S6" s="380">
        <f>+'2017'!H30/1000</f>
        <v>0</v>
      </c>
      <c r="T6" s="380">
        <f>+'2017'!I30/1000</f>
        <v>0</v>
      </c>
      <c r="U6" s="380">
        <f>+'2017'!J30/1000</f>
        <v>0</v>
      </c>
      <c r="V6" s="380">
        <f>+'2017'!K30/1000</f>
        <v>0</v>
      </c>
      <c r="W6" s="380">
        <f>+'2017'!L30/1000</f>
        <v>0</v>
      </c>
      <c r="X6" s="380">
        <f>+'2017'!M30/1000</f>
        <v>0</v>
      </c>
      <c r="Y6" s="380">
        <f>+'2017'!N30/1000</f>
        <v>0</v>
      </c>
      <c r="Z6" s="380">
        <f>+'2017'!O30/1000</f>
        <v>0</v>
      </c>
      <c r="AA6" s="380">
        <f>+'2018-R2 (LDS)'!D30/1000</f>
        <v>0</v>
      </c>
      <c r="AB6" s="380">
        <f>+'2018-R2 (LDS)'!E30/1000</f>
        <v>0</v>
      </c>
      <c r="AC6" s="380">
        <f>+'2018-R2 (LDS)'!F30/1000</f>
        <v>0</v>
      </c>
      <c r="AD6" s="380">
        <f>+'2018-R2 (LDS)'!G30/1000</f>
        <v>0</v>
      </c>
      <c r="AE6" s="380">
        <f>+'2018-R2 (LDS)'!H30/1000</f>
        <v>0</v>
      </c>
      <c r="AF6" s="380">
        <f>+'2018-R2 (LDS)'!I30/1000</f>
        <v>0</v>
      </c>
      <c r="AG6" s="380">
        <f>+'2018-R2 (LDS)'!J30/1000</f>
        <v>4.1118636101969006</v>
      </c>
      <c r="AH6" s="380">
        <f>+'2018-R2 (LDS)'!K30/1000</f>
        <v>1.9054540713962</v>
      </c>
      <c r="AI6" s="380">
        <f>+'2018-R2 (LDS)'!L30/1000</f>
        <v>0</v>
      </c>
      <c r="AJ6" s="380">
        <f>+'2018-R2 (LDS)'!M30/1000</f>
        <v>1.6620305691945001</v>
      </c>
      <c r="AK6" s="380">
        <f>+'2018-R2 (LDS)'!N30/1000</f>
        <v>0</v>
      </c>
      <c r="AL6" s="380">
        <f>+'2018-R2 (LDS)'!O30/1000</f>
        <v>0</v>
      </c>
      <c r="AM6" s="380">
        <f>+'2019-R2'!D30/1000</f>
        <v>0</v>
      </c>
      <c r="AN6" s="380">
        <f>+'2019-R2'!E30/1000</f>
        <v>0</v>
      </c>
      <c r="AO6" s="380">
        <f>+'2019-R2'!F30/1000</f>
        <v>0</v>
      </c>
      <c r="AP6" s="380">
        <f>+'2019-R2'!G30/1000</f>
        <v>0</v>
      </c>
      <c r="AQ6" s="380">
        <f>+'2019-R2'!H30/1000</f>
        <v>0</v>
      </c>
      <c r="AR6" s="380">
        <f>+'2019-R2'!I30/1000</f>
        <v>0</v>
      </c>
      <c r="AS6" s="380">
        <f>+'2019-R2'!J30/1000</f>
        <v>0</v>
      </c>
      <c r="AT6" s="380">
        <f>+'2019-R2'!K30/1000</f>
        <v>0</v>
      </c>
      <c r="AU6" s="380">
        <f>+'2019-R2'!L30/1000</f>
        <v>0</v>
      </c>
      <c r="AV6" s="380">
        <f>+'2019-R2'!M30/1000</f>
        <v>0</v>
      </c>
      <c r="AW6" s="380">
        <f>+'2019-R2'!N30/1000</f>
        <v>0</v>
      </c>
      <c r="AX6" s="380">
        <f>+'2019-R2'!O30/1000</f>
        <v>0</v>
      </c>
      <c r="AY6" s="380">
        <f>+'2020 R2'!D30/1000</f>
        <v>0</v>
      </c>
      <c r="AZ6" s="380">
        <f>+'2020 R2'!E30/1000</f>
        <v>0</v>
      </c>
      <c r="BA6" s="380">
        <f>+'2020 R2'!F30/1000</f>
        <v>0</v>
      </c>
      <c r="BB6" s="380">
        <f>+'2020 R2'!G30/1000</f>
        <v>0</v>
      </c>
      <c r="BC6" s="380">
        <f>+'2020 R2'!H30/1000</f>
        <v>0</v>
      </c>
      <c r="BD6" s="380">
        <f>+'2020 R2'!I30/1000</f>
        <v>0</v>
      </c>
      <c r="BE6" s="380">
        <f>+'2020 R2'!J30/1000</f>
        <v>0</v>
      </c>
      <c r="BF6" s="380">
        <f>+'2020 R2'!K30/1000</f>
        <v>0</v>
      </c>
      <c r="BG6" s="380">
        <f>+'2020 R2'!L30/1000</f>
        <v>0</v>
      </c>
      <c r="BH6" s="380">
        <f>+'2020 R2'!M30/1000</f>
        <v>0</v>
      </c>
      <c r="BI6" s="380">
        <f>+'2020 R2'!N30/1000</f>
        <v>0</v>
      </c>
      <c r="BJ6" s="380">
        <f>+'2020 R2'!O30/1000</f>
        <v>0</v>
      </c>
      <c r="BK6" s="380">
        <f>+'2021-R2'!D30/1000</f>
        <v>0</v>
      </c>
      <c r="BL6" s="380">
        <f>+'2021-R2'!E30/1000</f>
        <v>0</v>
      </c>
      <c r="BM6" s="380">
        <f>+'2021-R2'!F30/1000</f>
        <v>0</v>
      </c>
      <c r="BN6" s="380">
        <f>+'2021-R2'!G30/1000</f>
        <v>0</v>
      </c>
      <c r="BO6" s="380">
        <f>+'2021-R2'!H30/1000</f>
        <v>0</v>
      </c>
      <c r="BP6" s="380">
        <f>+'2021-R2'!I30/1000</f>
        <v>0</v>
      </c>
      <c r="BQ6" s="380">
        <f>+'2021-R2'!J30/1000</f>
        <v>0.1583495632652</v>
      </c>
      <c r="BR6" s="380">
        <f>+'2021-R2'!K30/1000</f>
        <v>0.15682953627200003</v>
      </c>
      <c r="BS6" s="380">
        <f>+'2021-R2'!L30/1000</f>
        <v>0.14998760319423676</v>
      </c>
      <c r="BT6" s="380">
        <f>+'2021-R2'!M30/1000</f>
        <v>0.15382518224525452</v>
      </c>
      <c r="BU6" s="380">
        <f>+'2021-R2'!N30/1000</f>
        <v>0.145401581477165</v>
      </c>
      <c r="BV6" s="380">
        <f>+'2021-R2'!O30/1000</f>
        <v>0.14920185</v>
      </c>
      <c r="BW6" s="380">
        <f>+'2022-R1'!D30/1000</f>
        <v>0.15028168</v>
      </c>
      <c r="BX6" s="380">
        <f>+'2022-R1'!E30/1000</f>
        <v>3.843629274359607</v>
      </c>
      <c r="BY6" s="380">
        <f>+'2022-R1'!F30/1000</f>
        <v>0.155945498031616</v>
      </c>
      <c r="BZ6" s="380">
        <f>+'2022-R1'!G30/1000</f>
        <v>0.13957567862419359</v>
      </c>
      <c r="CA6" s="380">
        <f>+'2022-R1'!H30/1000</f>
        <v>0.14587514999999998</v>
      </c>
      <c r="CB6" s="380">
        <f>+'2022-R1'!I30/1000</f>
        <v>0.14245681959814455</v>
      </c>
      <c r="CC6" s="380">
        <f>+'2022-R1'!J30/1000</f>
        <v>0.13375884400708732</v>
      </c>
      <c r="CD6" s="380">
        <f>+'2022-R1'!K30/1000</f>
        <v>0.14673445475482941</v>
      </c>
      <c r="CE6" s="380">
        <f>+'2022-R1'!L30/1000</f>
        <v>0.13955523</v>
      </c>
      <c r="CF6" s="380">
        <f>+'2022-R1'!M30/1000</f>
        <v>0.12850700000000001</v>
      </c>
      <c r="CG6" s="380">
        <f>+'2022-R1'!N30/1000</f>
        <v>0.11162695088481903</v>
      </c>
      <c r="CH6" s="380">
        <f>+'2022-R1'!O30/1000</f>
        <v>0.11756939999999999</v>
      </c>
      <c r="CI6" s="380">
        <f>+'2023-R1'!D30/1000</f>
        <v>9.5738166320851956</v>
      </c>
      <c r="CJ6" s="380">
        <f>+'2023-R1'!E30/1000</f>
        <v>9.7081334972381597E-2</v>
      </c>
      <c r="CK6" s="380">
        <f>+'2023-R1'!F30/1000</f>
        <v>12.694837979280686</v>
      </c>
      <c r="CL6" s="380">
        <f>+'2023-R1'!G30/1000</f>
        <v>19.430990466902301</v>
      </c>
      <c r="CM6" s="380">
        <f>+'2023-R1'!H30/1000</f>
        <v>8.7702694640932499</v>
      </c>
      <c r="CN6" s="380">
        <f>+'2023-R1'!I30/1000</f>
        <v>6.7426802883768282</v>
      </c>
      <c r="CO6" s="380">
        <f>+'2023-R1'!J30/1000</f>
        <v>5.3091190500342398</v>
      </c>
      <c r="CP6" s="380">
        <f>+'2023-R1'!K30/1000</f>
        <v>4.3974822330230277</v>
      </c>
      <c r="CQ6" s="380">
        <f>+'2023-R1'!L30/1000</f>
        <v>3.1661253223296035</v>
      </c>
      <c r="CR6" s="380">
        <f>+'2023-R1'!M30/1000</f>
        <v>5.0157088530318008</v>
      </c>
      <c r="CS6" s="380">
        <f>+'2023-R1'!N30/1000</f>
        <v>3.681108122629305</v>
      </c>
      <c r="CT6" s="380">
        <f>+'2023-R1'!O30/1000</f>
        <v>11.378424916820091</v>
      </c>
      <c r="CU6" s="380">
        <f>+'2024-R1'!D30/1000</f>
        <v>0.82335785509759696</v>
      </c>
      <c r="CV6" s="380">
        <f>+'2024-R1'!E30/1000</f>
        <v>3.3400947470195099</v>
      </c>
      <c r="CW6" s="380">
        <f>+'2024-R1'!F30/1000</f>
        <v>0.111468</v>
      </c>
      <c r="CX6" s="380">
        <f>+'2024-R1'!G30/1000</f>
        <v>0.106437</v>
      </c>
      <c r="CY6" s="380">
        <f>+'2024-R1'!H30/1000</f>
        <v>0.11015900000000001</v>
      </c>
      <c r="CZ6" s="380">
        <f>+'2024-R1'!I30/1000</f>
        <v>0.106299</v>
      </c>
      <c r="DA6" s="380">
        <f>+'2024-R1'!J30/1000</f>
        <v>0.11312999999999999</v>
      </c>
      <c r="DB6" s="380">
        <f>+'2024-R1'!K30/1000</f>
        <v>0.11200300000000001</v>
      </c>
      <c r="DC6" s="380">
        <f>+'2024-R1'!L30/1000</f>
        <v>0.110446</v>
      </c>
      <c r="DD6" s="380">
        <f>+'2024-R1'!M30/1000</f>
        <v>0.109891</v>
      </c>
      <c r="DE6" s="380">
        <f>+'2024-R1'!N30/1000</f>
        <v>0.10575</v>
      </c>
      <c r="DF6" s="380">
        <f>+'2024-R1'!O30/1000</f>
        <v>0.11143800000000001</v>
      </c>
      <c r="DG6" s="380">
        <f>+'2025'!D30/1000</f>
        <v>0.10950499999999999</v>
      </c>
      <c r="DH6" s="380">
        <f>+'2025'!E30/1000</f>
        <v>9.5645937351226812E-2</v>
      </c>
      <c r="DI6" s="380">
        <f>+'2025'!F30/1000</f>
        <v>0.10782954305076599</v>
      </c>
      <c r="DJ6" s="380">
        <f>+'2025'!G30/1000</f>
        <v>0.10139997145366668</v>
      </c>
      <c r="DK6" s="380">
        <f>+'2025'!H30/1000</f>
        <v>0.10891785338115692</v>
      </c>
      <c r="DL6" s="380">
        <f>+'2025'!I30/1000</f>
        <v>0.10458724521446229</v>
      </c>
      <c r="DM6" s="380">
        <f>+'2025'!J30/1000</f>
        <v>0.10745294521808624</v>
      </c>
      <c r="DN6" s="380">
        <f>+'2025'!K30/1000</f>
        <v>0.1055232214565277</v>
      </c>
      <c r="DO6" s="380">
        <f>+'2025'!L30/1000</f>
        <v>0.1011687472192352</v>
      </c>
      <c r="DP6" s="380">
        <f>+'2025'!M30/1000</f>
        <v>0.13727084288787841</v>
      </c>
      <c r="DQ6" s="380">
        <f>+'2025'!N30/1000</f>
        <v>0.10001157083988189</v>
      </c>
      <c r="DR6" s="380"/>
      <c r="DZ6" s="377">
        <f t="shared" si="6"/>
        <v>0</v>
      </c>
      <c r="EA6" s="377">
        <f t="shared" si="7"/>
        <v>0</v>
      </c>
      <c r="EB6" s="377">
        <f t="shared" si="7"/>
        <v>7.6793482507876005</v>
      </c>
      <c r="EC6" s="377">
        <f t="shared" si="7"/>
        <v>0</v>
      </c>
      <c r="ED6" s="377">
        <f t="shared" si="7"/>
        <v>0</v>
      </c>
      <c r="EE6" s="377">
        <f t="shared" si="7"/>
        <v>0.91359531645385628</v>
      </c>
      <c r="EF6" s="377">
        <f t="shared" si="7"/>
        <v>5.3555159802602974</v>
      </c>
      <c r="EG6" s="377">
        <f t="shared" si="7"/>
        <v>90.257644663578716</v>
      </c>
      <c r="EH6" s="377">
        <f t="shared" si="7"/>
        <v>5.2604736021171057</v>
      </c>
      <c r="EI6" s="377">
        <f t="shared" si="7"/>
        <v>1.1793128780728881</v>
      </c>
    </row>
    <row r="7" spans="2:139">
      <c r="B7" t="s">
        <v>150</v>
      </c>
      <c r="C7" s="380">
        <f>+'2016 (rev3)'!C32/1000</f>
        <v>0.82819244129497749</v>
      </c>
      <c r="D7" s="380">
        <f>+'2016 (rev3)'!D32/1000</f>
        <v>0.72468752431553618</v>
      </c>
      <c r="E7" s="380">
        <f>+'2016 (rev3)'!E32/1000</f>
        <v>0.47902384198015047</v>
      </c>
      <c r="F7" s="380">
        <f>+'2016 (rev3)'!F32/1000</f>
        <v>0.50852441020199923</v>
      </c>
      <c r="G7" s="380">
        <f>+'2016 (rev3)'!G32/1000</f>
        <v>0.71026335184617462</v>
      </c>
      <c r="H7" s="380">
        <f>+'2016 (rev3)'!H32/1000</f>
        <v>0.79318930731004</v>
      </c>
      <c r="I7" s="380">
        <f>+'2016 (rev3)'!I32/1000</f>
        <v>0.80826002913751982</v>
      </c>
      <c r="J7" s="380">
        <f>+'2016 (rev3)'!J32/1000</f>
        <v>0.95830576584489902</v>
      </c>
      <c r="K7" s="380">
        <f>+'2016 (rev3)'!K32/1000</f>
        <v>0.85508245563142804</v>
      </c>
      <c r="L7" s="380">
        <f>+'2016 (rev3)'!L32/1000</f>
        <v>0.63110243590950477</v>
      </c>
      <c r="M7" s="380">
        <f>+'2016 (rev3)'!M32/1000</f>
        <v>0.93669125306512047</v>
      </c>
      <c r="N7" s="380">
        <f>+'2016 (rev3)'!N32/1000</f>
        <v>0.6476707710155033</v>
      </c>
      <c r="O7" s="380">
        <f>+'2017'!D32/1000</f>
        <v>0.5777715260018027</v>
      </c>
      <c r="P7" s="380">
        <f>+'2017'!E32/1000</f>
        <v>0.74933384062287334</v>
      </c>
      <c r="Q7" s="380">
        <f>+'2017'!F32/1000</f>
        <v>0.71408569352631712</v>
      </c>
      <c r="R7" s="380">
        <f>+'2017'!G32/1000</f>
        <v>0.46339151799325146</v>
      </c>
      <c r="S7" s="380">
        <f>+'2017'!H32/1000</f>
        <v>1.1538461275609948</v>
      </c>
      <c r="T7" s="380">
        <f>+'2017'!I32/1000</f>
        <v>0.88306092412183967</v>
      </c>
      <c r="U7" s="380">
        <f>+'2017'!J32/1000</f>
        <v>0.98960583172328687</v>
      </c>
      <c r="V7" s="380">
        <f>+'2017'!K32/1000</f>
        <v>1.0907571940586709</v>
      </c>
      <c r="W7" s="380">
        <f>+'2017'!L32/1000</f>
        <v>0.85006791297050222</v>
      </c>
      <c r="X7" s="380">
        <f>+'2017'!M32/1000</f>
        <v>0.65551740918303736</v>
      </c>
      <c r="Y7" s="380">
        <f>+'2017'!N32/1000</f>
        <v>0.50316068898342003</v>
      </c>
      <c r="Z7" s="380">
        <f>+'2017'!O32/1000</f>
        <v>0.49619404341287354</v>
      </c>
      <c r="AA7" s="380">
        <f>+'2018-R2 (LDS)'!D32/1000</f>
        <v>0.42541875159954196</v>
      </c>
      <c r="AB7" s="380">
        <f>+'2018-R2 (LDS)'!E32/1000</f>
        <v>0.39210484055595679</v>
      </c>
      <c r="AC7" s="380">
        <f>+'2018-R2 (LDS)'!F32/1000</f>
        <v>0.36790234176099396</v>
      </c>
      <c r="AD7" s="380">
        <f>+'2018-R2 (LDS)'!G32/1000</f>
        <v>0.33086296204615645</v>
      </c>
      <c r="AE7" s="380">
        <f>+'2018-R2 (LDS)'!H32/1000</f>
        <v>0.33221454926909</v>
      </c>
      <c r="AF7" s="380">
        <f>+'2018-R2 (LDS)'!I32/1000</f>
        <v>0.49707395891947104</v>
      </c>
      <c r="AG7" s="380">
        <f>+'2018-R2 (LDS)'!J32/1000</f>
        <v>0.46166018767055339</v>
      </c>
      <c r="AH7" s="380">
        <f>+'2018-R2 (LDS)'!K32/1000</f>
        <v>0.31934972072250989</v>
      </c>
      <c r="AI7" s="380">
        <f>+'2018-R2 (LDS)'!L32/1000</f>
        <v>0.30232378722556319</v>
      </c>
      <c r="AJ7" s="380">
        <f>+'2018-R2 (LDS)'!M32/1000</f>
        <v>0.3114507450413822</v>
      </c>
      <c r="AK7" s="380">
        <f>+'2018-R2 (LDS)'!N32/1000</f>
        <v>0.32991676006962212</v>
      </c>
      <c r="AL7" s="380">
        <f>+'2018-R2 (LDS)'!O32/1000</f>
        <v>0.32119503839440416</v>
      </c>
      <c r="AM7" s="380">
        <f>+'2019-R2'!D32/1000</f>
        <v>0.28812783552501514</v>
      </c>
      <c r="AN7" s="380">
        <f>+'2019-R2'!E32/1000</f>
        <v>0.29257778693445052</v>
      </c>
      <c r="AO7" s="380">
        <f>+'2019-R2'!F32/1000</f>
        <v>0.28593087752651147</v>
      </c>
      <c r="AP7" s="380">
        <f>+'2019-R2'!G32/1000</f>
        <v>0.3157665702417175</v>
      </c>
      <c r="AQ7" s="380">
        <f>+'2019-R2'!H32/1000</f>
        <v>0.28983999999999999</v>
      </c>
      <c r="AR7" s="380">
        <f>+'2019-R2'!I32/1000</f>
        <v>0.29573388322722821</v>
      </c>
      <c r="AS7" s="380">
        <f>+'2019-R2'!J32/1000</f>
        <v>0.30036435723315874</v>
      </c>
      <c r="AT7" s="380">
        <f>+'2019-R2'!K32/1000</f>
        <v>0.30726588864574017</v>
      </c>
      <c r="AU7" s="380">
        <f>+'2019-R2'!L32/1000</f>
        <v>0.30884187396920476</v>
      </c>
      <c r="AV7" s="380">
        <f>+'2019-R2'!M32/1000</f>
        <v>0.3065100096135388</v>
      </c>
      <c r="AW7" s="380">
        <f>+'2019-R2'!N32/1000</f>
        <v>0.29540711824390536</v>
      </c>
      <c r="AX7" s="380">
        <f>+'2019-R2'!O32/1000</f>
        <v>0.31093106694673717</v>
      </c>
      <c r="AY7" s="380">
        <f>+'2020 R2'!D32/1000</f>
        <v>0.32281552739629515</v>
      </c>
      <c r="AZ7" s="380">
        <f>+'2020 R2'!E32/1000</f>
        <v>0.31522511432633626</v>
      </c>
      <c r="BA7" s="380">
        <f>+'2020 R2'!F32/1000</f>
        <v>0.35264487279364681</v>
      </c>
      <c r="BB7" s="380">
        <f>+'2020 R2'!G32/1000</f>
        <v>0.31729171381295729</v>
      </c>
      <c r="BC7" s="380">
        <f>+'2020 R2'!H32/1000</f>
        <v>0.31066655747985589</v>
      </c>
      <c r="BD7" s="380">
        <f>+'2020 R2'!I32/1000</f>
        <v>0.2980651554186145</v>
      </c>
      <c r="BE7" s="380">
        <f>+'2020 R2'!J32/1000</f>
        <v>0.31362659825809974</v>
      </c>
      <c r="BF7" s="380">
        <f>+'2020 R2'!K32/1000</f>
        <v>0.30280875758231351</v>
      </c>
      <c r="BG7" s="380">
        <f>+'2020 R2'!L32/1000</f>
        <v>0.29806986474282576</v>
      </c>
      <c r="BH7" s="380">
        <f>+'2020 R2'!M32/1000</f>
        <v>0.31080625102067116</v>
      </c>
      <c r="BI7" s="380">
        <f>+'2020 R2'!N32/1000</f>
        <v>0.29567298983167845</v>
      </c>
      <c r="BJ7" s="380">
        <f>+'2020 R2'!O32/1000</f>
        <v>0.31482172509286377</v>
      </c>
      <c r="BK7" s="380">
        <f>+'2021-R2'!D33/1000</f>
        <v>0.35053758879079422</v>
      </c>
      <c r="BL7" s="380">
        <f>+'2021-R2'!E33/1000</f>
        <v>0.29976848623561536</v>
      </c>
      <c r="BM7" s="380">
        <f>+'2021-R2'!F33/1000</f>
        <v>0.31735592181072719</v>
      </c>
      <c r="BN7" s="380">
        <f>+'2021-R2'!G33/1000</f>
        <v>0.32294378548102265</v>
      </c>
      <c r="BO7" s="380">
        <f>+'2021-R2'!H33/1000</f>
        <v>0.40692321836879097</v>
      </c>
      <c r="BP7" s="380">
        <f>+'2021-R2'!I33/1000</f>
        <v>0.38263909800366946</v>
      </c>
      <c r="BQ7" s="380">
        <f>+'2021-R2'!J33/1000</f>
        <v>0.50827011272094835</v>
      </c>
      <c r="BR7" s="380">
        <f>+'2021-R2'!K33/1000</f>
        <v>0.34640587719296106</v>
      </c>
      <c r="BS7" s="380">
        <f>+'2021-R2'!L33/1000</f>
        <v>0.48130257529233028</v>
      </c>
      <c r="BT7" s="380">
        <f>+'2021-R2'!M33/1000</f>
        <v>0.32043192268965637</v>
      </c>
      <c r="BU7" s="380">
        <f>+'2021-R2'!N33/1000</f>
        <v>0.33538561434304154</v>
      </c>
      <c r="BV7" s="380">
        <f>+'2021-R2'!O33/1000</f>
        <v>0.41945480031262</v>
      </c>
      <c r="BW7" s="380">
        <f>+'2022-R1'!D33/1000</f>
        <v>0.32109891305116439</v>
      </c>
      <c r="BX7" s="380">
        <f>+'2022-R1'!E33/1000</f>
        <v>0.28941624298905577</v>
      </c>
      <c r="BY7" s="380">
        <f>+'2022-R1'!F33/1000</f>
        <v>0.32855847443062414</v>
      </c>
      <c r="BZ7" s="380">
        <f>+'2022-R1'!G33/1000</f>
        <v>0.30261154766655673</v>
      </c>
      <c r="CA7" s="380">
        <f>+'2022-R1'!H33/1000</f>
        <v>0.31590736379169249</v>
      </c>
      <c r="CB7" s="380">
        <f>+'2022-R1'!I33/1000</f>
        <v>0.32360428412433595</v>
      </c>
      <c r="CC7" s="380">
        <f>+'2022-R1'!J33/1000</f>
        <v>0.34837712947542337</v>
      </c>
      <c r="CD7" s="380">
        <f>+'2022-R1'!K33/1000</f>
        <v>0.3545334989855381</v>
      </c>
      <c r="CE7" s="380">
        <f>+'2022-R1'!L33/1000</f>
        <v>0.32383720858104154</v>
      </c>
      <c r="CF7" s="380">
        <f>+'2022-R1'!M33/1000</f>
        <v>0.31977495901589098</v>
      </c>
      <c r="CG7" s="380">
        <f>+'2022-R1'!N33/1000</f>
        <v>0.46434524862286974</v>
      </c>
      <c r="CH7" s="380">
        <f>+'2022-R1'!O33/1000</f>
        <v>0.31344062932267419</v>
      </c>
      <c r="CI7" s="380">
        <f>+'2023-R1'!D34/1000</f>
        <v>0.29917100705016814</v>
      </c>
      <c r="CJ7" s="380">
        <f>+'2023-R1'!E34/1000</f>
        <v>0.29546338826273455</v>
      </c>
      <c r="CK7" s="380">
        <f>+'2023-R1'!F34/1000</f>
        <v>0.31378621108722637</v>
      </c>
      <c r="CL7" s="380">
        <f>+'2023-R1'!G34/1000</f>
        <v>0.28871666816661901</v>
      </c>
      <c r="CM7" s="380">
        <f>+'2023-R1'!H34/1000</f>
        <v>0.30042902648006292</v>
      </c>
      <c r="CN7" s="380">
        <f>+'2023-R1'!I34/1000</f>
        <v>0.2901701749198119</v>
      </c>
      <c r="CO7" s="380">
        <f>+'2023-R1'!J34/1000</f>
        <v>0.2901701749198119</v>
      </c>
      <c r="CP7" s="380">
        <f>+'2023-R1'!K34/1000</f>
        <v>0.32650802538125556</v>
      </c>
      <c r="CQ7" s="380">
        <f>+'2023-R1'!L34/1000</f>
        <v>0.2936858562563206</v>
      </c>
      <c r="CR7" s="380">
        <f>+'2023-R1'!M34/1000</f>
        <v>0.2977213571978386</v>
      </c>
      <c r="CS7" s="380">
        <f>+'2023-R1'!N34/1000</f>
        <v>0.31198857809760194</v>
      </c>
      <c r="CT7" s="380">
        <f>+'2023-R1'!O34/1000</f>
        <v>0.29206227849067584</v>
      </c>
      <c r="CU7" s="380">
        <f>+'2024-R1'!D34/1000</f>
        <v>0.29035922192827773</v>
      </c>
      <c r="CV7" s="380">
        <f>+'2024-R1'!E34/1000</f>
        <v>0.2696210382698116</v>
      </c>
      <c r="CW7" s="380">
        <f>+'2024-R1'!F34/1000</f>
        <v>0.3361136415309911</v>
      </c>
      <c r="CX7" s="380">
        <f>+'2024-R1'!G34/1000</f>
        <v>0.31847200835000217</v>
      </c>
      <c r="CY7" s="380">
        <f>+'2024-R1'!H34/1000</f>
        <v>0.30390507652491433</v>
      </c>
      <c r="CZ7" s="380">
        <f>+'2024-R1'!I34/1000</f>
        <v>0.29999135543276867</v>
      </c>
      <c r="DA7" s="380">
        <f>+'2024-R1'!J34/1000</f>
        <v>0.31381702152453023</v>
      </c>
      <c r="DB7" s="380">
        <f>+'2024-R1'!K34/1000</f>
        <v>0.30016429924289112</v>
      </c>
      <c r="DC7" s="380">
        <f>+'2024-R1'!L34/1000</f>
        <v>0.28809800962840837</v>
      </c>
      <c r="DD7" s="380">
        <f>+'2024-R1'!M34/1000</f>
        <v>0.28707346997716138</v>
      </c>
      <c r="DE7" s="380">
        <f>+'2024-R1'!N34/1000</f>
        <v>0.28209100866176212</v>
      </c>
      <c r="DF7" s="380">
        <f>+'2024-R1'!O34/1000</f>
        <v>0.28501093333973543</v>
      </c>
      <c r="DG7" s="380">
        <f>+'2025'!D34/1000</f>
        <v>0.28501093333973543</v>
      </c>
      <c r="DH7" s="380">
        <f>+'2025'!E34/1000</f>
        <v>0.25742923011330943</v>
      </c>
      <c r="DI7" s="380">
        <f>+'2025'!F34/1000</f>
        <v>0.33529899999999996</v>
      </c>
      <c r="DJ7" s="380">
        <f>+'2025'!G34/1000</f>
        <v>0.3157827048170832</v>
      </c>
      <c r="DK7" s="380">
        <f>+'2025'!H34/1000</f>
        <v>0.28706380215528571</v>
      </c>
      <c r="DL7" s="380">
        <f>+'2025'!I34/1000</f>
        <v>0.2949743862336664</v>
      </c>
      <c r="DM7" s="380">
        <f>+'2025'!J34/1000</f>
        <v>0.29606211569135721</v>
      </c>
      <c r="DN7" s="380">
        <f>+'2025'!K34/1000</f>
        <v>0.29412512112010131</v>
      </c>
      <c r="DO7" s="380">
        <f>+'2025'!L34/1000</f>
        <v>0.29283097551381881</v>
      </c>
      <c r="DP7" s="380">
        <f>+'2025'!M34/1000</f>
        <v>0.28023168830781026</v>
      </c>
      <c r="DQ7" s="380">
        <f>+'2025'!N34/1000</f>
        <v>0.28233547255129121</v>
      </c>
      <c r="DR7" s="380"/>
      <c r="DZ7" s="377">
        <f t="shared" si="6"/>
        <v>8.8809935875528527</v>
      </c>
      <c r="EA7" s="377">
        <f t="shared" si="7"/>
        <v>9.1267927101588704</v>
      </c>
      <c r="EB7" s="377">
        <f t="shared" si="7"/>
        <v>4.3914736432752459</v>
      </c>
      <c r="EC7" s="377">
        <f t="shared" si="7"/>
        <v>3.5972972681072077</v>
      </c>
      <c r="ED7" s="377">
        <f t="shared" si="7"/>
        <v>3.7525151277561588</v>
      </c>
      <c r="EE7" s="377">
        <f t="shared" si="7"/>
        <v>4.4914190012421775</v>
      </c>
      <c r="EF7" s="377">
        <f t="shared" si="7"/>
        <v>4.0055055000568673</v>
      </c>
      <c r="EG7" s="377">
        <f t="shared" si="7"/>
        <v>3.5998727463101265</v>
      </c>
      <c r="EH7" s="377">
        <f t="shared" si="7"/>
        <v>3.5747170844112546</v>
      </c>
      <c r="EI7" s="377">
        <f t="shared" si="7"/>
        <v>3.2211454298434594</v>
      </c>
    </row>
    <row r="8" spans="2:139">
      <c r="B8" t="s">
        <v>151</v>
      </c>
      <c r="C8" s="380">
        <f>+'2016 (rev3)'!C35/1000</f>
        <v>1.4648405874137098</v>
      </c>
      <c r="D8" s="380">
        <f>+'2016 (rev3)'!D35/1000</f>
        <v>1.505392075906566</v>
      </c>
      <c r="E8" s="380">
        <f>+'2016 (rev3)'!E35/1000</f>
        <v>1.4846567324263598</v>
      </c>
      <c r="F8" s="380">
        <f>+'2016 (rev3)'!F35/1000</f>
        <v>1.6234725428078527</v>
      </c>
      <c r="G8" s="380">
        <f>+'2016 (rev3)'!G35/1000</f>
        <v>1.6590197152305919</v>
      </c>
      <c r="H8" s="380">
        <f>+'2016 (rev3)'!H35/1000</f>
        <v>1.5338382172922429</v>
      </c>
      <c r="I8" s="380">
        <f>+'2016 (rev3)'!I35/1000</f>
        <v>1.5213792230415275</v>
      </c>
      <c r="J8" s="380">
        <f>+'2016 (rev3)'!J35/1000</f>
        <v>1.7796094519563777</v>
      </c>
      <c r="K8" s="380">
        <f>+'2016 (rev3)'!K35/1000</f>
        <v>1.6048303412614624</v>
      </c>
      <c r="L8" s="380">
        <f>+'2016 (rev3)'!L35/1000</f>
        <v>1.6308721632217784</v>
      </c>
      <c r="M8" s="380">
        <f>+'2016 (rev3)'!M35/1000</f>
        <v>1.6484229257259722</v>
      </c>
      <c r="N8" s="380">
        <f>+'2016 (rev3)'!N35/1000</f>
        <v>1.5411865300454666</v>
      </c>
      <c r="O8" s="380">
        <f>+'2017'!D35/1000</f>
        <v>1.4404882356318411</v>
      </c>
      <c r="P8" s="380">
        <f>+'2017'!E35/1000</f>
        <v>1.1973389317031542</v>
      </c>
      <c r="Q8" s="380">
        <f>+'2017'!F35/1000</f>
        <v>1.2832811485344136</v>
      </c>
      <c r="R8" s="380">
        <f>+'2017'!G35/1000</f>
        <v>1.4295567051323741</v>
      </c>
      <c r="S8" s="380">
        <f>+'2017'!H35/1000</f>
        <v>1.602683036178103</v>
      </c>
      <c r="T8" s="380">
        <f>+'2017'!I35/1000</f>
        <v>1.5252077408526383</v>
      </c>
      <c r="U8" s="380">
        <f>+'2017'!J35/1000</f>
        <v>1.5967170172958285</v>
      </c>
      <c r="V8" s="380">
        <f>+'2017'!K35/1000</f>
        <v>1.477370722413907</v>
      </c>
      <c r="W8" s="380">
        <f>+'2017'!L35/1000</f>
        <v>1.6141551405001664</v>
      </c>
      <c r="X8" s="380">
        <f>+'2017'!M35/1000</f>
        <v>1.4673487134771568</v>
      </c>
      <c r="Y8" s="380">
        <f>+'2017'!N35/1000</f>
        <v>1.3736507807172602</v>
      </c>
      <c r="Z8" s="380">
        <f>+'2017'!O35/1000</f>
        <v>1.162816367113046</v>
      </c>
      <c r="AA8" s="380">
        <f>+'2018-R2 (LDS)'!D35/1000</f>
        <v>1.5060751942616479</v>
      </c>
      <c r="AB8" s="380">
        <f>+'2018-R2 (LDS)'!E35/1000</f>
        <v>1.3160620490569563</v>
      </c>
      <c r="AC8" s="380">
        <f>+'2018-R2 (LDS)'!F35/1000</f>
        <v>1.5013847624637129</v>
      </c>
      <c r="AD8" s="380">
        <f>+'2018-R2 (LDS)'!G35/1000</f>
        <v>1.2294982440929452</v>
      </c>
      <c r="AE8" s="380">
        <f>+'2018-R2 (LDS)'!H35/1000</f>
        <v>1.1133409078462428</v>
      </c>
      <c r="AF8" s="380">
        <f>+'2018-R2 (LDS)'!I35/1000</f>
        <v>0.87602619033663354</v>
      </c>
      <c r="AG8" s="380">
        <f>+'2018-R2 (LDS)'!J35/1000</f>
        <v>0.91631487096514319</v>
      </c>
      <c r="AH8" s="380">
        <f>+'2018-R2 (LDS)'!K35/1000</f>
        <v>1.0061535060519964</v>
      </c>
      <c r="AI8" s="380">
        <f>+'2018-R2 (LDS)'!L35/1000</f>
        <v>0.93975718484223758</v>
      </c>
      <c r="AJ8" s="380">
        <f>+'2018-R2 (LDS)'!M35/1000</f>
        <v>1.0540845329768198</v>
      </c>
      <c r="AK8" s="380">
        <f>+'2018-R2 (LDS)'!N35/1000</f>
        <v>1.0800646935081604</v>
      </c>
      <c r="AL8" s="380">
        <f>+'2018-R2 (LDS)'!O35/1000</f>
        <v>1.2170337656934134</v>
      </c>
      <c r="AM8" s="380">
        <f>+'2019-R2'!D35/1000</f>
        <v>1.1589719178077502</v>
      </c>
      <c r="AN8" s="380">
        <f>+'2019-R2'!E35/1000</f>
        <v>1.1168605078630498</v>
      </c>
      <c r="AO8" s="380">
        <f>+'2019-R2'!F35/1000</f>
        <v>1.5468165857095737</v>
      </c>
      <c r="AP8" s="380">
        <f>+'2019-R2'!G35/1000</f>
        <v>1.2834079974594497</v>
      </c>
      <c r="AQ8" s="380">
        <f>+'2019-R2'!H35/1000</f>
        <v>1.1350445239583786</v>
      </c>
      <c r="AR8" s="380">
        <f>+'2019-R2'!I35/1000</f>
        <v>1.0902527117444842</v>
      </c>
      <c r="AS8" s="380">
        <f>+'2019-R2'!J35/1000</f>
        <v>1.1169537752471661</v>
      </c>
      <c r="AT8" s="380">
        <f>+'2019-R2'!K35/1000</f>
        <v>1.1201630663613469</v>
      </c>
      <c r="AU8" s="380">
        <f>+'2019-R2'!L35/1000</f>
        <v>1.1096550922538591</v>
      </c>
      <c r="AV8" s="380">
        <f>+'2019-R2'!M35/1000</f>
        <v>1.2767589587146213</v>
      </c>
      <c r="AW8" s="380">
        <f>+'2019-R2'!N35/1000</f>
        <v>1.2772826580067194</v>
      </c>
      <c r="AX8" s="380">
        <f>+'2019-R2'!O35/1000</f>
        <v>1.2378036154744332</v>
      </c>
      <c r="AY8" s="380">
        <f>+'2020 R2'!D35/1000</f>
        <v>1.4017099359159328</v>
      </c>
      <c r="AZ8" s="380">
        <f>+'2020 R2'!E35/1000</f>
        <v>1.4120107345494617</v>
      </c>
      <c r="BA8" s="380">
        <f>+'2020 R2'!F35/1000</f>
        <v>1.7021900930682168</v>
      </c>
      <c r="BB8" s="380">
        <f>+'2020 R2'!G35/1000</f>
        <v>1.4760584790295834</v>
      </c>
      <c r="BC8" s="380">
        <f>+'2020 R2'!H35/1000</f>
        <v>1.2026776316246832</v>
      </c>
      <c r="BD8" s="380">
        <f>+'2020 R2'!I35/1000</f>
        <v>1.1367030165203906</v>
      </c>
      <c r="BE8" s="380">
        <f>+'2020 R2'!J35/1000</f>
        <v>1.1474316271774878</v>
      </c>
      <c r="BF8" s="380">
        <f>+'2020 R2'!K35/1000</f>
        <v>1.1681551775602275</v>
      </c>
      <c r="BG8" s="380">
        <f>+'2020 R2'!L35/1000</f>
        <v>1.1950694773732249</v>
      </c>
      <c r="BH8" s="380">
        <f>+'2020 R2'!M35/1000</f>
        <v>1.2405677350198967</v>
      </c>
      <c r="BI8" s="380">
        <f>+'2020 R2'!N35/1000</f>
        <v>1.1096796070392738</v>
      </c>
      <c r="BJ8" s="380">
        <f>+'2020 R2'!O35/1000</f>
        <v>1.2572063672059157</v>
      </c>
      <c r="BK8" s="380">
        <f>+'2021-R2'!D36/1000</f>
        <v>1.4655568777321022</v>
      </c>
      <c r="BL8" s="380">
        <f>+'2021-R2'!E36/1000</f>
        <v>1.2316382077964954</v>
      </c>
      <c r="BM8" s="380">
        <f>+'2021-R2'!F36/1000</f>
        <v>1.2496661534410523</v>
      </c>
      <c r="BN8" s="380">
        <f>+'2021-R2'!G36/1000</f>
        <v>1.5923647809847026</v>
      </c>
      <c r="BO8" s="380">
        <f>+'2021-R2'!H36/1000</f>
        <v>1.1425274651591026</v>
      </c>
      <c r="BP8" s="380">
        <f>+'2021-R2'!I36/1000</f>
        <v>1.1091911345907719</v>
      </c>
      <c r="BQ8" s="380">
        <f>+'2021-R2'!J36/1000</f>
        <v>1.0951916656353133</v>
      </c>
      <c r="BR8" s="380">
        <f>+'2021-R2'!K36/1000</f>
        <v>1.2913891603475931</v>
      </c>
      <c r="BS8" s="380">
        <f>+'2021-R2'!L36/1000</f>
        <v>1.1196020061959133</v>
      </c>
      <c r="BT8" s="380">
        <f>+'2021-R2'!M36/1000</f>
        <v>1.2774788018981198</v>
      </c>
      <c r="BU8" s="380">
        <f>+'2021-R2'!N36/1000</f>
        <v>1.2242266003799449</v>
      </c>
      <c r="BV8" s="380">
        <f>+'2021-R2'!O36/1000</f>
        <v>1.1761682174947345</v>
      </c>
      <c r="BW8" s="380">
        <f>+'2022-R1'!D36/1000</f>
        <v>1.239329690037499</v>
      </c>
      <c r="BX8" s="380">
        <f>+'2022-R1'!E36/1000</f>
        <v>1.0964337244241469</v>
      </c>
      <c r="BY8" s="380">
        <f>+'2022-R1'!F36/1000</f>
        <v>1.4295440349097044</v>
      </c>
      <c r="BZ8" s="380">
        <f>+'2022-R1'!G36/1000</f>
        <v>1.1718513801696973</v>
      </c>
      <c r="CA8" s="380">
        <f>+'2022-R1'!H36/1000</f>
        <v>1.1527285928120401</v>
      </c>
      <c r="CB8" s="380">
        <f>+'2022-R1'!I36/1000</f>
        <v>1.1419621310212824</v>
      </c>
      <c r="CC8" s="380">
        <f>+'2022-R1'!J36/1000</f>
        <v>1.1721341172407846</v>
      </c>
      <c r="CD8" s="380">
        <f>+'2022-R1'!K36/1000</f>
        <v>1.2781316516837686</v>
      </c>
      <c r="CE8" s="380">
        <f>+'2022-R1'!L36/1000</f>
        <v>1.4285029134694633</v>
      </c>
      <c r="CF8" s="380">
        <f>+'2022-R1'!M36/1000</f>
        <v>1.3509667312909879</v>
      </c>
      <c r="CG8" s="380">
        <f>+'2022-R1'!N36/1000</f>
        <v>1.6123762624678057</v>
      </c>
      <c r="CH8" s="380">
        <f>+'2022-R1'!O36/1000</f>
        <v>1.3171841651041614</v>
      </c>
      <c r="CI8" s="380">
        <f>+'2023-R1'!D37/1000</f>
        <v>1.1573782180988783</v>
      </c>
      <c r="CJ8" s="380">
        <f>+'2023-R1'!E37/1000</f>
        <v>1.3311175940816902</v>
      </c>
      <c r="CK8" s="380">
        <f>+'2023-R1'!F37/1000</f>
        <v>1.2472028521677276</v>
      </c>
      <c r="CL8" s="380">
        <f>+'2023-R1'!G37/1000</f>
        <v>1.0162171131077775</v>
      </c>
      <c r="CM8" s="380">
        <f>+'2023-R1'!H37/1000</f>
        <v>1.0854990854800126</v>
      </c>
      <c r="CN8" s="380">
        <f>+'2023-R1'!I37/1000</f>
        <v>1.0627734530092712</v>
      </c>
      <c r="CO8" s="380">
        <f>+'2023-R1'!J37/1000</f>
        <v>1.1104137156348879</v>
      </c>
      <c r="CP8" s="380">
        <f>+'2023-R1'!K37/1000</f>
        <v>1.0593423138325597</v>
      </c>
      <c r="CQ8" s="380">
        <f>+'2023-R1'!L37/1000</f>
        <v>1.1203616372979595</v>
      </c>
      <c r="CR8" s="380">
        <f>+'2023-R1'!M37/1000</f>
        <v>1.106148853415958</v>
      </c>
      <c r="CS8" s="380">
        <f>+'2023-R1'!N37/1000</f>
        <v>1.1712125096868695</v>
      </c>
      <c r="CT8" s="380">
        <f>+'2023-R1'!O37/1000</f>
        <v>1.1299652113164484</v>
      </c>
      <c r="CU8" s="380">
        <f>+'2024-R1'!D37/1000</f>
        <v>0.94883648381801322</v>
      </c>
      <c r="CV8" s="380">
        <f>+'2024-R1'!E37/1000</f>
        <v>0.81834963457300913</v>
      </c>
      <c r="CW8" s="380">
        <f>+'2024-R1'!F37/1000</f>
        <v>1.8029968748428655</v>
      </c>
      <c r="CX8" s="380">
        <f>+'2024-R1'!G37/1000</f>
        <v>1.4449288653268741</v>
      </c>
      <c r="CY8" s="380">
        <f>+'2024-R1'!H37/1000</f>
        <v>1.1138128065380006</v>
      </c>
      <c r="CZ8" s="380">
        <f>+'2024-R1'!I37/1000</f>
        <v>1.0884845533968692</v>
      </c>
      <c r="DA8" s="380">
        <f>+'2024-R1'!J37/1000</f>
        <v>1.1759334371458099</v>
      </c>
      <c r="DB8" s="380">
        <f>+'2024-R1'!K37/1000</f>
        <v>1.1719204877520388</v>
      </c>
      <c r="DC8" s="380">
        <f>+'2024-R1'!L37/1000</f>
        <v>1.0817705639390915</v>
      </c>
      <c r="DD8" s="380">
        <f>+'2024-R1'!M37/1000</f>
        <v>1.0754708979527641</v>
      </c>
      <c r="DE8" s="380">
        <f>+'2024-R1'!N37/1000</f>
        <v>1.0214720054131612</v>
      </c>
      <c r="DF8" s="380">
        <f>+'2024-R1'!O37/1000</f>
        <v>1.096715798261328</v>
      </c>
      <c r="DG8" s="380">
        <f>+'2025'!D39/1000</f>
        <v>0</v>
      </c>
      <c r="DH8" s="380">
        <f>+'2025'!E39/1000</f>
        <v>0</v>
      </c>
      <c r="DI8" s="380">
        <f>+'2025'!F39/1000</f>
        <v>0</v>
      </c>
      <c r="DJ8" s="380">
        <f>+'2025'!G39/1000</f>
        <v>0</v>
      </c>
      <c r="DK8" s="380"/>
      <c r="DL8" s="380"/>
      <c r="DM8" s="380"/>
      <c r="DN8" s="380"/>
      <c r="DO8" s="380"/>
      <c r="DP8" s="380"/>
      <c r="DQ8" s="380"/>
      <c r="DR8" s="380"/>
      <c r="DZ8" s="377">
        <f t="shared" si="6"/>
        <v>18.997520506329902</v>
      </c>
      <c r="EA8" s="377">
        <f t="shared" si="7"/>
        <v>17.170614539549888</v>
      </c>
      <c r="EB8" s="377">
        <f t="shared" si="7"/>
        <v>13.75579590209591</v>
      </c>
      <c r="EC8" s="377">
        <f t="shared" si="7"/>
        <v>14.469971410600833</v>
      </c>
      <c r="ED8" s="377">
        <f t="shared" si="7"/>
        <v>15.449459882084295</v>
      </c>
      <c r="EE8" s="377">
        <f t="shared" si="7"/>
        <v>14.975001071655846</v>
      </c>
      <c r="EF8" s="377">
        <f t="shared" si="7"/>
        <v>15.391145394631341</v>
      </c>
      <c r="EG8" s="377">
        <f t="shared" si="7"/>
        <v>13.597632557130039</v>
      </c>
      <c r="EH8" s="377">
        <f t="shared" si="7"/>
        <v>13.840692408959825</v>
      </c>
      <c r="EI8" s="377">
        <f t="shared" si="7"/>
        <v>0</v>
      </c>
    </row>
    <row r="9" spans="2:139">
      <c r="B9" s="407" t="s">
        <v>153</v>
      </c>
      <c r="C9" s="408">
        <f>+C4+C5+C6-C7-C8</f>
        <v>97.9001151911976</v>
      </c>
      <c r="D9" s="408">
        <f t="shared" ref="D9:O9" si="8">+D4+D5+D6-D7-D8</f>
        <v>109.01829886262809</v>
      </c>
      <c r="E9" s="408">
        <f t="shared" si="8"/>
        <v>98.366691203925399</v>
      </c>
      <c r="F9" s="408">
        <f t="shared" si="8"/>
        <v>102.90362919778822</v>
      </c>
      <c r="G9" s="408">
        <f t="shared" si="8"/>
        <v>111.98723545560091</v>
      </c>
      <c r="H9" s="408">
        <f t="shared" si="8"/>
        <v>108.58817088037959</v>
      </c>
      <c r="I9" s="408">
        <f t="shared" si="8"/>
        <v>112.48045374629031</v>
      </c>
      <c r="J9" s="408">
        <f t="shared" si="8"/>
        <v>116.85870760029958</v>
      </c>
      <c r="K9" s="408">
        <f t="shared" si="8"/>
        <v>113.0884416266145</v>
      </c>
      <c r="L9" s="408">
        <f t="shared" si="8"/>
        <v>118.94273054277008</v>
      </c>
      <c r="M9" s="408">
        <f t="shared" si="8"/>
        <v>118.2069575444653</v>
      </c>
      <c r="N9" s="408">
        <f t="shared" si="8"/>
        <v>109.40805320213921</v>
      </c>
      <c r="O9" s="408">
        <f t="shared" si="8"/>
        <v>97.008250543044497</v>
      </c>
      <c r="P9" s="408">
        <f t="shared" ref="P9:AU9" si="9">+P4+P5+P6-P7-P8</f>
        <v>84.005776171981609</v>
      </c>
      <c r="Q9" s="408">
        <f t="shared" si="9"/>
        <v>93.319081713292093</v>
      </c>
      <c r="R9" s="408">
        <f t="shared" si="9"/>
        <v>112.37847096785332</v>
      </c>
      <c r="S9" s="408">
        <f t="shared" si="9"/>
        <v>119.7537173763681</v>
      </c>
      <c r="T9" s="408">
        <f t="shared" si="9"/>
        <v>118.70984757580159</v>
      </c>
      <c r="U9" s="408">
        <f t="shared" si="9"/>
        <v>130.59171095739751</v>
      </c>
      <c r="V9" s="408">
        <f t="shared" si="9"/>
        <v>130.05082190383811</v>
      </c>
      <c r="W9" s="408">
        <f t="shared" si="9"/>
        <v>117.92101938710979</v>
      </c>
      <c r="X9" s="408">
        <f t="shared" si="9"/>
        <v>128.17874288804882</v>
      </c>
      <c r="Y9" s="408">
        <f t="shared" si="9"/>
        <v>120.98750139000001</v>
      </c>
      <c r="Z9" s="408">
        <f t="shared" si="9"/>
        <v>125.92080483112581</v>
      </c>
      <c r="AA9" s="408">
        <f t="shared" si="9"/>
        <v>114.65884616911262</v>
      </c>
      <c r="AB9" s="408">
        <f t="shared" si="9"/>
        <v>101.03113160959428</v>
      </c>
      <c r="AC9" s="408">
        <f t="shared" si="9"/>
        <v>113.2420812273953</v>
      </c>
      <c r="AD9" s="408">
        <f t="shared" si="9"/>
        <v>84.886427642963</v>
      </c>
      <c r="AE9" s="408">
        <f t="shared" si="9"/>
        <v>72.374630047461295</v>
      </c>
      <c r="AF9" s="408">
        <f t="shared" si="9"/>
        <v>69.607523580614398</v>
      </c>
      <c r="AG9" s="408">
        <f t="shared" si="9"/>
        <v>78.457461543042029</v>
      </c>
      <c r="AH9" s="408">
        <f t="shared" si="9"/>
        <v>75.776316417039595</v>
      </c>
      <c r="AI9" s="408">
        <f t="shared" si="9"/>
        <v>69.569687331066106</v>
      </c>
      <c r="AJ9" s="408">
        <f t="shared" si="9"/>
        <v>80.4189809835528</v>
      </c>
      <c r="AK9" s="408">
        <f t="shared" si="9"/>
        <v>81.550261297676713</v>
      </c>
      <c r="AL9" s="408">
        <f t="shared" si="9"/>
        <v>89.542778132608703</v>
      </c>
      <c r="AM9" s="408">
        <f t="shared" si="9"/>
        <v>83.107497759907091</v>
      </c>
      <c r="AN9" s="408">
        <f t="shared" si="9"/>
        <v>108.1784696530749</v>
      </c>
      <c r="AO9" s="408">
        <f t="shared" si="9"/>
        <v>115.7579606488909</v>
      </c>
      <c r="AP9" s="408">
        <f t="shared" si="9"/>
        <v>88.50127087736449</v>
      </c>
      <c r="AQ9" s="408">
        <f t="shared" si="9"/>
        <v>69.738490750489376</v>
      </c>
      <c r="AR9" s="408">
        <f t="shared" si="9"/>
        <v>68.426040533222277</v>
      </c>
      <c r="AS9" s="408">
        <f t="shared" si="9"/>
        <v>69.803348670755</v>
      </c>
      <c r="AT9" s="408">
        <f t="shared" si="9"/>
        <v>71.49670601236781</v>
      </c>
      <c r="AU9" s="408">
        <f t="shared" si="9"/>
        <v>69.489369870547108</v>
      </c>
      <c r="AV9" s="408">
        <f t="shared" ref="AV9:CA9" si="10">+AV4+AV5+AV6-AV7-AV8</f>
        <v>77.323739124462605</v>
      </c>
      <c r="AW9" s="408">
        <f t="shared" si="10"/>
        <v>79.497392156188226</v>
      </c>
      <c r="AX9" s="408">
        <f t="shared" si="10"/>
        <v>73.593933997936503</v>
      </c>
      <c r="AY9" s="408">
        <f t="shared" si="10"/>
        <v>91.133251245315861</v>
      </c>
      <c r="AZ9" s="408">
        <f t="shared" si="10"/>
        <v>100.7568591195953</v>
      </c>
      <c r="BA9" s="408">
        <f t="shared" si="10"/>
        <v>124.72509946607542</v>
      </c>
      <c r="BB9" s="408">
        <f t="shared" si="10"/>
        <v>103.08186964628298</v>
      </c>
      <c r="BC9" s="408">
        <f t="shared" si="10"/>
        <v>71.76864292439258</v>
      </c>
      <c r="BD9" s="408">
        <f t="shared" si="10"/>
        <v>68.724700057637151</v>
      </c>
      <c r="BE9" s="408">
        <f t="shared" si="10"/>
        <v>70.739411094356441</v>
      </c>
      <c r="BF9" s="408">
        <f t="shared" si="10"/>
        <v>70.626508744252206</v>
      </c>
      <c r="BG9" s="408">
        <f t="shared" si="10"/>
        <v>72.080955084967499</v>
      </c>
      <c r="BH9" s="408">
        <f t="shared" si="10"/>
        <v>76.728998505560284</v>
      </c>
      <c r="BI9" s="408">
        <f t="shared" si="10"/>
        <v>73.269384822187916</v>
      </c>
      <c r="BJ9" s="408">
        <f t="shared" si="10"/>
        <v>81.114931312903906</v>
      </c>
      <c r="BK9" s="408">
        <f t="shared" si="10"/>
        <v>101.91833068933201</v>
      </c>
      <c r="BL9" s="408">
        <f t="shared" si="10"/>
        <v>76.0426179601467</v>
      </c>
      <c r="BM9" s="408">
        <f t="shared" si="10"/>
        <v>75.907047923168136</v>
      </c>
      <c r="BN9" s="408">
        <f t="shared" si="10"/>
        <v>105.90236404472114</v>
      </c>
      <c r="BO9" s="408">
        <f t="shared" si="10"/>
        <v>70.307864634598062</v>
      </c>
      <c r="BP9" s="408">
        <f t="shared" si="10"/>
        <v>68.547295567135222</v>
      </c>
      <c r="BQ9" s="408">
        <f t="shared" si="10"/>
        <v>70.925557424820127</v>
      </c>
      <c r="BR9" s="408">
        <f t="shared" si="10"/>
        <v>81.209980803936801</v>
      </c>
      <c r="BS9" s="408">
        <f t="shared" si="10"/>
        <v>78.367879480518582</v>
      </c>
      <c r="BT9" s="408">
        <f t="shared" si="10"/>
        <v>80.43083974315573</v>
      </c>
      <c r="BU9" s="408">
        <f t="shared" si="10"/>
        <v>79.17059070596369</v>
      </c>
      <c r="BV9" s="408">
        <f t="shared" si="10"/>
        <v>80.794036895255331</v>
      </c>
      <c r="BW9" s="408">
        <f t="shared" si="10"/>
        <v>77.198931040523448</v>
      </c>
      <c r="BX9" s="408">
        <f t="shared" si="10"/>
        <v>68.233735260000003</v>
      </c>
      <c r="BY9" s="408">
        <f t="shared" si="10"/>
        <v>89.649397659934138</v>
      </c>
      <c r="BZ9" s="408">
        <f t="shared" si="10"/>
        <v>72.335081363883077</v>
      </c>
      <c r="CA9" s="408">
        <f t="shared" si="10"/>
        <v>71.024700429890672</v>
      </c>
      <c r="CB9" s="408">
        <f t="shared" ref="CB9:DG9" si="11">+CB4+CB5+CB6-CB7-CB8</f>
        <v>68.645275003615012</v>
      </c>
      <c r="CC9" s="408">
        <f t="shared" si="11"/>
        <v>70.960765707446981</v>
      </c>
      <c r="CD9" s="408">
        <f t="shared" si="11"/>
        <v>81.959821086577008</v>
      </c>
      <c r="CE9" s="408">
        <f t="shared" si="11"/>
        <v>78.401095909252149</v>
      </c>
      <c r="CF9" s="408">
        <f t="shared" si="11"/>
        <v>82.041946209713316</v>
      </c>
      <c r="CG9" s="408">
        <f t="shared" si="11"/>
        <v>78.152590442159834</v>
      </c>
      <c r="CH9" s="408">
        <f t="shared" si="11"/>
        <v>75.859452762477034</v>
      </c>
      <c r="CI9" s="408">
        <f t="shared" si="11"/>
        <v>73.244778560000015</v>
      </c>
      <c r="CJ9" s="408">
        <f t="shared" si="11"/>
        <v>89.296578432288925</v>
      </c>
      <c r="CK9" s="408">
        <f t="shared" si="11"/>
        <v>78.606277050000003</v>
      </c>
      <c r="CL9" s="408">
        <f t="shared" si="11"/>
        <v>74.348136429999997</v>
      </c>
      <c r="CM9" s="408">
        <f t="shared" si="11"/>
        <v>70.807982209999977</v>
      </c>
      <c r="CN9" s="408">
        <f t="shared" si="11"/>
        <v>66.769025119999981</v>
      </c>
      <c r="CO9" s="408">
        <f t="shared" si="11"/>
        <v>66.953892140000008</v>
      </c>
      <c r="CP9" s="408">
        <f t="shared" si="11"/>
        <v>67.868027899999987</v>
      </c>
      <c r="CQ9" s="408">
        <f t="shared" si="11"/>
        <v>69.198174237777323</v>
      </c>
      <c r="CR9" s="408">
        <f t="shared" si="11"/>
        <v>71.596572509999987</v>
      </c>
      <c r="CS9" s="408">
        <f t="shared" si="11"/>
        <v>71.306930730000033</v>
      </c>
      <c r="CT9" s="408">
        <f t="shared" si="11"/>
        <v>75.062387000000001</v>
      </c>
      <c r="CU9" s="408">
        <f t="shared" si="11"/>
        <v>52.460687317059005</v>
      </c>
      <c r="CV9" s="408">
        <f t="shared" si="11"/>
        <v>50.773455069031421</v>
      </c>
      <c r="CW9" s="408">
        <f t="shared" si="11"/>
        <v>123.44084812912541</v>
      </c>
      <c r="CX9" s="408">
        <f t="shared" si="11"/>
        <v>98.703601249432964</v>
      </c>
      <c r="CY9" s="408">
        <f t="shared" si="11"/>
        <v>66.101633077921392</v>
      </c>
      <c r="CZ9" s="408">
        <f t="shared" si="11"/>
        <v>65.352374707350819</v>
      </c>
      <c r="DA9" s="408">
        <f t="shared" si="11"/>
        <v>70.520820482692301</v>
      </c>
      <c r="DB9" s="408">
        <f t="shared" si="11"/>
        <v>73.687261277972908</v>
      </c>
      <c r="DC9" s="408">
        <f t="shared" si="11"/>
        <v>67.030505866111014</v>
      </c>
      <c r="DD9" s="408">
        <f t="shared" si="11"/>
        <v>69.953839671609515</v>
      </c>
      <c r="DE9" s="408">
        <f t="shared" si="11"/>
        <v>67.004970470399286</v>
      </c>
      <c r="DF9" s="408">
        <f t="shared" si="11"/>
        <v>68.165217701507075</v>
      </c>
      <c r="DG9" s="408">
        <f t="shared" si="11"/>
        <v>62.483194947151006</v>
      </c>
      <c r="DH9" s="408">
        <f t="shared" ref="DH9:DP9" si="12">+DH4+DH5+DH6-DH7-DH8</f>
        <v>79.27066609772568</v>
      </c>
      <c r="DI9" s="408">
        <f t="shared" si="12"/>
        <v>117.8353212654641</v>
      </c>
      <c r="DJ9" s="408">
        <f t="shared" si="12"/>
        <v>106.84975412119236</v>
      </c>
      <c r="DK9" s="408">
        <f t="shared" si="12"/>
        <v>69.108675219426033</v>
      </c>
      <c r="DL9" s="408">
        <f t="shared" si="12"/>
        <v>67.983332501506666</v>
      </c>
      <c r="DM9" s="408">
        <f t="shared" si="12"/>
        <v>69.372099110700546</v>
      </c>
      <c r="DN9" s="408">
        <f t="shared" si="12"/>
        <v>71.554987235323964</v>
      </c>
      <c r="DO9" s="408">
        <f t="shared" si="12"/>
        <v>72.397453834694275</v>
      </c>
      <c r="DP9" s="408">
        <f t="shared" si="12"/>
        <v>72.841288320164168</v>
      </c>
      <c r="DQ9" s="408">
        <f>+DQ4+DQ5+DQ6-DQ7-DQ8</f>
        <v>70.253331932848155</v>
      </c>
      <c r="DR9" s="408"/>
      <c r="DZ9" s="414">
        <f t="shared" si="6"/>
        <v>1317.7494850540986</v>
      </c>
      <c r="EA9" s="414">
        <f t="shared" si="7"/>
        <v>1378.8257457058614</v>
      </c>
      <c r="EB9" s="414">
        <f t="shared" si="7"/>
        <v>1031.116125982127</v>
      </c>
      <c r="EC9" s="414">
        <f t="shared" si="7"/>
        <v>974.9142200552061</v>
      </c>
      <c r="ED9" s="414">
        <f t="shared" si="7"/>
        <v>1004.7506120235275</v>
      </c>
      <c r="EE9" s="414">
        <f t="shared" si="7"/>
        <v>969.52440587275157</v>
      </c>
      <c r="EF9" s="414">
        <f t="shared" si="7"/>
        <v>914.4627928754727</v>
      </c>
      <c r="EG9" s="414">
        <f t="shared" si="7"/>
        <v>875.05876232006608</v>
      </c>
      <c r="EH9" s="414">
        <f t="shared" si="7"/>
        <v>873.19521502021303</v>
      </c>
      <c r="EI9" s="414">
        <f t="shared" si="7"/>
        <v>859.95010458619697</v>
      </c>
    </row>
    <row r="10" spans="2:139">
      <c r="B10" s="407" t="s">
        <v>154</v>
      </c>
      <c r="C10" s="408">
        <f>+C11+C12</f>
        <v>97.900115191197585</v>
      </c>
      <c r="D10" s="408">
        <f t="shared" ref="D10:O10" si="13">+D11+D12</f>
        <v>109.01829886262809</v>
      </c>
      <c r="E10" s="408">
        <f t="shared" si="13"/>
        <v>98.366691203925399</v>
      </c>
      <c r="F10" s="408">
        <f t="shared" si="13"/>
        <v>102.90362919778821</v>
      </c>
      <c r="G10" s="408">
        <f t="shared" si="13"/>
        <v>111.98723545560091</v>
      </c>
      <c r="H10" s="408">
        <f t="shared" si="13"/>
        <v>108.58817088037958</v>
      </c>
      <c r="I10" s="408">
        <f t="shared" si="13"/>
        <v>112.48045374629029</v>
      </c>
      <c r="J10" s="408">
        <f t="shared" si="13"/>
        <v>116.85870760029958</v>
      </c>
      <c r="K10" s="408">
        <f t="shared" si="13"/>
        <v>113.0884416266145</v>
      </c>
      <c r="L10" s="408">
        <f t="shared" si="13"/>
        <v>118.94273054277009</v>
      </c>
      <c r="M10" s="408">
        <f t="shared" si="13"/>
        <v>118.2069575444653</v>
      </c>
      <c r="N10" s="408">
        <f t="shared" si="13"/>
        <v>109.4080532021392</v>
      </c>
      <c r="O10" s="408">
        <f t="shared" si="13"/>
        <v>97.008250543044511</v>
      </c>
      <c r="P10" s="408">
        <f t="shared" ref="P10:AU10" si="14">+P11+P12</f>
        <v>84.005776171981609</v>
      </c>
      <c r="Q10" s="408">
        <f t="shared" si="14"/>
        <v>93.319081713292093</v>
      </c>
      <c r="R10" s="408">
        <f t="shared" si="14"/>
        <v>112.3784709678533</v>
      </c>
      <c r="S10" s="408">
        <f t="shared" si="14"/>
        <v>119.75371737636812</v>
      </c>
      <c r="T10" s="408">
        <f t="shared" si="14"/>
        <v>118.70984757580159</v>
      </c>
      <c r="U10" s="408">
        <f t="shared" si="14"/>
        <v>130.59171095739751</v>
      </c>
      <c r="V10" s="408">
        <f t="shared" si="14"/>
        <v>130.05082190383811</v>
      </c>
      <c r="W10" s="408">
        <f t="shared" si="14"/>
        <v>117.92101938710979</v>
      </c>
      <c r="X10" s="408">
        <f t="shared" si="14"/>
        <v>128.17874288804879</v>
      </c>
      <c r="Y10" s="408">
        <f t="shared" si="14"/>
        <v>120.98750139000001</v>
      </c>
      <c r="Z10" s="408">
        <f t="shared" si="14"/>
        <v>125.92080483112579</v>
      </c>
      <c r="AA10" s="408">
        <f t="shared" si="14"/>
        <v>114.65884616911262</v>
      </c>
      <c r="AB10" s="408">
        <f t="shared" si="14"/>
        <v>101.0311316095943</v>
      </c>
      <c r="AC10" s="408">
        <f t="shared" si="14"/>
        <v>113.24208122739532</v>
      </c>
      <c r="AD10" s="408">
        <f t="shared" si="14"/>
        <v>84.886427642963014</v>
      </c>
      <c r="AE10" s="408">
        <f t="shared" si="14"/>
        <v>72.374630047461309</v>
      </c>
      <c r="AF10" s="408">
        <f t="shared" si="14"/>
        <v>69.607523580614384</v>
      </c>
      <c r="AG10" s="408">
        <f t="shared" si="14"/>
        <v>78.457461543042015</v>
      </c>
      <c r="AH10" s="408">
        <f t="shared" si="14"/>
        <v>75.776316417039595</v>
      </c>
      <c r="AI10" s="408">
        <f t="shared" si="14"/>
        <v>69.569687331066106</v>
      </c>
      <c r="AJ10" s="408">
        <f t="shared" si="14"/>
        <v>80.4189809835528</v>
      </c>
      <c r="AK10" s="408">
        <f t="shared" si="14"/>
        <v>81.550261297676713</v>
      </c>
      <c r="AL10" s="408">
        <f t="shared" si="14"/>
        <v>89.542778132608703</v>
      </c>
      <c r="AM10" s="408">
        <f t="shared" si="14"/>
        <v>83.107497759907105</v>
      </c>
      <c r="AN10" s="408">
        <f t="shared" si="14"/>
        <v>108.1784696530749</v>
      </c>
      <c r="AO10" s="408">
        <f t="shared" si="14"/>
        <v>115.75796064889091</v>
      </c>
      <c r="AP10" s="408">
        <f t="shared" si="14"/>
        <v>88.501270877364504</v>
      </c>
      <c r="AQ10" s="408">
        <f t="shared" si="14"/>
        <v>69.738490750489376</v>
      </c>
      <c r="AR10" s="408">
        <f t="shared" si="14"/>
        <v>68.426040533222292</v>
      </c>
      <c r="AS10" s="408">
        <f t="shared" si="14"/>
        <v>69.803348670755</v>
      </c>
      <c r="AT10" s="408">
        <f t="shared" si="14"/>
        <v>71.49670601236781</v>
      </c>
      <c r="AU10" s="408">
        <f t="shared" si="14"/>
        <v>69.489369870547108</v>
      </c>
      <c r="AV10" s="408">
        <f t="shared" ref="AV10:CA10" si="15">+AV11+AV12</f>
        <v>77.323739124462591</v>
      </c>
      <c r="AW10" s="408">
        <f t="shared" si="15"/>
        <v>79.497392156188212</v>
      </c>
      <c r="AX10" s="408">
        <f t="shared" si="15"/>
        <v>73.593933997936503</v>
      </c>
      <c r="AY10" s="408">
        <f t="shared" si="15"/>
        <v>91.133251245315876</v>
      </c>
      <c r="AZ10" s="408">
        <f t="shared" si="15"/>
        <v>100.75685911959529</v>
      </c>
      <c r="BA10" s="408">
        <f t="shared" si="15"/>
        <v>124.72509946607541</v>
      </c>
      <c r="BB10" s="408">
        <f t="shared" si="15"/>
        <v>103.081869646283</v>
      </c>
      <c r="BC10" s="408">
        <f t="shared" si="15"/>
        <v>71.76864292439258</v>
      </c>
      <c r="BD10" s="408">
        <f t="shared" si="15"/>
        <v>68.724700057637136</v>
      </c>
      <c r="BE10" s="408">
        <f t="shared" si="15"/>
        <v>70.739411094356427</v>
      </c>
      <c r="BF10" s="408">
        <f t="shared" si="15"/>
        <v>70.626508744252206</v>
      </c>
      <c r="BG10" s="408">
        <f t="shared" si="15"/>
        <v>72.080955084967499</v>
      </c>
      <c r="BH10" s="408">
        <f t="shared" si="15"/>
        <v>76.728998505560298</v>
      </c>
      <c r="BI10" s="408">
        <f t="shared" si="15"/>
        <v>73.269384822187916</v>
      </c>
      <c r="BJ10" s="408">
        <f t="shared" si="15"/>
        <v>81.114931312903906</v>
      </c>
      <c r="BK10" s="408">
        <f t="shared" si="15"/>
        <v>101.91833068933201</v>
      </c>
      <c r="BL10" s="408">
        <f t="shared" si="15"/>
        <v>76.0426179601467</v>
      </c>
      <c r="BM10" s="408">
        <f t="shared" si="15"/>
        <v>75.907047923168136</v>
      </c>
      <c r="BN10" s="408">
        <f t="shared" si="15"/>
        <v>105.90236404472114</v>
      </c>
      <c r="BO10" s="408">
        <f t="shared" si="15"/>
        <v>70.30786463459809</v>
      </c>
      <c r="BP10" s="408">
        <f t="shared" si="15"/>
        <v>68.547295567135222</v>
      </c>
      <c r="BQ10" s="408">
        <f t="shared" si="15"/>
        <v>70.925557424820113</v>
      </c>
      <c r="BR10" s="408">
        <f t="shared" si="15"/>
        <v>81.209980803936816</v>
      </c>
      <c r="BS10" s="408">
        <f t="shared" si="15"/>
        <v>78.367879480518596</v>
      </c>
      <c r="BT10" s="408">
        <f t="shared" si="15"/>
        <v>80.430839743155701</v>
      </c>
      <c r="BU10" s="408">
        <f t="shared" si="15"/>
        <v>79.17059070596369</v>
      </c>
      <c r="BV10" s="408">
        <f t="shared" si="15"/>
        <v>80.794036895255317</v>
      </c>
      <c r="BW10" s="408">
        <f t="shared" si="15"/>
        <v>77.198931040523433</v>
      </c>
      <c r="BX10" s="408">
        <f t="shared" si="15"/>
        <v>68.233735260000003</v>
      </c>
      <c r="BY10" s="408">
        <f t="shared" si="15"/>
        <v>89.649397659934166</v>
      </c>
      <c r="BZ10" s="408">
        <f t="shared" si="15"/>
        <v>72.335081363883077</v>
      </c>
      <c r="CA10" s="408">
        <f t="shared" si="15"/>
        <v>71.0247004298907</v>
      </c>
      <c r="CB10" s="408">
        <f t="shared" ref="CB10:DG10" si="16">+CB11+CB12</f>
        <v>68.645275003614998</v>
      </c>
      <c r="CC10" s="408">
        <f t="shared" si="16"/>
        <v>70.960765707446967</v>
      </c>
      <c r="CD10" s="408">
        <f t="shared" si="16"/>
        <v>81.95982108657698</v>
      </c>
      <c r="CE10" s="408">
        <f t="shared" si="16"/>
        <v>78.40109590925212</v>
      </c>
      <c r="CF10" s="408">
        <f t="shared" si="16"/>
        <v>82.041946209713302</v>
      </c>
      <c r="CG10" s="408">
        <f t="shared" si="16"/>
        <v>78.50166810215984</v>
      </c>
      <c r="CH10" s="408">
        <f t="shared" si="16"/>
        <v>75.859452762477048</v>
      </c>
      <c r="CI10" s="408">
        <f t="shared" si="16"/>
        <v>73.24477856</v>
      </c>
      <c r="CJ10" s="408">
        <f t="shared" si="16"/>
        <v>89.296578432288911</v>
      </c>
      <c r="CK10" s="408">
        <f t="shared" si="16"/>
        <v>78.606277050000003</v>
      </c>
      <c r="CL10" s="408">
        <f t="shared" si="16"/>
        <v>74.348136429999997</v>
      </c>
      <c r="CM10" s="408">
        <f t="shared" si="16"/>
        <v>70.807982209999992</v>
      </c>
      <c r="CN10" s="408">
        <f t="shared" si="16"/>
        <v>66.769025119999995</v>
      </c>
      <c r="CO10" s="408">
        <f t="shared" si="16"/>
        <v>66.953892140000008</v>
      </c>
      <c r="CP10" s="408">
        <f t="shared" si="16"/>
        <v>67.868027899999987</v>
      </c>
      <c r="CQ10" s="408">
        <f t="shared" si="16"/>
        <v>69.198174237777323</v>
      </c>
      <c r="CR10" s="408">
        <f t="shared" si="16"/>
        <v>71.596572510000001</v>
      </c>
      <c r="CS10" s="408">
        <f t="shared" si="16"/>
        <v>71.306930730000005</v>
      </c>
      <c r="CT10" s="408">
        <f t="shared" si="16"/>
        <v>75.062387000000001</v>
      </c>
      <c r="CU10" s="408">
        <f t="shared" si="16"/>
        <v>52.460687317058998</v>
      </c>
      <c r="CV10" s="408">
        <f t="shared" si="16"/>
        <v>50.773455069031414</v>
      </c>
      <c r="CW10" s="408">
        <f t="shared" si="16"/>
        <v>123.4408481291254</v>
      </c>
      <c r="CX10" s="408">
        <f t="shared" si="16"/>
        <v>98.703601249432978</v>
      </c>
      <c r="CY10" s="408">
        <f t="shared" si="16"/>
        <v>66.101633077921406</v>
      </c>
      <c r="CZ10" s="408">
        <f t="shared" si="16"/>
        <v>65.352374707350805</v>
      </c>
      <c r="DA10" s="408">
        <f t="shared" si="16"/>
        <v>70.520820482692315</v>
      </c>
      <c r="DB10" s="408">
        <f t="shared" si="16"/>
        <v>73.687261277972894</v>
      </c>
      <c r="DC10" s="408">
        <f t="shared" si="16"/>
        <v>67.030505866111028</v>
      </c>
      <c r="DD10" s="408">
        <f t="shared" si="16"/>
        <v>69.953839671609515</v>
      </c>
      <c r="DE10" s="408">
        <f t="shared" si="16"/>
        <v>67.0049704703993</v>
      </c>
      <c r="DF10" s="408">
        <f t="shared" si="16"/>
        <v>68.165217701507032</v>
      </c>
      <c r="DG10" s="408">
        <f t="shared" si="16"/>
        <v>61.436035142985688</v>
      </c>
      <c r="DH10" s="408">
        <f t="shared" ref="DH10:DP10" si="17">+DH11+DH12</f>
        <v>78.116078111430028</v>
      </c>
      <c r="DI10" s="408">
        <f t="shared" si="17"/>
        <v>116.25748993299324</v>
      </c>
      <c r="DJ10" s="408">
        <f t="shared" si="17"/>
        <v>105.39272070973806</v>
      </c>
      <c r="DK10" s="408">
        <f t="shared" si="17"/>
        <v>68.053009038040386</v>
      </c>
      <c r="DL10" s="408">
        <f t="shared" si="17"/>
        <v>66.98710837321596</v>
      </c>
      <c r="DM10" s="408">
        <f t="shared" si="17"/>
        <v>68.347046447408019</v>
      </c>
      <c r="DN10" s="408">
        <f t="shared" si="17"/>
        <v>70.519834889614557</v>
      </c>
      <c r="DO10" s="408">
        <f t="shared" si="17"/>
        <v>71.347714029538295</v>
      </c>
      <c r="DP10" s="408">
        <f t="shared" si="17"/>
        <v>71.764019803726995</v>
      </c>
      <c r="DQ10" s="408">
        <f>+DQ11+DQ12</f>
        <v>69.258268196309885</v>
      </c>
      <c r="DR10" s="408"/>
      <c r="DZ10" s="414">
        <f t="shared" si="6"/>
        <v>1317.7494850540986</v>
      </c>
      <c r="EA10" s="414">
        <f t="shared" si="7"/>
        <v>1378.8257457058612</v>
      </c>
      <c r="EB10" s="414">
        <f t="shared" si="7"/>
        <v>1031.116125982127</v>
      </c>
      <c r="EC10" s="414">
        <f t="shared" si="7"/>
        <v>974.9142200552061</v>
      </c>
      <c r="ED10" s="414">
        <f t="shared" si="7"/>
        <v>1004.7506120235275</v>
      </c>
      <c r="EE10" s="414">
        <f t="shared" si="7"/>
        <v>969.52440587275157</v>
      </c>
      <c r="EF10" s="414">
        <f t="shared" si="7"/>
        <v>914.81187053547274</v>
      </c>
      <c r="EG10" s="414">
        <f t="shared" si="7"/>
        <v>875.05876232006608</v>
      </c>
      <c r="EH10" s="414">
        <f t="shared" si="7"/>
        <v>873.19521502021314</v>
      </c>
      <c r="EI10" s="414">
        <f t="shared" si="7"/>
        <v>847.47932467500118</v>
      </c>
    </row>
    <row r="11" spans="2:139">
      <c r="B11" t="s">
        <v>156</v>
      </c>
      <c r="C11" s="380">
        <f>+'2016 (rev3)'!C41/1000</f>
        <v>26.081763051197598</v>
      </c>
      <c r="D11" s="380">
        <f>+'2016 (rev3)'!D41/1000</f>
        <v>39.7230741426281</v>
      </c>
      <c r="E11" s="380">
        <f>+'2016 (rev3)'!E41/1000</f>
        <v>28.203447523925398</v>
      </c>
      <c r="F11" s="380">
        <f>+'2016 (rev3)'!F41/1000</f>
        <v>35.341813397788201</v>
      </c>
      <c r="G11" s="380">
        <f>+'2016 (rev3)'!G41/1000</f>
        <v>43.647145385600901</v>
      </c>
      <c r="H11" s="380">
        <f>+'2016 (rev3)'!H41/1000</f>
        <v>43.5322929603796</v>
      </c>
      <c r="I11" s="380">
        <f>+'2016 (rev3)'!I41/1000</f>
        <v>46.252634026290302</v>
      </c>
      <c r="J11" s="380">
        <f>+'2016 (rev3)'!J41/1000</f>
        <v>49.007100020299603</v>
      </c>
      <c r="K11" s="380">
        <f>+'2016 (rev3)'!K41/1000</f>
        <v>47.106386586614498</v>
      </c>
      <c r="L11" s="380">
        <f>+'2016 (rev3)'!L41/1000</f>
        <v>52.500203302770103</v>
      </c>
      <c r="M11" s="380">
        <f>+'2016 (rev3)'!M41/1000</f>
        <v>53.5536010944653</v>
      </c>
      <c r="N11" s="380">
        <f>+'2016 (rev3)'!N41/1000</f>
        <v>41.5276793221392</v>
      </c>
      <c r="O11" s="380">
        <f>+'2017'!D41/1000</f>
        <v>29.272657413044502</v>
      </c>
      <c r="P11" s="380">
        <f>+'2017'!E41/1000</f>
        <v>19.489250261981599</v>
      </c>
      <c r="Q11" s="380">
        <f>+'2017'!F41/1000</f>
        <v>22.711858653292101</v>
      </c>
      <c r="R11" s="380">
        <f>+'2017'!G41/1000</f>
        <v>46.9749319478533</v>
      </c>
      <c r="S11" s="380">
        <f>+'2017'!H41/1000</f>
        <v>53.403568026368099</v>
      </c>
      <c r="T11" s="380">
        <f>+'2017'!I41/1000</f>
        <v>55.895141435801598</v>
      </c>
      <c r="U11" s="380">
        <f>+'2017'!J41/1000</f>
        <v>67.141649617397505</v>
      </c>
      <c r="V11" s="380">
        <f>+'2017'!K41/1000</f>
        <v>65.521446783838101</v>
      </c>
      <c r="W11" s="380">
        <f>+'2017'!L41/1000</f>
        <v>54.886925967109796</v>
      </c>
      <c r="X11" s="380">
        <f>+'2017'!M41/1000</f>
        <v>64.405112018048797</v>
      </c>
      <c r="Y11" s="380">
        <f>+'2017'!N41/1000</f>
        <v>59.448790000000002</v>
      </c>
      <c r="Z11" s="380">
        <f>+'2017'!O41/1000</f>
        <v>62.6241716611258</v>
      </c>
      <c r="AA11" s="380">
        <f>+'2018-R2 (LDS)'!D41/1000</f>
        <v>58.300336019112613</v>
      </c>
      <c r="AB11" s="380">
        <f>+'2018-R2 (LDS)'!E41/1000</f>
        <v>47.443382109594296</v>
      </c>
      <c r="AC11" s="380">
        <f>+'2018-R2 (LDS)'!F41/1000</f>
        <v>55.875834707395299</v>
      </c>
      <c r="AD11" s="380">
        <f>+'2018-R2 (LDS)'!G41/1000</f>
        <v>28.305500852963</v>
      </c>
      <c r="AE11" s="380">
        <f>+'2018-R2 (LDS)'!H41/1000</f>
        <v>15.953719097461301</v>
      </c>
      <c r="AF11" s="380">
        <f>+'2018-R2 (LDS)'!I41/1000</f>
        <v>15.7015325206144</v>
      </c>
      <c r="AG11" s="380">
        <f>+'2018-R2 (LDS)'!J41/1000</f>
        <v>23.271496933041998</v>
      </c>
      <c r="AH11" s="380">
        <f>+'2018-R2 (LDS)'!K41/1000</f>
        <v>20.566977957039597</v>
      </c>
      <c r="AI11" s="380">
        <f>+'2018-R2 (LDS)'!L41/1000</f>
        <v>15.858081931066101</v>
      </c>
      <c r="AJ11" s="380">
        <f>+'2018-R2 (LDS)'!M41/1000</f>
        <v>25.526263413552797</v>
      </c>
      <c r="AK11" s="380">
        <f>+'2018-R2 (LDS)'!N41/1000</f>
        <v>27.005591257676702</v>
      </c>
      <c r="AL11" s="380">
        <f>+'2018-R2 (LDS)'!O41/1000</f>
        <v>32.040742542608697</v>
      </c>
      <c r="AM11" s="380">
        <f>+'2019-R2'!D41/1000</f>
        <v>17.903532899907106</v>
      </c>
      <c r="AN11" s="380">
        <f>+'2019-R2'!E41/1000</f>
        <v>47.387778203074902</v>
      </c>
      <c r="AO11" s="380">
        <f>+'2019-R2'!F41/1000</f>
        <v>50.636334768890904</v>
      </c>
      <c r="AP11" s="380">
        <f>+'2019-R2'!G41/1000</f>
        <v>28.276113077364506</v>
      </c>
      <c r="AQ11" s="380">
        <f>+'2019-R2'!H41/1000</f>
        <v>9.3500313404893962</v>
      </c>
      <c r="AR11" s="380">
        <f>+'2019-R2'!I41/1000</f>
        <v>11.798534953222291</v>
      </c>
      <c r="AS11" s="380">
        <f>+'2019-R2'!J41/1000</f>
        <v>12.116977450755003</v>
      </c>
      <c r="AT11" s="380">
        <f>+'2019-R2'!K41/1000</f>
        <v>13.609726972367804</v>
      </c>
      <c r="AU11" s="380">
        <f>+'2019-R2'!L41/1000</f>
        <v>12.560693980547105</v>
      </c>
      <c r="AV11" s="380">
        <f>+'2019-R2'!M41/1000</f>
        <v>18.349408184462597</v>
      </c>
      <c r="AW11" s="380">
        <f>+'2019-R2'!N41/1000</f>
        <v>21.218306886188198</v>
      </c>
      <c r="AX11" s="380">
        <f>+'2019-R2'!O41/1000</f>
        <v>12.5988616879365</v>
      </c>
      <c r="AY11" s="380">
        <f>+'2020 R2'!D41/1000</f>
        <v>28.392408465315871</v>
      </c>
      <c r="AZ11" s="380">
        <f>+'2020 R2'!E41/1000</f>
        <v>39.655692219595302</v>
      </c>
      <c r="BA11" s="380">
        <f>+'2020 R2'!F41/1000</f>
        <v>66.6824298360754</v>
      </c>
      <c r="BB11" s="380">
        <f>+'2020 R2'!G41/1000</f>
        <v>55.410090106282993</v>
      </c>
      <c r="BC11" s="380">
        <f>+'2020 R2'!H41/1000</f>
        <v>21.564182204392594</v>
      </c>
      <c r="BD11" s="380">
        <f>+'2020 R2'!I41/1000</f>
        <v>17.650362737637131</v>
      </c>
      <c r="BE11" s="380">
        <f>+'2020 R2'!J41/1000</f>
        <v>16.704738414356413</v>
      </c>
      <c r="BF11" s="380">
        <f>+'2020 R2'!K41/1000</f>
        <v>16.036743504252211</v>
      </c>
      <c r="BG11" s="380">
        <f>+'2020 R2'!L41/1000</f>
        <v>17.827456264967491</v>
      </c>
      <c r="BH11" s="380">
        <f>+'2020 R2'!M41/1000</f>
        <v>19.010820535560278</v>
      </c>
      <c r="BI11" s="380">
        <f>+'2020 R2'!N41/1000</f>
        <v>15.878892922187909</v>
      </c>
      <c r="BJ11" s="380">
        <f>+'2020 R2'!O41/1000</f>
        <v>21.068006532903897</v>
      </c>
      <c r="BK11" s="380">
        <f>+'2021-R2'!D42/1000</f>
        <v>38.437478669332009</v>
      </c>
      <c r="BL11" s="380">
        <f>+'2021-R2'!E42/1000</f>
        <v>19.87084699014671</v>
      </c>
      <c r="BM11" s="380">
        <f>+'2021-R2'!F42/1000</f>
        <v>13.309062513168129</v>
      </c>
      <c r="BN11" s="380">
        <f>+'2021-R2'!G42/1000</f>
        <v>47.657441124721117</v>
      </c>
      <c r="BO11" s="380">
        <f>+'2021-R2'!H42/1000</f>
        <v>12.063320774598084</v>
      </c>
      <c r="BP11" s="380">
        <f>+'2021-R2'!I42/1000</f>
        <v>12.784837777135209</v>
      </c>
      <c r="BQ11" s="380">
        <f>+'2021-R2'!J42/1000</f>
        <v>13.530924734820116</v>
      </c>
      <c r="BR11" s="380">
        <f>+'2021-R2'!K42/1000</f>
        <v>22.754997383936796</v>
      </c>
      <c r="BS11" s="380">
        <f>+'2021-R2'!L42/1000</f>
        <v>19.172309240518583</v>
      </c>
      <c r="BT11" s="380">
        <f>+'2021-R2'!M42/1000</f>
        <v>18.683701443155705</v>
      </c>
      <c r="BU11" s="380">
        <f>+'2021-R2'!N42/1000</f>
        <v>17.527045525963693</v>
      </c>
      <c r="BV11" s="380">
        <f>+'2021-R2'!O42/1000</f>
        <v>16.857149105255303</v>
      </c>
      <c r="BW11" s="380">
        <f>+'2022-R1'!D42/1000</f>
        <v>4.3786734005234464</v>
      </c>
      <c r="BX11" s="380">
        <f>+'2022-R1'!E42/1000</f>
        <v>0</v>
      </c>
      <c r="BY11" s="380">
        <f>+'2022-R1'!F42/1000</f>
        <v>14.565245879934155</v>
      </c>
      <c r="BZ11" s="380">
        <f>+'2022-R1'!G42/1000</f>
        <v>3.1920751738830875</v>
      </c>
      <c r="CA11" s="380">
        <f>+'2022-R1'!H42/1000</f>
        <v>2.4968630998906884</v>
      </c>
      <c r="CB11" s="380">
        <f>+'2022-R1'!I42/1000</f>
        <v>3.5030439836150036</v>
      </c>
      <c r="CC11" s="380">
        <f>+'2022-R1'!J42/1000</f>
        <v>5.5550039374469637</v>
      </c>
      <c r="CD11" s="380">
        <f>+'2022-R1'!K42/1000</f>
        <v>14.740830396576973</v>
      </c>
      <c r="CE11" s="380">
        <f>+'2022-R1'!L42/1000</f>
        <v>10.939620949252115</v>
      </c>
      <c r="CF11" s="380">
        <f>+'2022-R1'!M42/1000</f>
        <v>12.479907719713315</v>
      </c>
      <c r="CG11" s="380">
        <f>+'2022-R1'!N42/1000</f>
        <v>7.8433054421598349</v>
      </c>
      <c r="CH11" s="380">
        <f>+'2022-R1'!O42/1000</f>
        <v>1.2668766124770481</v>
      </c>
      <c r="CI11" s="380">
        <f>+'2023-R1'!D43/1000</f>
        <v>0</v>
      </c>
      <c r="CJ11" s="380">
        <f>+'2023-R1'!E43/1000</f>
        <v>17.515552742288914</v>
      </c>
      <c r="CK11" s="380">
        <f>+'2023-R1'!F43/1000</f>
        <v>0</v>
      </c>
      <c r="CL11" s="380">
        <f>+'2023-R1'!G43/1000</f>
        <v>0</v>
      </c>
      <c r="CM11" s="380">
        <f>+'2023-R1'!H43/1000</f>
        <v>0</v>
      </c>
      <c r="CN11" s="380">
        <f>+'2023-R1'!I43/1000</f>
        <v>0</v>
      </c>
      <c r="CO11" s="380">
        <f>+'2023-R1'!J43/1000</f>
        <v>0</v>
      </c>
      <c r="CP11" s="380">
        <f>+'2023-R1'!K43/1000</f>
        <v>0</v>
      </c>
      <c r="CQ11" s="380">
        <f>+'2023-R1'!L43/1000</f>
        <v>1.6271675977773121</v>
      </c>
      <c r="CR11" s="380">
        <f>+'2023-R1'!M43/1000</f>
        <v>0</v>
      </c>
      <c r="CS11" s="380">
        <f>+'2023-R1'!N43/1000</f>
        <v>0</v>
      </c>
      <c r="CT11" s="380">
        <f>+'2023-R1'!O43/1000</f>
        <v>0</v>
      </c>
      <c r="CU11" s="380">
        <f>+'2024-R1'!D43/1000</f>
        <v>0</v>
      </c>
      <c r="CV11" s="380">
        <f>+'2024-R1'!E43/1000</f>
        <v>0</v>
      </c>
      <c r="CW11" s="380">
        <f>+'2024-R1'!F43/1000</f>
        <v>73.313311859125392</v>
      </c>
      <c r="CX11" s="380">
        <f>+'2024-R1'!G43/1000</f>
        <v>50.055353179432984</v>
      </c>
      <c r="CY11" s="380">
        <f>+'2024-R1'!H43/1000</f>
        <v>17.574992567921399</v>
      </c>
      <c r="CZ11" s="380">
        <f>+'2024-R1'!I43/1000</f>
        <v>20.382876217350809</v>
      </c>
      <c r="DA11" s="380">
        <f>+'2024-R1'!J43/1000</f>
        <v>22.662670352692317</v>
      </c>
      <c r="DB11" s="380">
        <f>+'2024-R1'!K43/1000</f>
        <v>25.085684737972901</v>
      </c>
      <c r="DC11" s="380">
        <f>+'2024-R1'!L43/1000</f>
        <v>19.524811896111014</v>
      </c>
      <c r="DD11" s="380">
        <f>+'2024-R1'!M43/1000</f>
        <v>20.694798141609514</v>
      </c>
      <c r="DE11" s="380">
        <f>+'2024-R1'!N43/1000</f>
        <v>21.242955660399303</v>
      </c>
      <c r="DF11" s="380">
        <f>+'2024-R1'!O43/1000</f>
        <v>20.994738381507034</v>
      </c>
      <c r="DG11" s="380">
        <f>+'2025'!D43/1000</f>
        <v>6.509067782985694</v>
      </c>
      <c r="DH11" s="380">
        <f>+'2025'!E43/1000</f>
        <v>22.768830881430027</v>
      </c>
      <c r="DI11" s="380">
        <f>+'2025'!F43/1000</f>
        <v>59.247886202993236</v>
      </c>
      <c r="DJ11" s="380">
        <f>+'2025'!G43/1000</f>
        <v>52.140475719738042</v>
      </c>
      <c r="DK11" s="380">
        <f>+'2025'!H43/1000</f>
        <v>15.58165854804038</v>
      </c>
      <c r="DL11" s="380">
        <f>+'2025'!I43/1000</f>
        <v>15.987194213215961</v>
      </c>
      <c r="DM11" s="380">
        <f>+'2025'!J43/1000</f>
        <v>15.856041957408001</v>
      </c>
      <c r="DN11" s="380">
        <f>+'2025'!K43/1000</f>
        <v>18.663543929614555</v>
      </c>
      <c r="DO11" s="380">
        <f>+'2025'!L43/1000</f>
        <v>19.2650047595383</v>
      </c>
      <c r="DP11" s="380">
        <f>+'2025'!M43/1000</f>
        <v>18.931509933726979</v>
      </c>
      <c r="DQ11" s="380">
        <f>+'2025'!N43/1000</f>
        <v>17.935785356309875</v>
      </c>
      <c r="DR11" s="380"/>
      <c r="DZ11" s="377">
        <f t="shared" si="6"/>
        <v>506.47714081409885</v>
      </c>
      <c r="EA11" s="377">
        <f t="shared" si="7"/>
        <v>601.77550378586125</v>
      </c>
      <c r="EB11" s="377">
        <f t="shared" si="7"/>
        <v>365.84945934212686</v>
      </c>
      <c r="EC11" s="377">
        <f t="shared" si="7"/>
        <v>255.80630040520634</v>
      </c>
      <c r="ED11" s="377">
        <f t="shared" si="7"/>
        <v>335.88182374352755</v>
      </c>
      <c r="EE11" s="377">
        <f t="shared" si="7"/>
        <v>252.64911528275147</v>
      </c>
      <c r="EF11" s="377">
        <f t="shared" si="7"/>
        <v>80.961446595472623</v>
      </c>
      <c r="EG11" s="377">
        <f t="shared" si="7"/>
        <v>19.142720340066226</v>
      </c>
      <c r="EH11" s="377">
        <f t="shared" si="7"/>
        <v>291.53219299412268</v>
      </c>
      <c r="EI11" s="377">
        <f t="shared" si="7"/>
        <v>262.88699928500102</v>
      </c>
    </row>
    <row r="12" spans="2:139">
      <c r="B12" t="s">
        <v>155</v>
      </c>
      <c r="C12" s="380">
        <f>+'2016 (rev3)'!C57/1000</f>
        <v>71.818352139999988</v>
      </c>
      <c r="D12" s="380">
        <f>+'2016 (rev3)'!D57/1000</f>
        <v>69.295224719999993</v>
      </c>
      <c r="E12" s="380">
        <f>+'2016 (rev3)'!E57/1000</f>
        <v>70.163243680000008</v>
      </c>
      <c r="F12" s="380">
        <f>+'2016 (rev3)'!F57/1000</f>
        <v>67.561815800000005</v>
      </c>
      <c r="G12" s="380">
        <f>+'2016 (rev3)'!G57/1000</f>
        <v>68.340090070000002</v>
      </c>
      <c r="H12" s="380">
        <f>+'2016 (rev3)'!H57/1000</f>
        <v>65.055877919999986</v>
      </c>
      <c r="I12" s="380">
        <f>+'2016 (rev3)'!I57/1000</f>
        <v>66.227819719999999</v>
      </c>
      <c r="J12" s="380">
        <f>+'2016 (rev3)'!J57/1000</f>
        <v>67.851607579999978</v>
      </c>
      <c r="K12" s="380">
        <f>+'2016 (rev3)'!K57/1000</f>
        <v>65.982055039999992</v>
      </c>
      <c r="L12" s="380">
        <f>+'2016 (rev3)'!L57/1000</f>
        <v>66.44252723999999</v>
      </c>
      <c r="M12" s="380">
        <f>+'2016 (rev3)'!M57/1000</f>
        <v>64.653356450000004</v>
      </c>
      <c r="N12" s="380">
        <f>+'2016 (rev3)'!N57/1000</f>
        <v>67.880373879999993</v>
      </c>
      <c r="O12" s="380">
        <f>+'2017'!D57/1000</f>
        <v>67.735593130000012</v>
      </c>
      <c r="P12" s="380">
        <f>+'2017'!E57/1000</f>
        <v>64.516525910000013</v>
      </c>
      <c r="Q12" s="380">
        <f>+'2017'!F57/1000</f>
        <v>70.607223059999995</v>
      </c>
      <c r="R12" s="380">
        <f>+'2017'!G57/1000</f>
        <v>65.403539020000011</v>
      </c>
      <c r="S12" s="380">
        <f>+'2017'!H57/1000</f>
        <v>66.350149350000009</v>
      </c>
      <c r="T12" s="380">
        <f>+'2017'!I57/1000</f>
        <v>62.814706139999991</v>
      </c>
      <c r="U12" s="380">
        <f>+'2017'!J57/1000</f>
        <v>63.450061339999998</v>
      </c>
      <c r="V12" s="380">
        <f>+'2017'!K57/1000</f>
        <v>64.529375120000012</v>
      </c>
      <c r="W12" s="380">
        <f>+'2017'!L57/1000</f>
        <v>63.034093419999998</v>
      </c>
      <c r="X12" s="380">
        <f>+'2017'!M57/1000</f>
        <v>63.773630869999991</v>
      </c>
      <c r="Y12" s="380">
        <f>+'2017'!N57/1000</f>
        <v>61.538711389999996</v>
      </c>
      <c r="Z12" s="380">
        <f>+'2017'!O57/1000</f>
        <v>63.29663317</v>
      </c>
      <c r="AA12" s="380">
        <f>+'2018-R2 (LDS)'!D61/1000</f>
        <v>56.358510150000001</v>
      </c>
      <c r="AB12" s="380">
        <f>+'2018-R2 (LDS)'!E61/1000</f>
        <v>53.587749499999994</v>
      </c>
      <c r="AC12" s="380">
        <f>+'2018-R2 (LDS)'!F61/1000</f>
        <v>57.366246520000018</v>
      </c>
      <c r="AD12" s="380">
        <f>+'2018-R2 (LDS)'!G61/1000</f>
        <v>56.580926790000007</v>
      </c>
      <c r="AE12" s="380">
        <f>+'2018-R2 (LDS)'!H61/1000</f>
        <v>56.420910950000007</v>
      </c>
      <c r="AF12" s="380">
        <f>+'2018-R2 (LDS)'!I61/1000</f>
        <v>53.905991059999984</v>
      </c>
      <c r="AG12" s="380">
        <f>+'2018-R2 (LDS)'!J61/1000</f>
        <v>55.185964610000021</v>
      </c>
      <c r="AH12" s="380">
        <f>+'2018-R2 (LDS)'!K61/1000</f>
        <v>55.209338459999998</v>
      </c>
      <c r="AI12" s="380">
        <f>+'2018-R2 (LDS)'!L61/1000</f>
        <v>53.711605400000003</v>
      </c>
      <c r="AJ12" s="380">
        <f>+'2018-R2 (LDS)'!M61/1000</f>
        <v>54.892717570000002</v>
      </c>
      <c r="AK12" s="380">
        <f>+'2018-R2 (LDS)'!N61/1000</f>
        <v>54.544670040000007</v>
      </c>
      <c r="AL12" s="380">
        <f>+'2018-R2 (LDS)'!O61/1000</f>
        <v>57.502035589999998</v>
      </c>
      <c r="AM12" s="380">
        <f>+'2019-R2'!D65/1000</f>
        <v>65.203964859999999</v>
      </c>
      <c r="AN12" s="380">
        <f>+'2019-R2'!E65/1000</f>
        <v>60.79069144999999</v>
      </c>
      <c r="AO12" s="380">
        <f>+'2019-R2'!F65/1000</f>
        <v>65.121625880000011</v>
      </c>
      <c r="AP12" s="380">
        <f>+'2019-R2'!G65/1000</f>
        <v>60.225157799999991</v>
      </c>
      <c r="AQ12" s="380">
        <f>+'2019-R2'!H65/1000</f>
        <v>60.388459409999982</v>
      </c>
      <c r="AR12" s="380">
        <f>+'2019-R2'!I65/1000</f>
        <v>56.627505579999998</v>
      </c>
      <c r="AS12" s="380">
        <f>+'2019-R2'!J65/1000</f>
        <v>57.686371219999998</v>
      </c>
      <c r="AT12" s="380">
        <f>+'2019-R2'!K65/1000</f>
        <v>57.886979040000007</v>
      </c>
      <c r="AU12" s="380">
        <f>+'2019-R2'!L65/1000</f>
        <v>56.928675890000001</v>
      </c>
      <c r="AV12" s="380">
        <f>+'2019-R2'!M65/1000</f>
        <v>58.974330939999994</v>
      </c>
      <c r="AW12" s="380">
        <f>+'2019-R2'!N65/1000</f>
        <v>58.279085270000017</v>
      </c>
      <c r="AX12" s="380">
        <f>+'2019-R2'!O65/1000</f>
        <v>60.995072310000005</v>
      </c>
      <c r="AY12" s="380">
        <f>+'2020 R2'!D66/1000</f>
        <v>62.740842780000001</v>
      </c>
      <c r="AZ12" s="380">
        <f>+'2020 R2'!E66/1000</f>
        <v>61.101166899999988</v>
      </c>
      <c r="BA12" s="380">
        <f>+'2020 R2'!F66/1000</f>
        <v>58.042669630000006</v>
      </c>
      <c r="BB12" s="380">
        <f>+'2020 R2'!G66/1000</f>
        <v>47.671779540000003</v>
      </c>
      <c r="BC12" s="380">
        <f>+'2020 R2'!H66/1000</f>
        <v>50.204460719999986</v>
      </c>
      <c r="BD12" s="380">
        <f>+'2020 R2'!I66/1000</f>
        <v>51.074337320000005</v>
      </c>
      <c r="BE12" s="380">
        <f>+'2020 R2'!J66/1000</f>
        <v>54.034672680000021</v>
      </c>
      <c r="BF12" s="380">
        <f>+'2020 R2'!K66/1000</f>
        <v>54.589765239999991</v>
      </c>
      <c r="BG12" s="380">
        <f>+'2020 R2'!L66/1000</f>
        <v>54.253498820000011</v>
      </c>
      <c r="BH12" s="380">
        <f>+'2020 R2'!M66/1000</f>
        <v>57.718177970000013</v>
      </c>
      <c r="BI12" s="380">
        <f>+'2020 R2'!N66/1000</f>
        <v>57.390491900000008</v>
      </c>
      <c r="BJ12" s="380">
        <f>+'2020 R2'!O66/1000</f>
        <v>60.046924780000012</v>
      </c>
      <c r="BK12" s="380">
        <f>+'2021-R2'!D69/1000</f>
        <v>63.480852020000007</v>
      </c>
      <c r="BL12" s="380">
        <f>+'2021-R2'!E69/1000</f>
        <v>56.17177096999999</v>
      </c>
      <c r="BM12" s="380">
        <f>+'2021-R2'!F69/1000</f>
        <v>62.597985410000007</v>
      </c>
      <c r="BN12" s="380">
        <f>+'2021-R2'!G69/1000</f>
        <v>58.244922920000022</v>
      </c>
      <c r="BO12" s="380">
        <f>+'2021-R2'!H69/1000</f>
        <v>58.24454386</v>
      </c>
      <c r="BP12" s="380">
        <f>+'2021-R2'!I69/1000</f>
        <v>55.762457790000013</v>
      </c>
      <c r="BQ12" s="380">
        <f>+'2021-R2'!J69/1000</f>
        <v>57.394632690000002</v>
      </c>
      <c r="BR12" s="380">
        <f>+'2021-R2'!K69/1000</f>
        <v>58.454983420000012</v>
      </c>
      <c r="BS12" s="380">
        <f>+'2021-R2'!L69/1000</f>
        <v>59.195570240000009</v>
      </c>
      <c r="BT12" s="380">
        <f>+'2021-R2'!M69/1000</f>
        <v>61.747138300000003</v>
      </c>
      <c r="BU12" s="380">
        <f>+'2021-R2'!N69/1000</f>
        <v>61.643545180000004</v>
      </c>
      <c r="BV12" s="380">
        <f>+'2021-R2'!O69/1000</f>
        <v>63.936887790000007</v>
      </c>
      <c r="BW12" s="380">
        <f>+'2022-R1'!D69/1000</f>
        <v>72.820257639999994</v>
      </c>
      <c r="BX12" s="380">
        <f>+'2022-R1'!E69/1000</f>
        <v>68.233735260000003</v>
      </c>
      <c r="BY12" s="380">
        <f>+'2022-R1'!F69/1000</f>
        <v>75.084151780000013</v>
      </c>
      <c r="BZ12" s="380">
        <f>+'2022-R1'!G69/1000</f>
        <v>69.143006189999994</v>
      </c>
      <c r="CA12" s="380">
        <f>+'2022-R1'!H69/1000</f>
        <v>68.527837330000011</v>
      </c>
      <c r="CB12" s="380">
        <f>+'2022-R1'!I69/1000</f>
        <v>65.142231019999997</v>
      </c>
      <c r="CC12" s="380">
        <f>+'2022-R1'!J69/1000</f>
        <v>65.405761769999998</v>
      </c>
      <c r="CD12" s="380">
        <f>+'2022-R1'!K69/1000</f>
        <v>67.218990690000012</v>
      </c>
      <c r="CE12" s="380">
        <f>+'2022-R1'!L69/1000</f>
        <v>67.461474960000004</v>
      </c>
      <c r="CF12" s="380">
        <f>+'2022-R1'!M69/1000</f>
        <v>69.562038489999992</v>
      </c>
      <c r="CG12" s="380">
        <f>+'2022-R1'!N69/1000</f>
        <v>70.658362660000009</v>
      </c>
      <c r="CH12" s="380">
        <f>+'2022-R1'!O69/1000</f>
        <v>74.592576149999999</v>
      </c>
      <c r="CI12" s="380">
        <f>+'2023-R1'!D69/1000</f>
        <v>73.24477856</v>
      </c>
      <c r="CJ12" s="380">
        <f>+'2023-R1'!E69/1000</f>
        <v>71.781025689999993</v>
      </c>
      <c r="CK12" s="380">
        <f>+'2023-R1'!F69/1000</f>
        <v>78.606277050000003</v>
      </c>
      <c r="CL12" s="380">
        <f>+'2023-R1'!G69/1000</f>
        <v>74.348136429999997</v>
      </c>
      <c r="CM12" s="380">
        <f>+'2023-R1'!H69/1000</f>
        <v>70.807982209999992</v>
      </c>
      <c r="CN12" s="380">
        <f>+'2023-R1'!I69/1000</f>
        <v>66.769025119999995</v>
      </c>
      <c r="CO12" s="380">
        <f>+'2023-R1'!J69/1000</f>
        <v>66.953892140000008</v>
      </c>
      <c r="CP12" s="380">
        <f>+'2023-R1'!K69/1000</f>
        <v>67.868027899999987</v>
      </c>
      <c r="CQ12" s="380">
        <f>+'2023-R1'!L69/1000</f>
        <v>67.571006640000007</v>
      </c>
      <c r="CR12" s="380">
        <f>+'2023-R1'!M69/1000</f>
        <v>71.596572510000001</v>
      </c>
      <c r="CS12" s="380">
        <f>+'2023-R1'!N69/1000</f>
        <v>71.306930730000005</v>
      </c>
      <c r="CT12" s="380">
        <f>+'2023-R1'!O69/1000</f>
        <v>75.062387000000001</v>
      </c>
      <c r="CU12" s="380">
        <f>+'2024-R1'!D72/1000</f>
        <v>52.460687317058998</v>
      </c>
      <c r="CV12" s="380">
        <f>+'2024-R1'!E72/1000</f>
        <v>50.773455069031414</v>
      </c>
      <c r="CW12" s="380">
        <f>+'2024-R1'!F72/1000</f>
        <v>50.127536270000007</v>
      </c>
      <c r="CX12" s="380">
        <f>+'2024-R1'!G72/1000</f>
        <v>48.648248070000001</v>
      </c>
      <c r="CY12" s="380">
        <f>+'2024-R1'!H72/1000</f>
        <v>48.52664051</v>
      </c>
      <c r="CZ12" s="380">
        <f>+'2024-R1'!I72/1000</f>
        <v>44.969498489999999</v>
      </c>
      <c r="DA12" s="380">
        <f>+'2024-R1'!J72/1000</f>
        <v>47.858150129999999</v>
      </c>
      <c r="DB12" s="380">
        <f>+'2024-R1'!K72/1000</f>
        <v>48.601576539999996</v>
      </c>
      <c r="DC12" s="380">
        <f>+'2024-R1'!L72/1000</f>
        <v>47.50569397000001</v>
      </c>
      <c r="DD12" s="380">
        <f>+'2024-R1'!M72/1000</f>
        <v>49.259041530000005</v>
      </c>
      <c r="DE12" s="380">
        <f>+'2024-R1'!N72/1000</f>
        <v>45.762014809999997</v>
      </c>
      <c r="DF12" s="380">
        <f>+'2024-R1'!O72/1000</f>
        <v>47.170479320000005</v>
      </c>
      <c r="DG12" s="380">
        <f>+'2025'!D74/1000</f>
        <v>54.926967359999992</v>
      </c>
      <c r="DH12" s="380">
        <f>+'2025'!E74/1000</f>
        <v>55.347247230000001</v>
      </c>
      <c r="DI12" s="380">
        <f>+'2025'!F74/1000</f>
        <v>57.009603730000002</v>
      </c>
      <c r="DJ12" s="380">
        <f>+'2025'!G74/1000</f>
        <v>53.252244990000008</v>
      </c>
      <c r="DK12" s="380">
        <f>+'2025'!H74/1000</f>
        <v>52.471350489999999</v>
      </c>
      <c r="DL12" s="380">
        <f>+'2025'!I74/1000</f>
        <v>50.999914160000003</v>
      </c>
      <c r="DM12" s="380">
        <f>+'2025'!J74/1000</f>
        <v>52.491004490000016</v>
      </c>
      <c r="DN12" s="380">
        <f>+'2025'!K74/1000</f>
        <v>51.856290960000003</v>
      </c>
      <c r="DO12" s="380">
        <f>+'2025'!L74/1000</f>
        <v>52.082709269999995</v>
      </c>
      <c r="DP12" s="380">
        <f>+'2025'!M74/1000</f>
        <v>52.83250987000001</v>
      </c>
      <c r="DQ12" s="380">
        <f>+'2025'!N74/1000</f>
        <v>51.322482840000006</v>
      </c>
      <c r="DR12" s="380"/>
      <c r="DZ12" s="377">
        <f t="shared" si="6"/>
        <v>811.27234423999994</v>
      </c>
      <c r="EA12" s="377">
        <f t="shared" si="7"/>
        <v>777.05024191999996</v>
      </c>
      <c r="EB12" s="377">
        <f t="shared" si="7"/>
        <v>665.26666664000004</v>
      </c>
      <c r="EC12" s="377">
        <f t="shared" si="7"/>
        <v>719.10791964999987</v>
      </c>
      <c r="ED12" s="377">
        <f t="shared" si="7"/>
        <v>668.8687882800001</v>
      </c>
      <c r="EE12" s="377">
        <f t="shared" si="7"/>
        <v>716.87529059000008</v>
      </c>
      <c r="EF12" s="377">
        <f t="shared" si="7"/>
        <v>833.85042394000004</v>
      </c>
      <c r="EG12" s="377">
        <f t="shared" si="7"/>
        <v>855.91604197999982</v>
      </c>
      <c r="EH12" s="377">
        <f t="shared" si="7"/>
        <v>581.6630220260904</v>
      </c>
      <c r="EI12" s="377">
        <f t="shared" si="7"/>
        <v>584.59232539000004</v>
      </c>
    </row>
    <row r="14" spans="2:139">
      <c r="B14" s="403" t="s">
        <v>151</v>
      </c>
      <c r="C14" s="406">
        <f>+SUM(C7:C8)/SUM(C4:C6)</f>
        <v>2.2886126141838409E-2</v>
      </c>
      <c r="D14" s="406">
        <f t="shared" ref="D14:N14" si="18">+SUM(D7:D8)/SUM(D4:D6)</f>
        <v>2.0045951509907223E-2</v>
      </c>
      <c r="E14" s="406">
        <f t="shared" si="18"/>
        <v>1.9572144900898307E-2</v>
      </c>
      <c r="F14" s="406">
        <f t="shared" si="18"/>
        <v>2.029784589420142E-2</v>
      </c>
      <c r="G14" s="406">
        <f t="shared" si="18"/>
        <v>2.0718391025579548E-2</v>
      </c>
      <c r="H14" s="406">
        <f t="shared" si="18"/>
        <v>2.0980240382437631E-2</v>
      </c>
      <c r="I14" s="406">
        <f t="shared" si="18"/>
        <v>2.0291240877316475E-2</v>
      </c>
      <c r="J14" s="406">
        <f t="shared" si="18"/>
        <v>2.2892914141609818E-2</v>
      </c>
      <c r="K14" s="406">
        <f t="shared" si="18"/>
        <v>2.1289033575301534E-2</v>
      </c>
      <c r="L14" s="406">
        <f t="shared" si="18"/>
        <v>1.8662432258574932E-2</v>
      </c>
      <c r="M14" s="406">
        <f t="shared" si="18"/>
        <v>2.1401356412809786E-2</v>
      </c>
      <c r="N14" s="406">
        <f t="shared" si="18"/>
        <v>1.9613959662424543E-2</v>
      </c>
      <c r="O14" s="406">
        <f>+SUM(O7:O8)/SUM(O4:O6)</f>
        <v>2.0381004595880409E-2</v>
      </c>
      <c r="P14" s="406">
        <f t="shared" ref="P14:AA14" si="19">+SUM(P7:P8)/SUM(P4:P6)</f>
        <v>2.2648252565640827E-2</v>
      </c>
      <c r="Q14" s="406">
        <f t="shared" si="19"/>
        <v>2.0955111865092267E-2</v>
      </c>
      <c r="R14" s="406">
        <f t="shared" si="19"/>
        <v>1.6565368983139948E-2</v>
      </c>
      <c r="S14" s="406">
        <f t="shared" si="19"/>
        <v>2.2500396836901883E-2</v>
      </c>
      <c r="T14" s="406">
        <f t="shared" si="19"/>
        <v>1.9883637062080572E-2</v>
      </c>
      <c r="U14" s="406">
        <f t="shared" si="19"/>
        <v>1.9420040791250252E-2</v>
      </c>
      <c r="V14" s="406">
        <f t="shared" si="19"/>
        <v>1.9364713111906028E-2</v>
      </c>
      <c r="W14" s="406">
        <f t="shared" si="19"/>
        <v>2.0469477848889618E-2</v>
      </c>
      <c r="X14" s="406">
        <f t="shared" si="19"/>
        <v>1.6291940972775889E-2</v>
      </c>
      <c r="Y14" s="406">
        <f t="shared" si="19"/>
        <v>1.527548094330548E-2</v>
      </c>
      <c r="Z14" s="406">
        <f t="shared" si="19"/>
        <v>1.3003706012456215E-2</v>
      </c>
      <c r="AA14" s="406">
        <f t="shared" si="19"/>
        <v>1.6566500654826774E-2</v>
      </c>
      <c r="AB14" s="406">
        <f t="shared" ref="AB14:AM14" si="20">+SUM(AB7:AB8)/SUM(AB4:AB6)</f>
        <v>1.6626226911857826E-2</v>
      </c>
      <c r="AC14" s="406">
        <f t="shared" si="20"/>
        <v>1.6238944348568145E-2</v>
      </c>
      <c r="AD14" s="406">
        <f t="shared" si="20"/>
        <v>1.8049961449265663E-2</v>
      </c>
      <c r="AE14" s="406">
        <f t="shared" si="20"/>
        <v>1.9582116290207816E-2</v>
      </c>
      <c r="AF14" s="406">
        <f t="shared" si="20"/>
        <v>1.9344717996303943E-2</v>
      </c>
      <c r="AG14" s="406">
        <f t="shared" si="20"/>
        <v>1.7260193183520945E-2</v>
      </c>
      <c r="AH14" s="406">
        <f t="shared" si="20"/>
        <v>1.7191594606948444E-2</v>
      </c>
      <c r="AI14" s="406">
        <f t="shared" si="20"/>
        <v>1.7540600973988532E-2</v>
      </c>
      <c r="AJ14" s="406">
        <f t="shared" si="20"/>
        <v>1.6696745795387692E-2</v>
      </c>
      <c r="AK14" s="406">
        <f t="shared" si="20"/>
        <v>1.6995869428750691E-2</v>
      </c>
      <c r="AL14" s="406">
        <f t="shared" si="20"/>
        <v>1.6888579252938248E-2</v>
      </c>
      <c r="AM14" s="406">
        <f t="shared" si="20"/>
        <v>1.7114382847203236E-2</v>
      </c>
      <c r="AN14" s="406">
        <f t="shared" ref="AN14:AX14" si="21">+SUM(AN7:AN8)/SUM(AN4:AN6)</f>
        <v>1.286125742511598E-2</v>
      </c>
      <c r="AO14" s="406">
        <f t="shared" si="21"/>
        <v>1.5585818749288372E-2</v>
      </c>
      <c r="AP14" s="406">
        <f t="shared" si="21"/>
        <v>1.7748797575880861E-2</v>
      </c>
      <c r="AQ14" s="406">
        <f t="shared" si="21"/>
        <v>2.0022722621899077E-2</v>
      </c>
      <c r="AR14" s="406">
        <f t="shared" si="21"/>
        <v>1.9853120615258197E-2</v>
      </c>
      <c r="AS14" s="406">
        <f t="shared" si="21"/>
        <v>1.9900377181191184E-2</v>
      </c>
      <c r="AT14" s="406">
        <f t="shared" si="21"/>
        <v>1.957416369279795E-2</v>
      </c>
      <c r="AU14" s="406">
        <f t="shared" si="21"/>
        <v>2.0004789729303835E-2</v>
      </c>
      <c r="AV14" s="406">
        <f t="shared" si="21"/>
        <v>2.0064998111020936E-2</v>
      </c>
      <c r="AW14" s="406">
        <f t="shared" si="21"/>
        <v>1.9399138853236301E-2</v>
      </c>
      <c r="AX14" s="406">
        <f t="shared" si="21"/>
        <v>2.0610589291274534E-2</v>
      </c>
      <c r="AY14" s="406">
        <f t="shared" ref="AY14:CY14" si="22">+SUM(AY7:AY8)/SUM(AY4:AY6)</f>
        <v>1.8571685909770329E-2</v>
      </c>
      <c r="AZ14" s="406">
        <f t="shared" ref="AZ14:BJ14" si="23">+SUM(AZ7:AZ8)/SUM(AZ4:AZ6)</f>
        <v>1.6853696658073396E-2</v>
      </c>
      <c r="BA14" s="406">
        <f t="shared" si="23"/>
        <v>1.620788790488779E-2</v>
      </c>
      <c r="BB14" s="406">
        <f t="shared" si="23"/>
        <v>1.7099846804549918E-2</v>
      </c>
      <c r="BC14" s="406">
        <f t="shared" si="23"/>
        <v>2.0650970978184767E-2</v>
      </c>
      <c r="BD14" s="406">
        <f t="shared" si="23"/>
        <v>2.0450100437536808E-2</v>
      </c>
      <c r="BE14" s="406">
        <f t="shared" si="23"/>
        <v>2.0236131969783105E-2</v>
      </c>
      <c r="BF14" s="406">
        <f t="shared" si="23"/>
        <v>2.0402434100341749E-2</v>
      </c>
      <c r="BG14" s="406">
        <f t="shared" si="23"/>
        <v>2.0294362489175363E-2</v>
      </c>
      <c r="BH14" s="406">
        <f t="shared" si="23"/>
        <v>1.9818173274622878E-2</v>
      </c>
      <c r="BI14" s="406">
        <f t="shared" si="23"/>
        <v>1.8819652340850031E-2</v>
      </c>
      <c r="BJ14" s="406">
        <f t="shared" si="23"/>
        <v>1.9011801904519749E-2</v>
      </c>
      <c r="BK14" s="406">
        <f t="shared" si="22"/>
        <v>1.7507153134500148E-2</v>
      </c>
      <c r="BL14" s="406">
        <f t="shared" si="22"/>
        <v>1.9741230403592522E-2</v>
      </c>
      <c r="BM14" s="406">
        <f t="shared" si="22"/>
        <v>2.0226407045399044E-2</v>
      </c>
      <c r="BN14" s="406">
        <f t="shared" si="22"/>
        <v>1.7764328612181506E-2</v>
      </c>
      <c r="BO14" s="406">
        <f t="shared" si="22"/>
        <v>2.1562880225460438E-2</v>
      </c>
      <c r="BP14" s="406">
        <f t="shared" si="22"/>
        <v>2.1299955068830964E-2</v>
      </c>
      <c r="BQ14" s="406">
        <f t="shared" si="22"/>
        <v>2.2107865182410168E-2</v>
      </c>
      <c r="BR14" s="406">
        <f t="shared" si="22"/>
        <v>1.9768726690675979E-2</v>
      </c>
      <c r="BS14" s="406">
        <f t="shared" si="22"/>
        <v>2.0019118713208411E-2</v>
      </c>
      <c r="BT14" s="406">
        <f t="shared" si="22"/>
        <v>1.9479886204241636E-2</v>
      </c>
      <c r="BU14" s="406">
        <f t="shared" si="22"/>
        <v>1.9318819454166691E-2</v>
      </c>
      <c r="BV14" s="406">
        <f t="shared" si="22"/>
        <v>1.9366787282421739E-2</v>
      </c>
      <c r="BW14" s="406">
        <f t="shared" si="22"/>
        <v>1.9812611607682419E-2</v>
      </c>
      <c r="BX14" s="406">
        <f t="shared" si="22"/>
        <v>1.9906035965113943E-2</v>
      </c>
      <c r="BY14" s="406">
        <f t="shared" si="22"/>
        <v>1.9233678922238959E-2</v>
      </c>
      <c r="BZ14" s="406">
        <f t="shared" si="22"/>
        <v>1.997658896265091E-2</v>
      </c>
      <c r="CA14" s="406">
        <f t="shared" si="22"/>
        <v>2.0258909712387595E-2</v>
      </c>
      <c r="CB14" s="406">
        <f t="shared" si="22"/>
        <v>2.0903563350381561E-2</v>
      </c>
      <c r="CC14" s="406">
        <f t="shared" si="22"/>
        <v>2.0977986462321463E-2</v>
      </c>
      <c r="CD14" s="406">
        <f t="shared" si="22"/>
        <v>1.9531242868355315E-2</v>
      </c>
      <c r="CE14" s="406">
        <f t="shared" si="22"/>
        <v>2.1862320679130416E-2</v>
      </c>
      <c r="CF14" s="406">
        <f t="shared" si="22"/>
        <v>1.995804617219173E-2</v>
      </c>
      <c r="CG14" s="406">
        <f t="shared" si="22"/>
        <v>2.5884822648121145E-2</v>
      </c>
      <c r="CH14" s="406">
        <f t="shared" si="22"/>
        <v>2.1043014097248857E-2</v>
      </c>
      <c r="CI14" s="406">
        <f t="shared" si="22"/>
        <v>1.9498304358635705E-2</v>
      </c>
      <c r="CJ14" s="406">
        <f t="shared" ref="CJ14:CT14" si="24">+SUM(CJ7:CJ8)/SUM(CJ4:CJ6)</f>
        <v>1.7889622323029829E-2</v>
      </c>
      <c r="CK14" s="406">
        <f t="shared" si="24"/>
        <v>1.9471651447483473E-2</v>
      </c>
      <c r="CL14" s="406">
        <f t="shared" si="24"/>
        <v>1.724892033634777E-2</v>
      </c>
      <c r="CM14" s="406">
        <f t="shared" si="24"/>
        <v>1.9197299409040348E-2</v>
      </c>
      <c r="CN14" s="406">
        <f t="shared" si="24"/>
        <v>1.9860606685273074E-2</v>
      </c>
      <c r="CO14" s="406">
        <f t="shared" si="24"/>
        <v>2.0490009899697476E-2</v>
      </c>
      <c r="CP14" s="406">
        <f t="shared" si="24"/>
        <v>2.0011158572619859E-2</v>
      </c>
      <c r="CQ14" s="406">
        <f t="shared" si="24"/>
        <v>2.0025534657930867E-2</v>
      </c>
      <c r="CR14" s="406">
        <f t="shared" si="24"/>
        <v>1.9230982146049E-2</v>
      </c>
      <c r="CS14" s="406">
        <f t="shared" si="24"/>
        <v>2.0376403377004016E-2</v>
      </c>
      <c r="CT14" s="406">
        <f t="shared" si="24"/>
        <v>1.8592382504237306E-2</v>
      </c>
      <c r="CU14" s="406">
        <f t="shared" si="22"/>
        <v>2.3076320393845714E-2</v>
      </c>
      <c r="CV14" s="406">
        <f t="shared" si="22"/>
        <v>2.0978418107089666E-2</v>
      </c>
      <c r="CW14" s="406">
        <f t="shared" si="22"/>
        <v>1.7033852689921407E-2</v>
      </c>
      <c r="CX14" s="406">
        <f t="shared" si="22"/>
        <v>1.7552040335751706E-2</v>
      </c>
      <c r="CY14" s="406">
        <f t="shared" si="22"/>
        <v>2.0997208398554297E-2</v>
      </c>
      <c r="CZ14" s="406">
        <f t="shared" ref="CZ14:DQ14" si="25">+SUM(CZ7:CZ8)/SUM(CZ4:CZ6)</f>
        <v>2.0803988801620397E-2</v>
      </c>
      <c r="DA14" s="406">
        <f t="shared" si="25"/>
        <v>2.0687941217455784E-2</v>
      </c>
      <c r="DB14" s="406">
        <f t="shared" si="25"/>
        <v>1.958618407513096E-2</v>
      </c>
      <c r="DC14" s="406">
        <f t="shared" si="25"/>
        <v>2.0027208692776542E-2</v>
      </c>
      <c r="DD14" s="406">
        <f t="shared" si="25"/>
        <v>1.9105628899728E-2</v>
      </c>
      <c r="DE14" s="406">
        <f t="shared" si="25"/>
        <v>1.9083457769902334E-2</v>
      </c>
      <c r="DF14" s="406">
        <f t="shared" si="25"/>
        <v>1.986754044859642E-2</v>
      </c>
      <c r="DG14" s="406">
        <f t="shared" si="25"/>
        <v>4.540689499432083E-3</v>
      </c>
      <c r="DH14" s="406">
        <f t="shared" si="25"/>
        <v>3.2369595807884986E-3</v>
      </c>
      <c r="DI14" s="406">
        <f t="shared" si="25"/>
        <v>2.8374142341537033E-3</v>
      </c>
      <c r="DJ14" s="406">
        <f t="shared" si="25"/>
        <v>2.9466815001335548E-3</v>
      </c>
      <c r="DK14" s="406">
        <f t="shared" si="25"/>
        <v>4.1366200029372404E-3</v>
      </c>
      <c r="DL14" s="406">
        <f t="shared" si="25"/>
        <v>4.3201772228864442E-3</v>
      </c>
      <c r="DM14" s="406">
        <f t="shared" si="25"/>
        <v>4.2496042737410738E-3</v>
      </c>
      <c r="DN14" s="406">
        <f t="shared" si="25"/>
        <v>4.0936500323197319E-3</v>
      </c>
      <c r="DO14" s="406">
        <f t="shared" si="25"/>
        <v>4.0284747305419245E-3</v>
      </c>
      <c r="DP14" s="406">
        <f t="shared" si="25"/>
        <v>3.8324105991689198E-3</v>
      </c>
      <c r="DQ14" s="406">
        <f t="shared" si="25"/>
        <v>4.0027334104402144E-3</v>
      </c>
      <c r="DR14" s="406"/>
    </row>
    <row r="16" spans="2:139">
      <c r="B16" t="s">
        <v>148</v>
      </c>
      <c r="C16" s="377">
        <f>+C4*(1-C$14)</f>
        <v>60.158034853929948</v>
      </c>
      <c r="D16" s="377">
        <f t="shared" ref="D16:N17" si="26">+D4*(1-D$14)</f>
        <v>65.076945454534638</v>
      </c>
      <c r="E16" s="377">
        <f t="shared" si="26"/>
        <v>60.982594894689271</v>
      </c>
      <c r="F16" s="377">
        <f t="shared" si="26"/>
        <v>58.211854958952465</v>
      </c>
      <c r="G16" s="377">
        <f t="shared" si="26"/>
        <v>59.823945243324715</v>
      </c>
      <c r="H16" s="377">
        <f t="shared" si="26"/>
        <v>58.18364532225069</v>
      </c>
      <c r="I16" s="377">
        <f t="shared" si="26"/>
        <v>60.137593423086074</v>
      </c>
      <c r="J16" s="377">
        <f t="shared" si="26"/>
        <v>59.87791102471828</v>
      </c>
      <c r="K16" s="377">
        <f t="shared" si="26"/>
        <v>63.369068584748838</v>
      </c>
      <c r="L16" s="377">
        <f t="shared" si="26"/>
        <v>65.619881949272241</v>
      </c>
      <c r="M16" s="377">
        <f t="shared" si="26"/>
        <v>62.699924977433703</v>
      </c>
      <c r="N16" s="377">
        <f t="shared" si="26"/>
        <v>62.77444194817744</v>
      </c>
      <c r="O16" s="377">
        <f>+O4*(1-O$14)</f>
        <v>59.896141770387629</v>
      </c>
      <c r="P16" s="377">
        <f t="shared" ref="P16:AA16" si="27">+P4*(1-P$14)</f>
        <v>53.250432795928155</v>
      </c>
      <c r="Q16" s="377">
        <f t="shared" si="27"/>
        <v>55.788942299135236</v>
      </c>
      <c r="R16" s="377">
        <f t="shared" si="27"/>
        <v>83.575013533481538</v>
      </c>
      <c r="S16" s="377">
        <f t="shared" si="27"/>
        <v>65.697036831421229</v>
      </c>
      <c r="T16" s="377">
        <f t="shared" si="27"/>
        <v>63.563647469010739</v>
      </c>
      <c r="U16" s="377">
        <f t="shared" si="27"/>
        <v>70.992677524566787</v>
      </c>
      <c r="V16" s="377">
        <f t="shared" si="27"/>
        <v>71.066877949598563</v>
      </c>
      <c r="W16" s="377">
        <f t="shared" si="27"/>
        <v>73.941369397188353</v>
      </c>
      <c r="X16" s="377">
        <f t="shared" si="27"/>
        <v>76.900023717083798</v>
      </c>
      <c r="Y16" s="377">
        <f t="shared" si="27"/>
        <v>73.906989263755179</v>
      </c>
      <c r="Z16" s="377">
        <f t="shared" si="27"/>
        <v>77.140985923228968</v>
      </c>
      <c r="AA16" s="377">
        <f t="shared" si="27"/>
        <v>87.600917828219693</v>
      </c>
      <c r="AB16" s="377">
        <f t="shared" ref="AB16:AM16" si="28">+AB4*(1-AB$14)</f>
        <v>90.304641645226084</v>
      </c>
      <c r="AC16" s="377">
        <f t="shared" si="28"/>
        <v>106.81703211057226</v>
      </c>
      <c r="AD16" s="377">
        <f t="shared" si="28"/>
        <v>80.91053203141729</v>
      </c>
      <c r="AE16" s="377">
        <f t="shared" si="28"/>
        <v>65.771018408408793</v>
      </c>
      <c r="AF16" s="377">
        <f t="shared" si="28"/>
        <v>65.738214610257373</v>
      </c>
      <c r="AG16" s="377">
        <f t="shared" si="28"/>
        <v>72.864248142800818</v>
      </c>
      <c r="AH16" s="377">
        <f t="shared" si="28"/>
        <v>72.461096122882893</v>
      </c>
      <c r="AI16" s="377">
        <f t="shared" si="28"/>
        <v>68.790374928791863</v>
      </c>
      <c r="AJ16" s="377">
        <f t="shared" si="28"/>
        <v>77.447922332746117</v>
      </c>
      <c r="AK16" s="377">
        <f t="shared" si="28"/>
        <v>73.367825537030186</v>
      </c>
      <c r="AL16" s="377">
        <f t="shared" si="28"/>
        <v>76.94275415660735</v>
      </c>
      <c r="AM16" s="377">
        <f t="shared" si="28"/>
        <v>73.651735781472453</v>
      </c>
      <c r="AN16" s="377">
        <f t="shared" ref="AN16:AX16" si="29">+AN4*(1-AN$14)</f>
        <v>96.287401561371539</v>
      </c>
      <c r="AO16" s="377">
        <f t="shared" si="29"/>
        <v>106.47939157577797</v>
      </c>
      <c r="AP16" s="377">
        <f t="shared" si="29"/>
        <v>88.47482931655027</v>
      </c>
      <c r="AQ16" s="377">
        <f t="shared" si="29"/>
        <v>69.718655834335493</v>
      </c>
      <c r="AR16" s="377">
        <f t="shared" si="29"/>
        <v>68.400347138747108</v>
      </c>
      <c r="AS16" s="377">
        <f t="shared" si="29"/>
        <v>69.766679708265912</v>
      </c>
      <c r="AT16" s="377">
        <f t="shared" si="29"/>
        <v>71.486035879430162</v>
      </c>
      <c r="AU16" s="377">
        <f t="shared" si="29"/>
        <v>69.146750771526939</v>
      </c>
      <c r="AV16" s="377">
        <f t="shared" si="29"/>
        <v>77.291924391959398</v>
      </c>
      <c r="AW16" s="377">
        <f t="shared" si="29"/>
        <v>79.454519813879585</v>
      </c>
      <c r="AX16" s="377">
        <f t="shared" si="29"/>
        <v>73.482251183097659</v>
      </c>
      <c r="AY16" s="377">
        <f t="shared" ref="AY16:CY16" si="30">+AY4*(1-AY$14)</f>
        <v>91.112492698494535</v>
      </c>
      <c r="AZ16" s="377">
        <f t="shared" ref="AZ16:BJ16" si="31">+AZ4*(1-AZ$14)</f>
        <v>100.7156854701562</v>
      </c>
      <c r="BA16" s="377">
        <f t="shared" si="31"/>
        <v>124.72417616194812</v>
      </c>
      <c r="BB16" s="377">
        <f t="shared" si="31"/>
        <v>103.08008603795437</v>
      </c>
      <c r="BC16" s="377">
        <f t="shared" si="31"/>
        <v>71.765298222747802</v>
      </c>
      <c r="BD16" s="377">
        <f t="shared" si="31"/>
        <v>68.723066762258568</v>
      </c>
      <c r="BE16" s="377">
        <f t="shared" si="31"/>
        <v>70.735926648901554</v>
      </c>
      <c r="BF16" s="377">
        <f t="shared" si="31"/>
        <v>70.62479869095317</v>
      </c>
      <c r="BG16" s="377">
        <f t="shared" si="31"/>
        <v>72.057659993643952</v>
      </c>
      <c r="BH16" s="377">
        <f t="shared" si="31"/>
        <v>76.679020813140966</v>
      </c>
      <c r="BI16" s="377">
        <f t="shared" si="31"/>
        <v>73.219928871957563</v>
      </c>
      <c r="BJ16" s="377">
        <f t="shared" si="31"/>
        <v>81.08732885048515</v>
      </c>
      <c r="BK16" s="377">
        <f t="shared" si="30"/>
        <v>101.9154068982598</v>
      </c>
      <c r="BL16" s="377">
        <f t="shared" si="30"/>
        <v>76.036645322696074</v>
      </c>
      <c r="BM16" s="377">
        <f t="shared" si="30"/>
        <v>75.878114787436559</v>
      </c>
      <c r="BN16" s="377">
        <f t="shared" si="30"/>
        <v>105.88437616632379</v>
      </c>
      <c r="BO16" s="377">
        <f t="shared" si="30"/>
        <v>70.257066622634369</v>
      </c>
      <c r="BP16" s="377">
        <f t="shared" si="30"/>
        <v>68.543505730482906</v>
      </c>
      <c r="BQ16" s="377">
        <f t="shared" si="30"/>
        <v>70.702635202059554</v>
      </c>
      <c r="BR16" s="377">
        <f t="shared" si="30"/>
        <v>81.043552789742591</v>
      </c>
      <c r="BS16" s="377">
        <f t="shared" si="30"/>
        <v>78.144978759754153</v>
      </c>
      <c r="BT16" s="377">
        <f t="shared" si="30"/>
        <v>80.255438278041737</v>
      </c>
      <c r="BU16" s="377">
        <f t="shared" si="30"/>
        <v>79.024339608794321</v>
      </c>
      <c r="BV16" s="377">
        <f t="shared" si="30"/>
        <v>80.595013359234969</v>
      </c>
      <c r="BW16" s="377">
        <f t="shared" si="30"/>
        <v>77.013280690865955</v>
      </c>
      <c r="BX16" s="377">
        <f t="shared" si="30"/>
        <v>64.441130648209523</v>
      </c>
      <c r="BY16" s="377">
        <f t="shared" si="30"/>
        <v>89.46600782733384</v>
      </c>
      <c r="BZ16" s="377">
        <f t="shared" si="30"/>
        <v>72.174875921626779</v>
      </c>
      <c r="CA16" s="377">
        <f t="shared" si="30"/>
        <v>70.844923143256182</v>
      </c>
      <c r="CB16" s="377">
        <f t="shared" si="30"/>
        <v>68.463553713866474</v>
      </c>
      <c r="CC16" s="377">
        <f t="shared" si="30"/>
        <v>70.747875758704211</v>
      </c>
      <c r="CD16" s="377">
        <f t="shared" si="30"/>
        <v>81.775845707489992</v>
      </c>
      <c r="CE16" s="377">
        <f t="shared" si="30"/>
        <v>77.794420766889274</v>
      </c>
      <c r="CF16" s="377">
        <f t="shared" si="30"/>
        <v>81.773951585725698</v>
      </c>
      <c r="CG16" s="377">
        <f t="shared" si="30"/>
        <v>75.07854770050568</v>
      </c>
      <c r="CH16" s="377">
        <f t="shared" si="30"/>
        <v>75.528337207678959</v>
      </c>
      <c r="CI16" s="377">
        <f t="shared" si="30"/>
        <v>63.850886603970984</v>
      </c>
      <c r="CJ16" s="377">
        <f t="shared" ref="CJ16:CT16" si="32">+CJ4*(1-CJ$14)</f>
        <v>89.163789867793284</v>
      </c>
      <c r="CK16" s="377">
        <f t="shared" si="32"/>
        <v>66.073044341697255</v>
      </c>
      <c r="CL16" s="377">
        <f t="shared" si="32"/>
        <v>55.225117287877254</v>
      </c>
      <c r="CM16" s="377">
        <f t="shared" si="32"/>
        <v>62.107027631233308</v>
      </c>
      <c r="CN16" s="377">
        <f t="shared" si="32"/>
        <v>60.077061101980412</v>
      </c>
      <c r="CO16" s="377">
        <f t="shared" si="32"/>
        <v>61.305861447359959</v>
      </c>
      <c r="CP16" s="377">
        <f t="shared" si="32"/>
        <v>62.983051720260306</v>
      </c>
      <c r="CQ16" s="377">
        <f t="shared" si="32"/>
        <v>66.030715200667871</v>
      </c>
      <c r="CR16" s="377">
        <f t="shared" si="32"/>
        <v>66.663947811196408</v>
      </c>
      <c r="CS16" s="377">
        <f t="shared" si="32"/>
        <v>67.220200981560453</v>
      </c>
      <c r="CT16" s="377">
        <f t="shared" si="32"/>
        <v>63.89383817742268</v>
      </c>
      <c r="CU16" s="377">
        <f t="shared" si="30"/>
        <v>51.622010006725944</v>
      </c>
      <c r="CV16" s="377">
        <f t="shared" si="30"/>
        <v>47.445578982194007</v>
      </c>
      <c r="CW16" s="377">
        <f t="shared" si="30"/>
        <v>123.29386505429416</v>
      </c>
      <c r="CX16" s="377">
        <f t="shared" si="30"/>
        <v>98.546760989952787</v>
      </c>
      <c r="CY16" s="377">
        <f t="shared" si="30"/>
        <v>65.977476565850665</v>
      </c>
      <c r="CZ16" s="377">
        <f t="shared" ref="CZ16:DQ16" si="33">+CZ4*(1-CZ$14)</f>
        <v>65.181792136084383</v>
      </c>
      <c r="DA16" s="377">
        <f t="shared" si="33"/>
        <v>70.335028998004248</v>
      </c>
      <c r="DB16" s="377">
        <f t="shared" si="33"/>
        <v>73.555119906996822</v>
      </c>
      <c r="DC16" s="377">
        <f t="shared" si="33"/>
        <v>66.813049290721068</v>
      </c>
      <c r="DD16" s="377">
        <f t="shared" si="33"/>
        <v>69.786249097133123</v>
      </c>
      <c r="DE16" s="377">
        <f t="shared" si="33"/>
        <v>66.881319330342606</v>
      </c>
      <c r="DF16" s="377">
        <f t="shared" si="33"/>
        <v>67.972470279194582</v>
      </c>
      <c r="DG16" s="377">
        <f t="shared" si="33"/>
        <v>62.352351963107786</v>
      </c>
      <c r="DH16" s="377">
        <f t="shared" si="33"/>
        <v>79.0927417198223</v>
      </c>
      <c r="DI16" s="377">
        <f t="shared" si="33"/>
        <v>117.64144802205134</v>
      </c>
      <c r="DJ16" s="377">
        <f t="shared" si="33"/>
        <v>106.7167106824819</v>
      </c>
      <c r="DK16" s="377">
        <f t="shared" si="33"/>
        <v>68.894001989040461</v>
      </c>
      <c r="DL16" s="377">
        <f t="shared" si="33"/>
        <v>67.840654911735243</v>
      </c>
      <c r="DM16" s="377">
        <f t="shared" si="33"/>
        <v>69.228410966214682</v>
      </c>
      <c r="DN16" s="377">
        <f t="shared" si="33"/>
        <v>71.420498093232382</v>
      </c>
      <c r="DO16" s="377">
        <f t="shared" si="33"/>
        <v>71.904493460492134</v>
      </c>
      <c r="DP16" s="377">
        <f t="shared" si="33"/>
        <v>72.704543555509531</v>
      </c>
      <c r="DQ16" s="377">
        <f t="shared" si="33"/>
        <v>70.135253733356606</v>
      </c>
      <c r="DR16" s="377"/>
    </row>
    <row r="17" spans="1:122">
      <c r="B17" t="s">
        <v>149</v>
      </c>
      <c r="C17" s="377">
        <f>+C5*(1-C$14)</f>
        <v>37.742080337267645</v>
      </c>
      <c r="D17" s="377">
        <f t="shared" si="26"/>
        <v>43.941353408093462</v>
      </c>
      <c r="E17" s="377">
        <f t="shared" si="26"/>
        <v>37.384096309236128</v>
      </c>
      <c r="F17" s="377">
        <f t="shared" si="26"/>
        <v>44.691774238835741</v>
      </c>
      <c r="G17" s="377">
        <f t="shared" si="26"/>
        <v>52.163290212276195</v>
      </c>
      <c r="H17" s="377">
        <f t="shared" si="26"/>
        <v>50.404525558128903</v>
      </c>
      <c r="I17" s="377">
        <f t="shared" si="26"/>
        <v>52.342860323204221</v>
      </c>
      <c r="J17" s="377">
        <f t="shared" si="26"/>
        <v>56.980796575581294</v>
      </c>
      <c r="K17" s="377">
        <f t="shared" si="26"/>
        <v>49.719373041865659</v>
      </c>
      <c r="L17" s="377">
        <f t="shared" si="26"/>
        <v>53.322848593497852</v>
      </c>
      <c r="M17" s="377">
        <f t="shared" si="26"/>
        <v>55.50703256703158</v>
      </c>
      <c r="N17" s="377">
        <f t="shared" si="26"/>
        <v>46.63361125396176</v>
      </c>
      <c r="O17" s="377">
        <f>+O5*(1-O$14)</f>
        <v>37.112108772656867</v>
      </c>
      <c r="P17" s="377">
        <f t="shared" ref="P17:AA17" si="34">+P5*(1-P$14)</f>
        <v>30.755343376053446</v>
      </c>
      <c r="Q17" s="377">
        <f t="shared" si="34"/>
        <v>37.530139414156857</v>
      </c>
      <c r="R17" s="377">
        <f t="shared" si="34"/>
        <v>28.803457434371772</v>
      </c>
      <c r="S17" s="377">
        <f t="shared" si="34"/>
        <v>54.056680544946872</v>
      </c>
      <c r="T17" s="377">
        <f t="shared" si="34"/>
        <v>55.14620010679085</v>
      </c>
      <c r="U17" s="377">
        <f t="shared" si="34"/>
        <v>59.599033432830701</v>
      </c>
      <c r="V17" s="377">
        <f t="shared" si="34"/>
        <v>58.98394395423955</v>
      </c>
      <c r="W17" s="377">
        <f t="shared" si="34"/>
        <v>43.979649989921434</v>
      </c>
      <c r="X17" s="377">
        <f t="shared" si="34"/>
        <v>51.278719170965012</v>
      </c>
      <c r="Y17" s="377">
        <f t="shared" si="34"/>
        <v>47.080512126244827</v>
      </c>
      <c r="Z17" s="377">
        <f t="shared" si="34"/>
        <v>48.779818907896839</v>
      </c>
      <c r="AA17" s="377">
        <f t="shared" si="34"/>
        <v>27.057928340892918</v>
      </c>
      <c r="AB17" s="377">
        <f t="shared" ref="AB17:AM17" si="35">+AB5*(1-AB$14)</f>
        <v>10.726489964368206</v>
      </c>
      <c r="AC17" s="377">
        <f t="shared" si="35"/>
        <v>6.4250491168230601</v>
      </c>
      <c r="AD17" s="377">
        <f t="shared" si="35"/>
        <v>3.975895611545714</v>
      </c>
      <c r="AE17" s="377">
        <f t="shared" si="35"/>
        <v>6.603611639052505</v>
      </c>
      <c r="AF17" s="377">
        <f t="shared" si="35"/>
        <v>3.869308970357026</v>
      </c>
      <c r="AG17" s="377">
        <f t="shared" si="35"/>
        <v>1.5523213503006037</v>
      </c>
      <c r="AH17" s="377">
        <f t="shared" si="35"/>
        <v>1.4425240166981095</v>
      </c>
      <c r="AI17" s="377">
        <f t="shared" si="35"/>
        <v>0.77931240227423693</v>
      </c>
      <c r="AJ17" s="377">
        <f t="shared" si="35"/>
        <v>1.3367785835301957</v>
      </c>
      <c r="AK17" s="377">
        <f t="shared" si="35"/>
        <v>8.1824357606465377</v>
      </c>
      <c r="AL17" s="377">
        <f t="shared" si="35"/>
        <v>12.600023976001356</v>
      </c>
      <c r="AM17" s="377">
        <f t="shared" si="35"/>
        <v>9.4557619784346354</v>
      </c>
      <c r="AN17" s="377">
        <f t="shared" ref="AN17:AX17" si="36">+AN5*(1-AN$14)</f>
        <v>11.891068091703348</v>
      </c>
      <c r="AO17" s="377">
        <f t="shared" si="36"/>
        <v>9.2785690731129424</v>
      </c>
      <c r="AP17" s="377">
        <f t="shared" si="36"/>
        <v>2.6441560814223993E-2</v>
      </c>
      <c r="AQ17" s="377">
        <f t="shared" si="36"/>
        <v>1.983491615389326E-2</v>
      </c>
      <c r="AR17" s="377">
        <f t="shared" si="36"/>
        <v>2.5693394475166324E-2</v>
      </c>
      <c r="AS17" s="377">
        <f t="shared" si="36"/>
        <v>3.6668962489102203E-2</v>
      </c>
      <c r="AT17" s="377">
        <f t="shared" si="36"/>
        <v>1.0670132937639682E-2</v>
      </c>
      <c r="AU17" s="377">
        <f t="shared" si="36"/>
        <v>0.34261909902016013</v>
      </c>
      <c r="AV17" s="377">
        <f t="shared" si="36"/>
        <v>3.1814732503211422E-2</v>
      </c>
      <c r="AW17" s="377">
        <f t="shared" si="36"/>
        <v>4.2872342308647469E-2</v>
      </c>
      <c r="AX17" s="377">
        <f t="shared" si="36"/>
        <v>0.11168281483884723</v>
      </c>
      <c r="AY17" s="377">
        <f t="shared" ref="AY17:CY17" si="37">+AY5*(1-AY$14)</f>
        <v>2.0758546821331662E-2</v>
      </c>
      <c r="AZ17" s="377">
        <f t="shared" ref="AZ17:BJ17" si="38">+AZ5*(1-AZ$14)</f>
        <v>4.1173649439104697E-2</v>
      </c>
      <c r="BA17" s="377">
        <f t="shared" si="38"/>
        <v>9.2330412728220648E-4</v>
      </c>
      <c r="BB17" s="377">
        <f t="shared" si="38"/>
        <v>1.7836083286230035E-3</v>
      </c>
      <c r="BC17" s="377">
        <f t="shared" si="38"/>
        <v>3.344701644784764E-3</v>
      </c>
      <c r="BD17" s="377">
        <f t="shared" si="38"/>
        <v>1.6332953785672503E-3</v>
      </c>
      <c r="BE17" s="377">
        <f t="shared" si="38"/>
        <v>3.484445454876577E-3</v>
      </c>
      <c r="BF17" s="377">
        <f t="shared" si="38"/>
        <v>1.7100532990432435E-3</v>
      </c>
      <c r="BG17" s="377">
        <f t="shared" si="38"/>
        <v>2.3295091323554368E-2</v>
      </c>
      <c r="BH17" s="377">
        <f t="shared" si="38"/>
        <v>4.9977692419318154E-2</v>
      </c>
      <c r="BI17" s="377">
        <f t="shared" si="38"/>
        <v>4.9455950230339281E-2</v>
      </c>
      <c r="BJ17" s="377">
        <f t="shared" si="38"/>
        <v>2.7602462418755972E-2</v>
      </c>
      <c r="BK17" s="377">
        <f t="shared" si="37"/>
        <v>2.9237910722167888E-3</v>
      </c>
      <c r="BL17" s="377">
        <f t="shared" si="37"/>
        <v>5.9726374506279796E-3</v>
      </c>
      <c r="BM17" s="377">
        <f t="shared" si="37"/>
        <v>2.8933135731584535E-2</v>
      </c>
      <c r="BN17" s="377">
        <f t="shared" si="37"/>
        <v>1.7987878397345818E-2</v>
      </c>
      <c r="BO17" s="377">
        <f t="shared" si="37"/>
        <v>5.0798011963692748E-2</v>
      </c>
      <c r="BP17" s="377">
        <f t="shared" si="37"/>
        <v>3.7898366523144459E-3</v>
      </c>
      <c r="BQ17" s="377">
        <f t="shared" si="37"/>
        <v>6.8073430291737416E-2</v>
      </c>
      <c r="BR17" s="377">
        <f t="shared" si="37"/>
        <v>1.2698798161808763E-2</v>
      </c>
      <c r="BS17" s="377">
        <f t="shared" si="37"/>
        <v>7.5915737204053271E-2</v>
      </c>
      <c r="BT17" s="377">
        <f t="shared" si="37"/>
        <v>2.4572779914211907E-2</v>
      </c>
      <c r="BU17" s="377">
        <f t="shared" si="37"/>
        <v>3.6585025931261061E-3</v>
      </c>
      <c r="BV17" s="377">
        <f t="shared" si="37"/>
        <v>5.2711246511464513E-2</v>
      </c>
      <c r="BW17" s="377">
        <f t="shared" si="37"/>
        <v>3.8346142215075159E-2</v>
      </c>
      <c r="BX17" s="377">
        <f t="shared" si="37"/>
        <v>2.5486760002838862E-2</v>
      </c>
      <c r="BY17" s="377">
        <f t="shared" si="37"/>
        <v>3.0443740207202384E-2</v>
      </c>
      <c r="BZ17" s="377">
        <f t="shared" si="37"/>
        <v>2.3418009593166516E-2</v>
      </c>
      <c r="CA17" s="377">
        <f t="shared" si="37"/>
        <v>3.6857408127621893E-2</v>
      </c>
      <c r="CB17" s="377">
        <f t="shared" si="37"/>
        <v>4.2242325303564664E-2</v>
      </c>
      <c r="CC17" s="377">
        <f t="shared" si="37"/>
        <v>8.1937095954480982E-2</v>
      </c>
      <c r="CD17" s="377">
        <f t="shared" si="37"/>
        <v>4.0106830605139761E-2</v>
      </c>
      <c r="CE17" s="377">
        <f t="shared" si="37"/>
        <v>0.47017091355356699</v>
      </c>
      <c r="CF17" s="377">
        <f t="shared" si="37"/>
        <v>0.14205237262705417</v>
      </c>
      <c r="CG17" s="377">
        <f t="shared" si="37"/>
        <v>2.965305234595748</v>
      </c>
      <c r="CH17" s="377">
        <f t="shared" si="37"/>
        <v>0.21602016933969251</v>
      </c>
      <c r="CI17" s="377">
        <f t="shared" si="37"/>
        <v>6.7485145099921463E-3</v>
      </c>
      <c r="CJ17" s="377">
        <f t="shared" ref="CJ17:CT17" si="39">+CJ5*(1-CJ$14)</f>
        <v>3.7443977940529553E-2</v>
      </c>
      <c r="CK17" s="377">
        <f t="shared" si="39"/>
        <v>8.5584189336895031E-2</v>
      </c>
      <c r="CL17" s="377">
        <f t="shared" si="39"/>
        <v>2.7192281840368929E-2</v>
      </c>
      <c r="CM17" s="377">
        <f t="shared" si="39"/>
        <v>9.9050603473572682E-2</v>
      </c>
      <c r="CN17" s="377">
        <f t="shared" si="39"/>
        <v>8.3197450854734539E-2</v>
      </c>
      <c r="CO17" s="377">
        <f t="shared" si="39"/>
        <v>0.44769554449968679</v>
      </c>
      <c r="CP17" s="377">
        <f t="shared" si="39"/>
        <v>0.57549266100195928</v>
      </c>
      <c r="CQ17" s="377">
        <f t="shared" si="39"/>
        <v>6.4737067153504732E-2</v>
      </c>
      <c r="CR17" s="377">
        <f t="shared" si="39"/>
        <v>1.3372853174217242E-2</v>
      </c>
      <c r="CS17" s="377">
        <f t="shared" si="39"/>
        <v>0.48062936979133214</v>
      </c>
      <c r="CT17" s="377">
        <f t="shared" si="39"/>
        <v>1.6759341064813602E-3</v>
      </c>
      <c r="CU17" s="377">
        <f t="shared" si="37"/>
        <v>3.4319524898485707E-2</v>
      </c>
      <c r="CV17" s="377">
        <f t="shared" si="37"/>
        <v>5.7851243938169372E-2</v>
      </c>
      <c r="CW17" s="377">
        <f t="shared" si="37"/>
        <v>3.7413804322884957E-2</v>
      </c>
      <c r="CX17" s="377">
        <f t="shared" si="37"/>
        <v>5.2271445997390413E-2</v>
      </c>
      <c r="CY17" s="377">
        <f t="shared" si="37"/>
        <v>1.6310543550708902E-2</v>
      </c>
      <c r="CZ17" s="377">
        <f t="shared" ref="CZ17:DQ17" si="40">+CZ5*(1-CZ$14)</f>
        <v>6.6495014472040856E-2</v>
      </c>
      <c r="DA17" s="377">
        <f t="shared" si="40"/>
        <v>7.5001911477999075E-2</v>
      </c>
      <c r="DB17" s="377">
        <f t="shared" si="40"/>
        <v>2.2332082351056787E-2</v>
      </c>
      <c r="DC17" s="377">
        <f t="shared" si="40"/>
        <v>0.10922250048123519</v>
      </c>
      <c r="DD17" s="377">
        <f t="shared" si="40"/>
        <v>5.9799111141804466E-2</v>
      </c>
      <c r="DE17" s="377">
        <f t="shared" si="40"/>
        <v>1.9919215715845484E-2</v>
      </c>
      <c r="DF17" s="377">
        <f t="shared" si="40"/>
        <v>8.3523421285003216E-2</v>
      </c>
      <c r="DG17" s="377">
        <f t="shared" si="40"/>
        <v>2.1835212246855792E-2</v>
      </c>
      <c r="DH17" s="377">
        <f t="shared" si="40"/>
        <v>8.2588042585419241E-2</v>
      </c>
      <c r="DI17" s="377">
        <f t="shared" si="40"/>
        <v>8.6349657442311198E-2</v>
      </c>
      <c r="DJ17" s="377">
        <f t="shared" si="40"/>
        <v>3.1942260676781124E-2</v>
      </c>
      <c r="DK17" s="377">
        <f t="shared" si="40"/>
        <v>0.10620592877538353</v>
      </c>
      <c r="DL17" s="377">
        <f t="shared" si="40"/>
        <v>3.8542179991532345E-2</v>
      </c>
      <c r="DM17" s="377">
        <f t="shared" si="40"/>
        <v>3.669183176300729E-2</v>
      </c>
      <c r="DN17" s="377">
        <f t="shared" si="40"/>
        <v>2.9397895773981587E-2</v>
      </c>
      <c r="DO17" s="377">
        <f t="shared" si="40"/>
        <v>0.39219918272461596</v>
      </c>
      <c r="DP17" s="377">
        <f t="shared" si="40"/>
        <v>0</v>
      </c>
      <c r="DQ17" s="377">
        <f t="shared" si="40"/>
        <v>1.8466948307701493E-2</v>
      </c>
      <c r="DR17" s="377"/>
    </row>
    <row r="18" spans="1:122">
      <c r="B18" t="s">
        <v>152</v>
      </c>
      <c r="C18" s="377">
        <f>+C6</f>
        <v>0</v>
      </c>
      <c r="D18" s="377">
        <f t="shared" ref="D18:N18" si="41">+D6</f>
        <v>0</v>
      </c>
      <c r="E18" s="377">
        <f t="shared" si="41"/>
        <v>0</v>
      </c>
      <c r="F18" s="377">
        <f t="shared" si="41"/>
        <v>0</v>
      </c>
      <c r="G18" s="377">
        <f t="shared" si="41"/>
        <v>0</v>
      </c>
      <c r="H18" s="377">
        <f t="shared" si="41"/>
        <v>0</v>
      </c>
      <c r="I18" s="377">
        <f t="shared" si="41"/>
        <v>0</v>
      </c>
      <c r="J18" s="377">
        <f t="shared" si="41"/>
        <v>0</v>
      </c>
      <c r="K18" s="377">
        <f t="shared" si="41"/>
        <v>0</v>
      </c>
      <c r="L18" s="377">
        <f t="shared" si="41"/>
        <v>0</v>
      </c>
      <c r="M18" s="377">
        <f t="shared" si="41"/>
        <v>0</v>
      </c>
      <c r="N18" s="377">
        <f t="shared" si="41"/>
        <v>0</v>
      </c>
      <c r="O18" s="377">
        <f>+O6</f>
        <v>0</v>
      </c>
      <c r="P18" s="377">
        <f t="shared" ref="P18:AA18" si="42">+P6</f>
        <v>0</v>
      </c>
      <c r="Q18" s="377">
        <f t="shared" si="42"/>
        <v>0</v>
      </c>
      <c r="R18" s="377">
        <f t="shared" si="42"/>
        <v>0</v>
      </c>
      <c r="S18" s="377">
        <f t="shared" si="42"/>
        <v>0</v>
      </c>
      <c r="T18" s="377">
        <f t="shared" si="42"/>
        <v>0</v>
      </c>
      <c r="U18" s="377">
        <f t="shared" si="42"/>
        <v>0</v>
      </c>
      <c r="V18" s="377">
        <f t="shared" si="42"/>
        <v>0</v>
      </c>
      <c r="W18" s="377">
        <f t="shared" si="42"/>
        <v>0</v>
      </c>
      <c r="X18" s="377">
        <f t="shared" si="42"/>
        <v>0</v>
      </c>
      <c r="Y18" s="377">
        <f t="shared" si="42"/>
        <v>0</v>
      </c>
      <c r="Z18" s="377">
        <f t="shared" si="42"/>
        <v>0</v>
      </c>
      <c r="AA18" s="377">
        <f t="shared" si="42"/>
        <v>0</v>
      </c>
      <c r="AB18" s="377">
        <f t="shared" ref="AB18:AM18" si="43">+AB6</f>
        <v>0</v>
      </c>
      <c r="AC18" s="377">
        <f t="shared" si="43"/>
        <v>0</v>
      </c>
      <c r="AD18" s="377">
        <f t="shared" si="43"/>
        <v>0</v>
      </c>
      <c r="AE18" s="377">
        <f t="shared" si="43"/>
        <v>0</v>
      </c>
      <c r="AF18" s="377">
        <f t="shared" si="43"/>
        <v>0</v>
      </c>
      <c r="AG18" s="377">
        <f t="shared" si="43"/>
        <v>4.1118636101969006</v>
      </c>
      <c r="AH18" s="377">
        <f t="shared" si="43"/>
        <v>1.9054540713962</v>
      </c>
      <c r="AI18" s="377">
        <f t="shared" si="43"/>
        <v>0</v>
      </c>
      <c r="AJ18" s="377">
        <f t="shared" si="43"/>
        <v>1.6620305691945001</v>
      </c>
      <c r="AK18" s="377">
        <f t="shared" si="43"/>
        <v>0</v>
      </c>
      <c r="AL18" s="377">
        <f t="shared" si="43"/>
        <v>0</v>
      </c>
      <c r="AM18" s="377">
        <f t="shared" si="43"/>
        <v>0</v>
      </c>
      <c r="AN18" s="377">
        <f t="shared" ref="AN18:AX18" si="44">+AN6</f>
        <v>0</v>
      </c>
      <c r="AO18" s="377">
        <f t="shared" si="44"/>
        <v>0</v>
      </c>
      <c r="AP18" s="377">
        <f t="shared" si="44"/>
        <v>0</v>
      </c>
      <c r="AQ18" s="377">
        <f t="shared" si="44"/>
        <v>0</v>
      </c>
      <c r="AR18" s="377">
        <f t="shared" si="44"/>
        <v>0</v>
      </c>
      <c r="AS18" s="377">
        <f t="shared" si="44"/>
        <v>0</v>
      </c>
      <c r="AT18" s="377">
        <f t="shared" si="44"/>
        <v>0</v>
      </c>
      <c r="AU18" s="377">
        <f t="shared" si="44"/>
        <v>0</v>
      </c>
      <c r="AV18" s="377">
        <f t="shared" si="44"/>
        <v>0</v>
      </c>
      <c r="AW18" s="377">
        <f t="shared" si="44"/>
        <v>0</v>
      </c>
      <c r="AX18" s="377">
        <f t="shared" si="44"/>
        <v>0</v>
      </c>
      <c r="AY18" s="377">
        <f t="shared" ref="AY18:CY18" si="45">+AY6</f>
        <v>0</v>
      </c>
      <c r="AZ18" s="377">
        <f t="shared" ref="AZ18:BJ18" si="46">+AZ6</f>
        <v>0</v>
      </c>
      <c r="BA18" s="377">
        <f t="shared" si="46"/>
        <v>0</v>
      </c>
      <c r="BB18" s="377">
        <f t="shared" si="46"/>
        <v>0</v>
      </c>
      <c r="BC18" s="377">
        <f t="shared" si="46"/>
        <v>0</v>
      </c>
      <c r="BD18" s="377">
        <f t="shared" si="46"/>
        <v>0</v>
      </c>
      <c r="BE18" s="377">
        <f t="shared" si="46"/>
        <v>0</v>
      </c>
      <c r="BF18" s="377">
        <f t="shared" si="46"/>
        <v>0</v>
      </c>
      <c r="BG18" s="377">
        <f t="shared" si="46"/>
        <v>0</v>
      </c>
      <c r="BH18" s="377">
        <f t="shared" si="46"/>
        <v>0</v>
      </c>
      <c r="BI18" s="377">
        <f t="shared" si="46"/>
        <v>0</v>
      </c>
      <c r="BJ18" s="377">
        <f t="shared" si="46"/>
        <v>0</v>
      </c>
      <c r="BK18" s="377">
        <f t="shared" si="45"/>
        <v>0</v>
      </c>
      <c r="BL18" s="377">
        <f t="shared" si="45"/>
        <v>0</v>
      </c>
      <c r="BM18" s="377">
        <f t="shared" si="45"/>
        <v>0</v>
      </c>
      <c r="BN18" s="377">
        <f t="shared" si="45"/>
        <v>0</v>
      </c>
      <c r="BO18" s="377">
        <f t="shared" si="45"/>
        <v>0</v>
      </c>
      <c r="BP18" s="377">
        <f t="shared" si="45"/>
        <v>0</v>
      </c>
      <c r="BQ18" s="377">
        <f t="shared" si="45"/>
        <v>0.1583495632652</v>
      </c>
      <c r="BR18" s="377">
        <f t="shared" si="45"/>
        <v>0.15682953627200003</v>
      </c>
      <c r="BS18" s="377">
        <f t="shared" si="45"/>
        <v>0.14998760319423676</v>
      </c>
      <c r="BT18" s="377">
        <f t="shared" si="45"/>
        <v>0.15382518224525452</v>
      </c>
      <c r="BU18" s="377">
        <f t="shared" si="45"/>
        <v>0.145401581477165</v>
      </c>
      <c r="BV18" s="377">
        <f t="shared" si="45"/>
        <v>0.14920185</v>
      </c>
      <c r="BW18" s="377">
        <f t="shared" si="45"/>
        <v>0.15028168</v>
      </c>
      <c r="BX18" s="377">
        <f t="shared" si="45"/>
        <v>3.843629274359607</v>
      </c>
      <c r="BY18" s="377">
        <f t="shared" si="45"/>
        <v>0.155945498031616</v>
      </c>
      <c r="BZ18" s="377">
        <f t="shared" si="45"/>
        <v>0.13957567862419359</v>
      </c>
      <c r="CA18" s="377">
        <f t="shared" si="45"/>
        <v>0.14587514999999998</v>
      </c>
      <c r="CB18" s="377">
        <f t="shared" si="45"/>
        <v>0.14245681959814455</v>
      </c>
      <c r="CC18" s="377">
        <f t="shared" si="45"/>
        <v>0.13375884400708732</v>
      </c>
      <c r="CD18" s="377">
        <f t="shared" si="45"/>
        <v>0.14673445475482941</v>
      </c>
      <c r="CE18" s="377">
        <f t="shared" si="45"/>
        <v>0.13955523</v>
      </c>
      <c r="CF18" s="377">
        <f t="shared" si="45"/>
        <v>0.12850700000000001</v>
      </c>
      <c r="CG18" s="377">
        <f t="shared" si="45"/>
        <v>0.11162695088481903</v>
      </c>
      <c r="CH18" s="377">
        <f t="shared" si="45"/>
        <v>0.11756939999999999</v>
      </c>
      <c r="CI18" s="377">
        <f t="shared" si="45"/>
        <v>9.5738166320851956</v>
      </c>
      <c r="CJ18" s="377">
        <f t="shared" ref="CJ18:CT18" si="47">+CJ6</f>
        <v>9.7081334972381597E-2</v>
      </c>
      <c r="CK18" s="377">
        <f t="shared" si="47"/>
        <v>12.694837979280686</v>
      </c>
      <c r="CL18" s="377">
        <f t="shared" si="47"/>
        <v>19.430990466902301</v>
      </c>
      <c r="CM18" s="377">
        <f t="shared" si="47"/>
        <v>8.7702694640932499</v>
      </c>
      <c r="CN18" s="377">
        <f t="shared" si="47"/>
        <v>6.7426802883768282</v>
      </c>
      <c r="CO18" s="377">
        <f t="shared" si="47"/>
        <v>5.3091190500342398</v>
      </c>
      <c r="CP18" s="377">
        <f t="shared" si="47"/>
        <v>4.3974822330230277</v>
      </c>
      <c r="CQ18" s="377">
        <f t="shared" si="47"/>
        <v>3.1661253223296035</v>
      </c>
      <c r="CR18" s="377">
        <f t="shared" si="47"/>
        <v>5.0157088530318008</v>
      </c>
      <c r="CS18" s="377">
        <f t="shared" si="47"/>
        <v>3.681108122629305</v>
      </c>
      <c r="CT18" s="377">
        <f t="shared" si="47"/>
        <v>11.378424916820091</v>
      </c>
      <c r="CU18" s="377">
        <f t="shared" si="45"/>
        <v>0.82335785509759696</v>
      </c>
      <c r="CV18" s="377">
        <f t="shared" si="45"/>
        <v>3.3400947470195099</v>
      </c>
      <c r="CW18" s="377">
        <f t="shared" si="45"/>
        <v>0.111468</v>
      </c>
      <c r="CX18" s="377">
        <f t="shared" si="45"/>
        <v>0.106437</v>
      </c>
      <c r="CY18" s="377">
        <f t="shared" si="45"/>
        <v>0.11015900000000001</v>
      </c>
      <c r="CZ18" s="377">
        <f t="shared" ref="CZ18:DQ18" si="48">+CZ6</f>
        <v>0.106299</v>
      </c>
      <c r="DA18" s="377">
        <f t="shared" si="48"/>
        <v>0.11312999999999999</v>
      </c>
      <c r="DB18" s="377">
        <f t="shared" si="48"/>
        <v>0.11200300000000001</v>
      </c>
      <c r="DC18" s="377">
        <f t="shared" si="48"/>
        <v>0.110446</v>
      </c>
      <c r="DD18" s="377">
        <f t="shared" si="48"/>
        <v>0.109891</v>
      </c>
      <c r="DE18" s="377">
        <f t="shared" si="48"/>
        <v>0.10575</v>
      </c>
      <c r="DF18" s="377">
        <f t="shared" si="48"/>
        <v>0.11143800000000001</v>
      </c>
      <c r="DG18" s="377">
        <f t="shared" si="48"/>
        <v>0.10950499999999999</v>
      </c>
      <c r="DH18" s="377">
        <f t="shared" si="48"/>
        <v>9.5645937351226812E-2</v>
      </c>
      <c r="DI18" s="377">
        <f t="shared" si="48"/>
        <v>0.10782954305076599</v>
      </c>
      <c r="DJ18" s="377">
        <f t="shared" si="48"/>
        <v>0.10139997145366668</v>
      </c>
      <c r="DK18" s="377">
        <f t="shared" si="48"/>
        <v>0.10891785338115692</v>
      </c>
      <c r="DL18" s="377">
        <f t="shared" si="48"/>
        <v>0.10458724521446229</v>
      </c>
      <c r="DM18" s="377">
        <f t="shared" si="48"/>
        <v>0.10745294521808624</v>
      </c>
      <c r="DN18" s="377">
        <f t="shared" si="48"/>
        <v>0.1055232214565277</v>
      </c>
      <c r="DO18" s="377">
        <f t="shared" si="48"/>
        <v>0.1011687472192352</v>
      </c>
      <c r="DP18" s="377">
        <f t="shared" si="48"/>
        <v>0.13727084288787841</v>
      </c>
      <c r="DQ18" s="377">
        <f t="shared" si="48"/>
        <v>0.10001157083988189</v>
      </c>
      <c r="DR18" s="377"/>
    </row>
    <row r="19" spans="1:122">
      <c r="B19" t="s">
        <v>156</v>
      </c>
      <c r="C19" s="377">
        <f>+C11</f>
        <v>26.081763051197598</v>
      </c>
      <c r="D19" s="377">
        <f t="shared" ref="D19:N19" si="49">+D11</f>
        <v>39.7230741426281</v>
      </c>
      <c r="E19" s="377">
        <f t="shared" si="49"/>
        <v>28.203447523925398</v>
      </c>
      <c r="F19" s="377">
        <f t="shared" si="49"/>
        <v>35.341813397788201</v>
      </c>
      <c r="G19" s="377">
        <f t="shared" si="49"/>
        <v>43.647145385600901</v>
      </c>
      <c r="H19" s="377">
        <f t="shared" si="49"/>
        <v>43.5322929603796</v>
      </c>
      <c r="I19" s="377">
        <f t="shared" si="49"/>
        <v>46.252634026290302</v>
      </c>
      <c r="J19" s="377">
        <f t="shared" si="49"/>
        <v>49.007100020299603</v>
      </c>
      <c r="K19" s="377">
        <f t="shared" si="49"/>
        <v>47.106386586614498</v>
      </c>
      <c r="L19" s="377">
        <f t="shared" si="49"/>
        <v>52.500203302770103</v>
      </c>
      <c r="M19" s="377">
        <f t="shared" si="49"/>
        <v>53.5536010944653</v>
      </c>
      <c r="N19" s="377">
        <f t="shared" si="49"/>
        <v>41.5276793221392</v>
      </c>
      <c r="O19" s="377">
        <f>+O11</f>
        <v>29.272657413044502</v>
      </c>
      <c r="P19" s="377">
        <f t="shared" ref="P19:AA19" si="50">+P11</f>
        <v>19.489250261981599</v>
      </c>
      <c r="Q19" s="377">
        <f t="shared" si="50"/>
        <v>22.711858653292101</v>
      </c>
      <c r="R19" s="377">
        <f t="shared" si="50"/>
        <v>46.9749319478533</v>
      </c>
      <c r="S19" s="377">
        <f t="shared" si="50"/>
        <v>53.403568026368099</v>
      </c>
      <c r="T19" s="377">
        <f t="shared" si="50"/>
        <v>55.895141435801598</v>
      </c>
      <c r="U19" s="377">
        <f t="shared" si="50"/>
        <v>67.141649617397505</v>
      </c>
      <c r="V19" s="377">
        <f t="shared" si="50"/>
        <v>65.521446783838101</v>
      </c>
      <c r="W19" s="377">
        <f t="shared" si="50"/>
        <v>54.886925967109796</v>
      </c>
      <c r="X19" s="377">
        <f t="shared" si="50"/>
        <v>64.405112018048797</v>
      </c>
      <c r="Y19" s="377">
        <f t="shared" si="50"/>
        <v>59.448790000000002</v>
      </c>
      <c r="Z19" s="377">
        <f t="shared" si="50"/>
        <v>62.6241716611258</v>
      </c>
      <c r="AA19" s="377">
        <f t="shared" si="50"/>
        <v>58.300336019112613</v>
      </c>
      <c r="AB19" s="377">
        <f t="shared" ref="AB19:AM19" si="51">+AB11</f>
        <v>47.443382109594296</v>
      </c>
      <c r="AC19" s="377">
        <f t="shared" si="51"/>
        <v>55.875834707395299</v>
      </c>
      <c r="AD19" s="377">
        <f t="shared" si="51"/>
        <v>28.305500852963</v>
      </c>
      <c r="AE19" s="377">
        <f t="shared" si="51"/>
        <v>15.953719097461301</v>
      </c>
      <c r="AF19" s="377">
        <f t="shared" si="51"/>
        <v>15.7015325206144</v>
      </c>
      <c r="AG19" s="377">
        <f t="shared" si="51"/>
        <v>23.271496933041998</v>
      </c>
      <c r="AH19" s="377">
        <f t="shared" si="51"/>
        <v>20.566977957039597</v>
      </c>
      <c r="AI19" s="377">
        <f t="shared" si="51"/>
        <v>15.858081931066101</v>
      </c>
      <c r="AJ19" s="377">
        <f t="shared" si="51"/>
        <v>25.526263413552797</v>
      </c>
      <c r="AK19" s="377">
        <f t="shared" si="51"/>
        <v>27.005591257676702</v>
      </c>
      <c r="AL19" s="377">
        <f t="shared" si="51"/>
        <v>32.040742542608697</v>
      </c>
      <c r="AM19" s="377">
        <f t="shared" si="51"/>
        <v>17.903532899907106</v>
      </c>
      <c r="AN19" s="377">
        <f t="shared" ref="AN19:AX19" si="52">+AN11</f>
        <v>47.387778203074902</v>
      </c>
      <c r="AO19" s="377">
        <f t="shared" si="52"/>
        <v>50.636334768890904</v>
      </c>
      <c r="AP19" s="377">
        <f t="shared" si="52"/>
        <v>28.276113077364506</v>
      </c>
      <c r="AQ19" s="377">
        <f t="shared" si="52"/>
        <v>9.3500313404893962</v>
      </c>
      <c r="AR19" s="377">
        <f t="shared" si="52"/>
        <v>11.798534953222291</v>
      </c>
      <c r="AS19" s="377">
        <f t="shared" si="52"/>
        <v>12.116977450755003</v>
      </c>
      <c r="AT19" s="377">
        <f t="shared" si="52"/>
        <v>13.609726972367804</v>
      </c>
      <c r="AU19" s="377">
        <f t="shared" si="52"/>
        <v>12.560693980547105</v>
      </c>
      <c r="AV19" s="377">
        <f t="shared" si="52"/>
        <v>18.349408184462597</v>
      </c>
      <c r="AW19" s="377">
        <f t="shared" si="52"/>
        <v>21.218306886188198</v>
      </c>
      <c r="AX19" s="377">
        <f t="shared" si="52"/>
        <v>12.5988616879365</v>
      </c>
      <c r="AY19" s="377">
        <f t="shared" ref="AY19:CY19" si="53">+AY11</f>
        <v>28.392408465315871</v>
      </c>
      <c r="AZ19" s="377">
        <f t="shared" ref="AZ19:BJ19" si="54">+AZ11</f>
        <v>39.655692219595302</v>
      </c>
      <c r="BA19" s="377">
        <f t="shared" si="54"/>
        <v>66.6824298360754</v>
      </c>
      <c r="BB19" s="377">
        <f t="shared" si="54"/>
        <v>55.410090106282993</v>
      </c>
      <c r="BC19" s="377">
        <f t="shared" si="54"/>
        <v>21.564182204392594</v>
      </c>
      <c r="BD19" s="377">
        <f t="shared" si="54"/>
        <v>17.650362737637131</v>
      </c>
      <c r="BE19" s="377">
        <f t="shared" si="54"/>
        <v>16.704738414356413</v>
      </c>
      <c r="BF19" s="377">
        <f t="shared" si="54"/>
        <v>16.036743504252211</v>
      </c>
      <c r="BG19" s="377">
        <f t="shared" si="54"/>
        <v>17.827456264967491</v>
      </c>
      <c r="BH19" s="377">
        <f t="shared" si="54"/>
        <v>19.010820535560278</v>
      </c>
      <c r="BI19" s="377">
        <f t="shared" si="54"/>
        <v>15.878892922187909</v>
      </c>
      <c r="BJ19" s="377">
        <f t="shared" si="54"/>
        <v>21.068006532903897</v>
      </c>
      <c r="BK19" s="377">
        <f t="shared" si="53"/>
        <v>38.437478669332009</v>
      </c>
      <c r="BL19" s="377">
        <f t="shared" si="53"/>
        <v>19.87084699014671</v>
      </c>
      <c r="BM19" s="377">
        <f t="shared" si="53"/>
        <v>13.309062513168129</v>
      </c>
      <c r="BN19" s="377">
        <f t="shared" si="53"/>
        <v>47.657441124721117</v>
      </c>
      <c r="BO19" s="377">
        <f t="shared" si="53"/>
        <v>12.063320774598084</v>
      </c>
      <c r="BP19" s="377">
        <f t="shared" si="53"/>
        <v>12.784837777135209</v>
      </c>
      <c r="BQ19" s="377">
        <f t="shared" si="53"/>
        <v>13.530924734820116</v>
      </c>
      <c r="BR19" s="377">
        <f t="shared" si="53"/>
        <v>22.754997383936796</v>
      </c>
      <c r="BS19" s="377">
        <f t="shared" si="53"/>
        <v>19.172309240518583</v>
      </c>
      <c r="BT19" s="377">
        <f t="shared" si="53"/>
        <v>18.683701443155705</v>
      </c>
      <c r="BU19" s="377">
        <f t="shared" si="53"/>
        <v>17.527045525963693</v>
      </c>
      <c r="BV19" s="377">
        <f t="shared" si="53"/>
        <v>16.857149105255303</v>
      </c>
      <c r="BW19" s="377">
        <f t="shared" si="53"/>
        <v>4.3786734005234464</v>
      </c>
      <c r="BX19" s="377">
        <f t="shared" si="53"/>
        <v>0</v>
      </c>
      <c r="BY19" s="377">
        <f t="shared" si="53"/>
        <v>14.565245879934155</v>
      </c>
      <c r="BZ19" s="377">
        <f t="shared" si="53"/>
        <v>3.1920751738830875</v>
      </c>
      <c r="CA19" s="377">
        <f t="shared" si="53"/>
        <v>2.4968630998906884</v>
      </c>
      <c r="CB19" s="377">
        <f t="shared" si="53"/>
        <v>3.5030439836150036</v>
      </c>
      <c r="CC19" s="377">
        <f t="shared" si="53"/>
        <v>5.5550039374469637</v>
      </c>
      <c r="CD19" s="377">
        <f t="shared" si="53"/>
        <v>14.740830396576973</v>
      </c>
      <c r="CE19" s="377">
        <f t="shared" si="53"/>
        <v>10.939620949252115</v>
      </c>
      <c r="CF19" s="377">
        <f t="shared" si="53"/>
        <v>12.479907719713315</v>
      </c>
      <c r="CG19" s="377">
        <f t="shared" si="53"/>
        <v>7.8433054421598349</v>
      </c>
      <c r="CH19" s="377">
        <f t="shared" si="53"/>
        <v>1.2668766124770481</v>
      </c>
      <c r="CI19" s="377">
        <f t="shared" si="53"/>
        <v>0</v>
      </c>
      <c r="CJ19" s="377">
        <f t="shared" ref="CJ19:CT19" si="55">+CJ11</f>
        <v>17.515552742288914</v>
      </c>
      <c r="CK19" s="377">
        <f t="shared" si="55"/>
        <v>0</v>
      </c>
      <c r="CL19" s="377">
        <f t="shared" si="55"/>
        <v>0</v>
      </c>
      <c r="CM19" s="377">
        <f t="shared" si="55"/>
        <v>0</v>
      </c>
      <c r="CN19" s="377">
        <f t="shared" si="55"/>
        <v>0</v>
      </c>
      <c r="CO19" s="377">
        <f t="shared" si="55"/>
        <v>0</v>
      </c>
      <c r="CP19" s="377">
        <f t="shared" si="55"/>
        <v>0</v>
      </c>
      <c r="CQ19" s="377">
        <f t="shared" si="55"/>
        <v>1.6271675977773121</v>
      </c>
      <c r="CR19" s="377">
        <f t="shared" si="55"/>
        <v>0</v>
      </c>
      <c r="CS19" s="377">
        <f t="shared" si="55"/>
        <v>0</v>
      </c>
      <c r="CT19" s="377">
        <f t="shared" si="55"/>
        <v>0</v>
      </c>
      <c r="CU19" s="377">
        <f t="shared" si="53"/>
        <v>0</v>
      </c>
      <c r="CV19" s="377">
        <f t="shared" si="53"/>
        <v>0</v>
      </c>
      <c r="CW19" s="377">
        <f t="shared" si="53"/>
        <v>73.313311859125392</v>
      </c>
      <c r="CX19" s="377">
        <f t="shared" si="53"/>
        <v>50.055353179432984</v>
      </c>
      <c r="CY19" s="377">
        <f t="shared" si="53"/>
        <v>17.574992567921399</v>
      </c>
      <c r="CZ19" s="377">
        <f t="shared" ref="CZ19:DQ19" si="56">+CZ11</f>
        <v>20.382876217350809</v>
      </c>
      <c r="DA19" s="377">
        <f t="shared" si="56"/>
        <v>22.662670352692317</v>
      </c>
      <c r="DB19" s="377">
        <f t="shared" si="56"/>
        <v>25.085684737972901</v>
      </c>
      <c r="DC19" s="377">
        <f t="shared" si="56"/>
        <v>19.524811896111014</v>
      </c>
      <c r="DD19" s="377">
        <f t="shared" si="56"/>
        <v>20.694798141609514</v>
      </c>
      <c r="DE19" s="377">
        <f t="shared" si="56"/>
        <v>21.242955660399303</v>
      </c>
      <c r="DF19" s="377">
        <f t="shared" si="56"/>
        <v>20.994738381507034</v>
      </c>
      <c r="DG19" s="377">
        <f t="shared" si="56"/>
        <v>6.509067782985694</v>
      </c>
      <c r="DH19" s="377">
        <f t="shared" si="56"/>
        <v>22.768830881430027</v>
      </c>
      <c r="DI19" s="377">
        <f t="shared" si="56"/>
        <v>59.247886202993236</v>
      </c>
      <c r="DJ19" s="377">
        <f t="shared" si="56"/>
        <v>52.140475719738042</v>
      </c>
      <c r="DK19" s="377">
        <f t="shared" si="56"/>
        <v>15.58165854804038</v>
      </c>
      <c r="DL19" s="377">
        <f t="shared" si="56"/>
        <v>15.987194213215961</v>
      </c>
      <c r="DM19" s="377">
        <f t="shared" si="56"/>
        <v>15.856041957408001</v>
      </c>
      <c r="DN19" s="377">
        <f t="shared" si="56"/>
        <v>18.663543929614555</v>
      </c>
      <c r="DO19" s="377">
        <f t="shared" si="56"/>
        <v>19.2650047595383</v>
      </c>
      <c r="DP19" s="377">
        <f t="shared" si="56"/>
        <v>18.931509933726979</v>
      </c>
      <c r="DQ19" s="377">
        <f t="shared" si="56"/>
        <v>17.935785356309875</v>
      </c>
      <c r="DR19" s="377"/>
    </row>
    <row r="20" spans="1:122">
      <c r="B20" t="s">
        <v>155</v>
      </c>
      <c r="C20" s="377">
        <f>+C12</f>
        <v>71.818352139999988</v>
      </c>
      <c r="D20" s="377">
        <f t="shared" ref="D20:N20" si="57">+D12</f>
        <v>69.295224719999993</v>
      </c>
      <c r="E20" s="377">
        <f t="shared" si="57"/>
        <v>70.163243680000008</v>
      </c>
      <c r="F20" s="377">
        <f t="shared" si="57"/>
        <v>67.561815800000005</v>
      </c>
      <c r="G20" s="377">
        <f t="shared" si="57"/>
        <v>68.340090070000002</v>
      </c>
      <c r="H20" s="377">
        <f t="shared" si="57"/>
        <v>65.055877919999986</v>
      </c>
      <c r="I20" s="377">
        <f t="shared" si="57"/>
        <v>66.227819719999999</v>
      </c>
      <c r="J20" s="377">
        <f t="shared" si="57"/>
        <v>67.851607579999978</v>
      </c>
      <c r="K20" s="377">
        <f t="shared" si="57"/>
        <v>65.982055039999992</v>
      </c>
      <c r="L20" s="377">
        <f t="shared" si="57"/>
        <v>66.44252723999999</v>
      </c>
      <c r="M20" s="377">
        <f t="shared" si="57"/>
        <v>64.653356450000004</v>
      </c>
      <c r="N20" s="377">
        <f t="shared" si="57"/>
        <v>67.880373879999993</v>
      </c>
      <c r="O20" s="377">
        <f>+O12</f>
        <v>67.735593130000012</v>
      </c>
      <c r="P20" s="377">
        <f t="shared" ref="P20:AA20" si="58">+P12</f>
        <v>64.516525910000013</v>
      </c>
      <c r="Q20" s="377">
        <f t="shared" si="58"/>
        <v>70.607223059999995</v>
      </c>
      <c r="R20" s="377">
        <f t="shared" si="58"/>
        <v>65.403539020000011</v>
      </c>
      <c r="S20" s="377">
        <f t="shared" si="58"/>
        <v>66.350149350000009</v>
      </c>
      <c r="T20" s="377">
        <f t="shared" si="58"/>
        <v>62.814706139999991</v>
      </c>
      <c r="U20" s="377">
        <f t="shared" si="58"/>
        <v>63.450061339999998</v>
      </c>
      <c r="V20" s="377">
        <f t="shared" si="58"/>
        <v>64.529375120000012</v>
      </c>
      <c r="W20" s="377">
        <f t="shared" si="58"/>
        <v>63.034093419999998</v>
      </c>
      <c r="X20" s="377">
        <f t="shared" si="58"/>
        <v>63.773630869999991</v>
      </c>
      <c r="Y20" s="377">
        <f t="shared" si="58"/>
        <v>61.538711389999996</v>
      </c>
      <c r="Z20" s="377">
        <f t="shared" si="58"/>
        <v>63.29663317</v>
      </c>
      <c r="AA20" s="377">
        <f t="shared" si="58"/>
        <v>56.358510150000001</v>
      </c>
      <c r="AB20" s="377">
        <f t="shared" ref="AB20:AM20" si="59">+AB12</f>
        <v>53.587749499999994</v>
      </c>
      <c r="AC20" s="377">
        <f t="shared" si="59"/>
        <v>57.366246520000018</v>
      </c>
      <c r="AD20" s="377">
        <f t="shared" si="59"/>
        <v>56.580926790000007</v>
      </c>
      <c r="AE20" s="377">
        <f t="shared" si="59"/>
        <v>56.420910950000007</v>
      </c>
      <c r="AF20" s="377">
        <f t="shared" si="59"/>
        <v>53.905991059999984</v>
      </c>
      <c r="AG20" s="377">
        <f t="shared" si="59"/>
        <v>55.185964610000021</v>
      </c>
      <c r="AH20" s="377">
        <f t="shared" si="59"/>
        <v>55.209338459999998</v>
      </c>
      <c r="AI20" s="377">
        <f t="shared" si="59"/>
        <v>53.711605400000003</v>
      </c>
      <c r="AJ20" s="377">
        <f t="shared" si="59"/>
        <v>54.892717570000002</v>
      </c>
      <c r="AK20" s="377">
        <f t="shared" si="59"/>
        <v>54.544670040000007</v>
      </c>
      <c r="AL20" s="377">
        <f t="shared" si="59"/>
        <v>57.502035589999998</v>
      </c>
      <c r="AM20" s="377">
        <f t="shared" si="59"/>
        <v>65.203964859999999</v>
      </c>
      <c r="AN20" s="377">
        <f t="shared" ref="AN20:AX20" si="60">+AN12</f>
        <v>60.79069144999999</v>
      </c>
      <c r="AO20" s="377">
        <f t="shared" si="60"/>
        <v>65.121625880000011</v>
      </c>
      <c r="AP20" s="377">
        <f t="shared" si="60"/>
        <v>60.225157799999991</v>
      </c>
      <c r="AQ20" s="377">
        <f t="shared" si="60"/>
        <v>60.388459409999982</v>
      </c>
      <c r="AR20" s="377">
        <f t="shared" si="60"/>
        <v>56.627505579999998</v>
      </c>
      <c r="AS20" s="377">
        <f t="shared" si="60"/>
        <v>57.686371219999998</v>
      </c>
      <c r="AT20" s="377">
        <f t="shared" si="60"/>
        <v>57.886979040000007</v>
      </c>
      <c r="AU20" s="377">
        <f t="shared" si="60"/>
        <v>56.928675890000001</v>
      </c>
      <c r="AV20" s="377">
        <f t="shared" si="60"/>
        <v>58.974330939999994</v>
      </c>
      <c r="AW20" s="377">
        <f t="shared" si="60"/>
        <v>58.279085270000017</v>
      </c>
      <c r="AX20" s="377">
        <f t="shared" si="60"/>
        <v>60.995072310000005</v>
      </c>
      <c r="AY20" s="377">
        <f t="shared" ref="AY20:CY20" si="61">+AY12</f>
        <v>62.740842780000001</v>
      </c>
      <c r="AZ20" s="377">
        <f t="shared" ref="AZ20:BJ20" si="62">+AZ12</f>
        <v>61.101166899999988</v>
      </c>
      <c r="BA20" s="377">
        <f t="shared" si="62"/>
        <v>58.042669630000006</v>
      </c>
      <c r="BB20" s="377">
        <f t="shared" si="62"/>
        <v>47.671779540000003</v>
      </c>
      <c r="BC20" s="377">
        <f t="shared" si="62"/>
        <v>50.204460719999986</v>
      </c>
      <c r="BD20" s="377">
        <f t="shared" si="62"/>
        <v>51.074337320000005</v>
      </c>
      <c r="BE20" s="377">
        <f t="shared" si="62"/>
        <v>54.034672680000021</v>
      </c>
      <c r="BF20" s="377">
        <f t="shared" si="62"/>
        <v>54.589765239999991</v>
      </c>
      <c r="BG20" s="377">
        <f t="shared" si="62"/>
        <v>54.253498820000011</v>
      </c>
      <c r="BH20" s="377">
        <f t="shared" si="62"/>
        <v>57.718177970000013</v>
      </c>
      <c r="BI20" s="377">
        <f t="shared" si="62"/>
        <v>57.390491900000008</v>
      </c>
      <c r="BJ20" s="377">
        <f t="shared" si="62"/>
        <v>60.046924780000012</v>
      </c>
      <c r="BK20" s="377">
        <f t="shared" si="61"/>
        <v>63.480852020000007</v>
      </c>
      <c r="BL20" s="377">
        <f t="shared" si="61"/>
        <v>56.17177096999999</v>
      </c>
      <c r="BM20" s="377">
        <f t="shared" si="61"/>
        <v>62.597985410000007</v>
      </c>
      <c r="BN20" s="377">
        <f t="shared" si="61"/>
        <v>58.244922920000022</v>
      </c>
      <c r="BO20" s="377">
        <f t="shared" si="61"/>
        <v>58.24454386</v>
      </c>
      <c r="BP20" s="377">
        <f t="shared" si="61"/>
        <v>55.762457790000013</v>
      </c>
      <c r="BQ20" s="377">
        <f t="shared" si="61"/>
        <v>57.394632690000002</v>
      </c>
      <c r="BR20" s="377">
        <f t="shared" si="61"/>
        <v>58.454983420000012</v>
      </c>
      <c r="BS20" s="377">
        <f t="shared" si="61"/>
        <v>59.195570240000009</v>
      </c>
      <c r="BT20" s="377">
        <f t="shared" si="61"/>
        <v>61.747138300000003</v>
      </c>
      <c r="BU20" s="377">
        <f t="shared" si="61"/>
        <v>61.643545180000004</v>
      </c>
      <c r="BV20" s="377">
        <f t="shared" si="61"/>
        <v>63.936887790000007</v>
      </c>
      <c r="BW20" s="377">
        <f t="shared" si="61"/>
        <v>72.820257639999994</v>
      </c>
      <c r="BX20" s="377">
        <f t="shared" si="61"/>
        <v>68.233735260000003</v>
      </c>
      <c r="BY20" s="377">
        <f t="shared" si="61"/>
        <v>75.084151780000013</v>
      </c>
      <c r="BZ20" s="377">
        <f t="shared" si="61"/>
        <v>69.143006189999994</v>
      </c>
      <c r="CA20" s="377">
        <f t="shared" si="61"/>
        <v>68.527837330000011</v>
      </c>
      <c r="CB20" s="377">
        <f t="shared" si="61"/>
        <v>65.142231019999997</v>
      </c>
      <c r="CC20" s="377">
        <f t="shared" si="61"/>
        <v>65.405761769999998</v>
      </c>
      <c r="CD20" s="377">
        <f t="shared" si="61"/>
        <v>67.218990690000012</v>
      </c>
      <c r="CE20" s="377">
        <f t="shared" si="61"/>
        <v>67.461474960000004</v>
      </c>
      <c r="CF20" s="377">
        <f t="shared" si="61"/>
        <v>69.562038489999992</v>
      </c>
      <c r="CG20" s="377">
        <f t="shared" si="61"/>
        <v>70.658362660000009</v>
      </c>
      <c r="CH20" s="377">
        <f t="shared" si="61"/>
        <v>74.592576149999999</v>
      </c>
      <c r="CI20" s="377">
        <f t="shared" si="61"/>
        <v>73.24477856</v>
      </c>
      <c r="CJ20" s="377">
        <f t="shared" ref="CJ20:CT20" si="63">+CJ12</f>
        <v>71.781025689999993</v>
      </c>
      <c r="CK20" s="377">
        <f t="shared" si="63"/>
        <v>78.606277050000003</v>
      </c>
      <c r="CL20" s="377">
        <f t="shared" si="63"/>
        <v>74.348136429999997</v>
      </c>
      <c r="CM20" s="377">
        <f t="shared" si="63"/>
        <v>70.807982209999992</v>
      </c>
      <c r="CN20" s="377">
        <f t="shared" si="63"/>
        <v>66.769025119999995</v>
      </c>
      <c r="CO20" s="377">
        <f t="shared" si="63"/>
        <v>66.953892140000008</v>
      </c>
      <c r="CP20" s="377">
        <f t="shared" si="63"/>
        <v>67.868027899999987</v>
      </c>
      <c r="CQ20" s="377">
        <f t="shared" si="63"/>
        <v>67.571006640000007</v>
      </c>
      <c r="CR20" s="377">
        <f t="shared" si="63"/>
        <v>71.596572510000001</v>
      </c>
      <c r="CS20" s="377">
        <f t="shared" si="63"/>
        <v>71.306930730000005</v>
      </c>
      <c r="CT20" s="377">
        <f t="shared" si="63"/>
        <v>75.062387000000001</v>
      </c>
      <c r="CU20" s="377">
        <f t="shared" si="61"/>
        <v>52.460687317058998</v>
      </c>
      <c r="CV20" s="377">
        <f t="shared" si="61"/>
        <v>50.773455069031414</v>
      </c>
      <c r="CW20" s="377">
        <f t="shared" si="61"/>
        <v>50.127536270000007</v>
      </c>
      <c r="CX20" s="377">
        <f t="shared" si="61"/>
        <v>48.648248070000001</v>
      </c>
      <c r="CY20" s="377">
        <f t="shared" si="61"/>
        <v>48.52664051</v>
      </c>
      <c r="CZ20" s="377">
        <f t="shared" ref="CZ20:DQ20" si="64">+CZ12</f>
        <v>44.969498489999999</v>
      </c>
      <c r="DA20" s="377">
        <f t="shared" si="64"/>
        <v>47.858150129999999</v>
      </c>
      <c r="DB20" s="377">
        <f t="shared" si="64"/>
        <v>48.601576539999996</v>
      </c>
      <c r="DC20" s="377">
        <f t="shared" si="64"/>
        <v>47.50569397000001</v>
      </c>
      <c r="DD20" s="377">
        <f t="shared" si="64"/>
        <v>49.259041530000005</v>
      </c>
      <c r="DE20" s="377">
        <f t="shared" si="64"/>
        <v>45.762014809999997</v>
      </c>
      <c r="DF20" s="377">
        <f t="shared" si="64"/>
        <v>47.170479320000005</v>
      </c>
      <c r="DG20" s="377">
        <f t="shared" si="64"/>
        <v>54.926967359999992</v>
      </c>
      <c r="DH20" s="377">
        <f t="shared" si="64"/>
        <v>55.347247230000001</v>
      </c>
      <c r="DI20" s="377">
        <f t="shared" si="64"/>
        <v>57.009603730000002</v>
      </c>
      <c r="DJ20" s="377">
        <f t="shared" si="64"/>
        <v>53.252244990000008</v>
      </c>
      <c r="DK20" s="377">
        <f t="shared" si="64"/>
        <v>52.471350489999999</v>
      </c>
      <c r="DL20" s="377">
        <f t="shared" si="64"/>
        <v>50.999914160000003</v>
      </c>
      <c r="DM20" s="377">
        <f t="shared" si="64"/>
        <v>52.491004490000016</v>
      </c>
      <c r="DN20" s="377">
        <f t="shared" si="64"/>
        <v>51.856290960000003</v>
      </c>
      <c r="DO20" s="377">
        <f t="shared" si="64"/>
        <v>52.082709269999995</v>
      </c>
      <c r="DP20" s="377">
        <f t="shared" si="64"/>
        <v>52.83250987000001</v>
      </c>
      <c r="DQ20" s="377">
        <f t="shared" si="64"/>
        <v>51.322482840000006</v>
      </c>
      <c r="DR20" s="377"/>
    </row>
    <row r="23" spans="1:122">
      <c r="A23" t="s">
        <v>161</v>
      </c>
      <c r="B23" s="412">
        <f>+MAX(C16:DJ16)</f>
        <v>124.72417616194812</v>
      </c>
    </row>
    <row r="24" spans="1:122">
      <c r="A24" t="s">
        <v>162</v>
      </c>
      <c r="B24" s="412">
        <f>+MIN(C16:DJ16)</f>
        <v>47.445578982194007</v>
      </c>
    </row>
    <row r="25" spans="1:122">
      <c r="A25" t="s">
        <v>163</v>
      </c>
      <c r="B25" s="377">
        <f>+AVERAGE(C16:DJ16)</f>
        <v>74.473311522674209</v>
      </c>
    </row>
    <row r="26" spans="1:122">
      <c r="A26" t="s">
        <v>167</v>
      </c>
      <c r="B26" s="377">
        <f>+_xlfn.STDEV.P(C16:DJ16)*0.8</f>
        <v>11.538808254355693</v>
      </c>
    </row>
    <row r="27" spans="1:122">
      <c r="A27" t="s">
        <v>165</v>
      </c>
      <c r="B27" s="402">
        <f>+B25-B26</f>
        <v>62.934503268318515</v>
      </c>
    </row>
    <row r="28" spans="1:122">
      <c r="A28" t="s">
        <v>166</v>
      </c>
      <c r="B28">
        <v>0.7</v>
      </c>
    </row>
    <row r="29" spans="1:122">
      <c r="A29" t="s">
        <v>164</v>
      </c>
      <c r="B29" s="377">
        <f>+B27/(24*30*$B$28*0.9)*1000</f>
        <v>138.74449574144296</v>
      </c>
    </row>
    <row r="31" spans="1:122">
      <c r="B31">
        <f>55-60</f>
        <v>-5</v>
      </c>
    </row>
    <row r="32" spans="1:122">
      <c r="B32" s="377">
        <f>+B31/(24*0.75*30)*1000</f>
        <v>-9.2592592592592595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3" ma:contentTypeDescription="Crear nuevo documento." ma:contentTypeScope="" ma:versionID="99efb9468651881684270c49dd6333c5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07f85e2e67e721cb1ca4acffd9bbff69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378D38B-D269-46FA-9055-9DF7500D10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306F1F-995B-4FC6-93CC-3F861EDD9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b32d87-09b1-4a9c-8cc2-36c6131e9d32"/>
    <ds:schemaRef ds:uri="0d5568c9-b756-47b3-80d4-db4c7d91fd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6016AF-BD63-478E-BEBB-733C7BCB5250}">
  <ds:schemaRefs>
    <ds:schemaRef ds:uri="http://schemas.microsoft.com/office/2006/metadata/properties"/>
    <ds:schemaRef ds:uri="http://schemas.microsoft.com/office/infopath/2007/PartnerControls"/>
    <ds:schemaRef ds:uri="4ab32d87-09b1-4a9c-8cc2-36c6131e9d32"/>
    <ds:schemaRef ds:uri="0d5568c9-b756-47b3-80d4-db4c7d91fd95"/>
  </ds:schemaRefs>
</ds:datastoreItem>
</file>

<file path=customXml/itemProps4.xml><?xml version="1.0" encoding="utf-8"?>
<ds:datastoreItem xmlns:ds="http://schemas.openxmlformats.org/officeDocument/2006/customXml" ds:itemID="{C6B49BB0-FEF0-4B55-BD40-28FD60E0C213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26</vt:i4>
      </vt:variant>
      <vt:variant>
        <vt:lpstr>Rangos con nombre</vt:lpstr>
      </vt:variant>
      <vt:variant>
        <vt:i4>24</vt:i4>
      </vt:variant>
    </vt:vector>
  </HeadingPairs>
  <TitlesOfParts>
    <vt:vector size="50" baseType="lpstr">
      <vt:lpstr>2016 (rev3)</vt:lpstr>
      <vt:lpstr>2017</vt:lpstr>
      <vt:lpstr>2018</vt:lpstr>
      <vt:lpstr>2018-R1</vt:lpstr>
      <vt:lpstr>2018-R2 (LDS)</vt:lpstr>
      <vt:lpstr>2019</vt:lpstr>
      <vt:lpstr>2019-R1</vt:lpstr>
      <vt:lpstr>2019-R2</vt:lpstr>
      <vt:lpstr>2020</vt:lpstr>
      <vt:lpstr>2020 R1</vt:lpstr>
      <vt:lpstr>2020 R2</vt:lpstr>
      <vt:lpstr>2021</vt:lpstr>
      <vt:lpstr>2021-R1</vt:lpstr>
      <vt:lpstr>2021-R2</vt:lpstr>
      <vt:lpstr>2022</vt:lpstr>
      <vt:lpstr>2022-R1</vt:lpstr>
      <vt:lpstr>2022-R2</vt:lpstr>
      <vt:lpstr>2023</vt:lpstr>
      <vt:lpstr>2023-R1</vt:lpstr>
      <vt:lpstr>2024</vt:lpstr>
      <vt:lpstr>2024-R1</vt:lpstr>
      <vt:lpstr>2024-R2</vt:lpstr>
      <vt:lpstr>2025</vt:lpstr>
      <vt:lpstr>2025V1</vt:lpstr>
      <vt:lpstr>R</vt:lpstr>
      <vt:lpstr>Perfil</vt:lpstr>
      <vt:lpstr>'2016 (rev3)'!Área_de_impresión</vt:lpstr>
      <vt:lpstr>'2017'!Área_de_impresión</vt:lpstr>
      <vt:lpstr>'2018'!Área_de_impresión</vt:lpstr>
      <vt:lpstr>'2018-R1'!Área_de_impresión</vt:lpstr>
      <vt:lpstr>'2018-R2 (LDS)'!Área_de_impresión</vt:lpstr>
      <vt:lpstr>'2019'!Área_de_impresión</vt:lpstr>
      <vt:lpstr>'2019-R1'!Área_de_impresión</vt:lpstr>
      <vt:lpstr>'2019-R2'!Área_de_impresión</vt:lpstr>
      <vt:lpstr>'2020'!Área_de_impresión</vt:lpstr>
      <vt:lpstr>'2020 R1'!Área_de_impresión</vt:lpstr>
      <vt:lpstr>'2020 R2'!Área_de_impresión</vt:lpstr>
      <vt:lpstr>'2021'!Área_de_impresión</vt:lpstr>
      <vt:lpstr>'2021-R1'!Área_de_impresión</vt:lpstr>
      <vt:lpstr>'2021-R2'!Área_de_impresión</vt:lpstr>
      <vt:lpstr>'2022'!Área_de_impresión</vt:lpstr>
      <vt:lpstr>'2022-R1'!Área_de_impresión</vt:lpstr>
      <vt:lpstr>'2022-R2'!Área_de_impresión</vt:lpstr>
      <vt:lpstr>'2023'!Área_de_impresión</vt:lpstr>
      <vt:lpstr>'2023-R1'!Área_de_impresión</vt:lpstr>
      <vt:lpstr>'2024'!Área_de_impresión</vt:lpstr>
      <vt:lpstr>'2024-R1'!Área_de_impresión</vt:lpstr>
      <vt:lpstr>'2024-R2'!Área_de_impresión</vt:lpstr>
      <vt:lpstr>'2025'!Área_de_impresión</vt:lpstr>
      <vt:lpstr>'2025V1'!Área_de_impresión</vt:lpstr>
    </vt:vector>
  </TitlesOfParts>
  <Company>Egasa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Néstor Cuba Bacaro</dc:creator>
  <cp:lastModifiedBy>Rommel Paredes Banda</cp:lastModifiedBy>
  <cp:lastPrinted>2024-10-29T15:15:39Z</cp:lastPrinted>
  <dcterms:created xsi:type="dcterms:W3CDTF">2007-02-13T15:31:42Z</dcterms:created>
  <dcterms:modified xsi:type="dcterms:W3CDTF">2025-12-22T19:59:52Z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Milton Abrigo</vt:lpwstr>
  </property>
  <property fmtid="{D5CDD505-2E9C-101B-9397-08002B2CF9AE}" pid="4" name="xd_ProgID">
    <vt:lpwstr/>
  </property>
  <property fmtid="{D5CDD505-2E9C-101B-9397-08002B2CF9AE}" pid="5" name="_ExtendedDescription">
    <vt:lpwstr/>
  </property>
  <property fmtid="{D5CDD505-2E9C-101B-9397-08002B2CF9AE}" pid="6" name="display_urn:schemas-microsoft-com:office:office#Author">
    <vt:lpwstr>Milton Abrigo</vt:lpwstr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TriggerFlowInfo">
    <vt:lpwstr/>
  </property>
  <property fmtid="{D5CDD505-2E9C-101B-9397-08002B2CF9AE}" pid="10" name="ContentTypeId">
    <vt:lpwstr>0x010100B3BF2E012BEDE54283759EC78BA14A8D</vt:lpwstr>
  </property>
  <property fmtid="{D5CDD505-2E9C-101B-9397-08002B2CF9AE}" pid="11" name="MediaServiceImageTags">
    <vt:lpwstr/>
  </property>
</Properties>
</file>