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heckCompatibility="1"/>
  <mc:AlternateContent xmlns:mc="http://schemas.openxmlformats.org/markup-compatibility/2006">
    <mc:Choice Requires="x15">
      <x15ac:absPath xmlns:x15ac="http://schemas.microsoft.com/office/spreadsheetml/2010/11/ac" url="https://egasacompe.sharepoint.com/sites/GerenciaComercial/Gerencia Comercial estructura propuesta/16 Proyecto/Carpeta fuente de dasboard/"/>
    </mc:Choice>
  </mc:AlternateContent>
  <xr:revisionPtr revIDLastSave="0" documentId="8_{FCBCBF98-D8F9-4604-80EF-1112573CD014}" xr6:coauthVersionLast="47" xr6:coauthVersionMax="47" xr10:uidLastSave="{00000000-0000-0000-0000-000000000000}"/>
  <bookViews>
    <workbookView xWindow="-120" yWindow="-120" windowWidth="29040" windowHeight="15720" firstSheet="13" activeTab="15" xr2:uid="{00000000-000D-0000-FFFF-FFFF00000000}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  <sheet name="2021" sheetId="12" r:id="rId12"/>
    <sheet name="2022" sheetId="13" r:id="rId13"/>
    <sheet name="2023" sheetId="14" r:id="rId14"/>
    <sheet name="2024" sheetId="15" r:id="rId15"/>
    <sheet name="2025" sheetId="16" r:id="rId16"/>
    <sheet name="POR CENTRAL" sheetId="17" r:id="rId17"/>
    <sheet name="RESUMEN" sheetId="18" r:id="rId18"/>
  </sheets>
  <definedNames>
    <definedName name="_xlnm.Print_Area" localSheetId="0">'2010'!$B$1:$P$42</definedName>
    <definedName name="_xlnm.Print_Area" localSheetId="1">'2011'!$B$1:$P$42</definedName>
    <definedName name="_xlnm.Print_Area" localSheetId="2">'2012'!$B$1:$P$42</definedName>
    <definedName name="_xlnm.Print_Area" localSheetId="3">'2013'!$B$1:$P$42</definedName>
    <definedName name="_xlnm.Print_Area" localSheetId="4">'2014'!$B$1:$P$42</definedName>
    <definedName name="_xlnm.Print_Area" localSheetId="5">'2015'!$B$1:$P$42</definedName>
    <definedName name="_xlnm.Print_Area" localSheetId="6">'2016'!$B$1:$P$42</definedName>
    <definedName name="_xlnm.Print_Area" localSheetId="7">'2017'!$B$1:$P$42</definedName>
    <definedName name="_xlnm.Print_Area" localSheetId="8">'2018'!$B$1:$P$42</definedName>
    <definedName name="_xlnm.Print_Area" localSheetId="9">'2019'!$B$1:$P$42</definedName>
    <definedName name="_xlnm.Print_Area" localSheetId="10">'2020'!$B$1:$P$42</definedName>
    <definedName name="_xlnm.Print_Area" localSheetId="11">'2021'!$B$1:$P$42</definedName>
    <definedName name="_xlnm.Print_Area" localSheetId="12">'2022'!$B$1:$P$42</definedName>
    <definedName name="_xlnm.Print_Area" localSheetId="13">'2023'!$B$1:$P$42</definedName>
    <definedName name="_xlnm.Print_Area" localSheetId="14">'2024'!$B$1:$P$42</definedName>
    <definedName name="_xlnm.Print_Area" localSheetId="15">'2025'!$B$1:$P$42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7" l="1"/>
  <c r="D18" i="17"/>
  <c r="C18" i="17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9" i="16"/>
  <c r="P8" i="16"/>
  <c r="P7" i="16"/>
  <c r="P43" i="15"/>
  <c r="P42" i="15"/>
  <c r="P41" i="15"/>
  <c r="P40" i="15"/>
  <c r="P39" i="15"/>
  <c r="P38" i="15"/>
  <c r="P37" i="15"/>
  <c r="P36" i="15"/>
  <c r="P35" i="15"/>
  <c r="P34" i="15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43" i="11" l="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</calcChain>
</file>

<file path=xl/sharedStrings.xml><?xml version="1.0" encoding="utf-8"?>
<sst xmlns="http://schemas.openxmlformats.org/spreadsheetml/2006/main" count="1090" uniqueCount="77">
  <si>
    <t xml:space="preserve">   </t>
  </si>
  <si>
    <t>AÑO 2010</t>
  </si>
  <si>
    <t>PRODUCIÓN DE ENERGÍA</t>
  </si>
  <si>
    <t>CENTRAL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</si>
  <si>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</si>
  <si>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</si>
  <si>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</si>
  <si>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</si>
  <si>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</si>
  <si>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</si>
  <si>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</si>
  <si>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</si>
  <si>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</si>
  <si>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</si>
  <si>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</si>
  <si>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</si>
  <si>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TOTAL ANUAL</t>
  </si>
  <si>
    <t>kWh</t>
  </si>
  <si>
    <t>Hidráulica</t>
  </si>
  <si>
    <t>Charcani I</t>
  </si>
  <si>
    <t>G1</t>
  </si>
  <si>
    <t>G2</t>
  </si>
  <si>
    <t>Charcani II</t>
  </si>
  <si>
    <t>G3</t>
  </si>
  <si>
    <t>Charcani III</t>
  </si>
  <si>
    <t>Charcani IV</t>
  </si>
  <si>
    <t>Charcani V</t>
  </si>
  <si>
    <t>Charcani VI</t>
  </si>
  <si>
    <t>Térmico</t>
  </si>
  <si>
    <t>C.T. Chilina</t>
  </si>
  <si>
    <t>TV1</t>
  </si>
  <si>
    <t>TV2</t>
  </si>
  <si>
    <t>TV3</t>
  </si>
  <si>
    <t>CICLO COMBINADO</t>
  </si>
  <si>
    <t>SULZER 1</t>
  </si>
  <si>
    <t>SULZER 2</t>
  </si>
  <si>
    <t>C.T. Mollendo</t>
  </si>
  <si>
    <t>MB1</t>
  </si>
  <si>
    <t>MB2</t>
  </si>
  <si>
    <t>MB3</t>
  </si>
  <si>
    <t>C.T. Pisco</t>
  </si>
  <si>
    <t>TGM1</t>
  </si>
  <si>
    <t>TGM2</t>
  </si>
  <si>
    <t>TOTAL EGASA</t>
  </si>
  <si>
    <t>AÑO 2011</t>
  </si>
  <si>
    <t>AÑO 2012</t>
  </si>
  <si>
    <t>AÑO 2013</t>
  </si>
  <si>
    <t>AÑO 2014</t>
  </si>
  <si>
    <t>AÑO 2015</t>
  </si>
  <si>
    <t>AÑO 2016</t>
  </si>
  <si>
    <t>AÑO 2017</t>
  </si>
  <si>
    <t>AÑO 2018</t>
  </si>
  <si>
    <t>AÑO 2019</t>
  </si>
  <si>
    <t>AÑO 2020</t>
  </si>
  <si>
    <t>AÑO 2021</t>
  </si>
  <si>
    <t>AÑO 2022</t>
  </si>
  <si>
    <t>AÑO 2023</t>
  </si>
  <si>
    <t>AÑO 2024</t>
  </si>
  <si>
    <t>AÑO 2025</t>
  </si>
  <si>
    <t>(*) Charcani VI fuera de servicio desde el xx de mayo  debido a xxx</t>
  </si>
  <si>
    <t>CENTRAL CHARCANI V - PRODUCCÍON DE ENERGÍA</t>
  </si>
  <si>
    <t>MWh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</si>
  <si>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</si>
  <si>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</si>
  <si>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</si>
  <si>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</si>
  <si>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</si>
  <si>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</si>
  <si>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</si>
  <si>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</si>
  <si>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</si>
  <si>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</si>
  <si>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</si>
  <si>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</si>
  <si>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</si>
  <si>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TOTAL</t>
  </si>
  <si>
    <t>* A Noviembre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</si>
</sst>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(* #,##0.00_);_(* \(#,##0.00\);_(* &quot;-&quot;??_);_(@_)"/>
  </numFmts>
  <fonts count="8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1"/>
      <color theme="0"/>
      <name val="Arial"/>
      <family val="2"/>
    </font>
    <font>
      <b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7" fontId="3" fillId="0" borderId="0" xfId="0" applyNumberFormat="1" applyFont="1" applyAlignment="1">
      <alignment horizontal="centerContinuous"/>
    </xf>
    <xf numFmtId="17" fontId="4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/>
    <xf numFmtId="0" fontId="4" fillId="2" borderId="4" xfId="0" applyFont="1" applyFill="1" applyBorder="1"/>
    <xf numFmtId="0" fontId="4" fillId="3" borderId="3" xfId="0" applyFont="1" applyFill="1" applyBorder="1" applyAlignment="1">
      <alignment horizontal="centerContinuous"/>
    </xf>
    <xf numFmtId="0" fontId="4" fillId="3" borderId="4" xfId="0" applyFont="1" applyFill="1" applyBorder="1" applyAlignment="1">
      <alignment horizontal="centerContinuous"/>
    </xf>
    <xf numFmtId="164" fontId="4" fillId="3" borderId="1" xfId="1" applyFont="1" applyFill="1" applyBorder="1"/>
    <xf numFmtId="0" fontId="4" fillId="0" borderId="5" xfId="0" applyFont="1" applyBorder="1"/>
    <xf numFmtId="0" fontId="4" fillId="0" borderId="6" xfId="0" applyFont="1" applyBorder="1"/>
    <xf numFmtId="164" fontId="4" fillId="0" borderId="1" xfId="1" applyFont="1" applyBorder="1"/>
    <xf numFmtId="0" fontId="2" fillId="0" borderId="5" xfId="0" applyFont="1" applyBorder="1"/>
    <xf numFmtId="0" fontId="2" fillId="0" borderId="6" xfId="0" applyFont="1" applyBorder="1"/>
    <xf numFmtId="164" fontId="2" fillId="0" borderId="1" xfId="1" applyFont="1" applyBorder="1"/>
    <xf numFmtId="165" fontId="2" fillId="0" borderId="0" xfId="0" applyNumberFormat="1" applyFont="1"/>
    <xf numFmtId="0" fontId="4" fillId="3" borderId="5" xfId="0" applyFont="1" applyFill="1" applyBorder="1" applyAlignment="1">
      <alignment horizontal="centerContinuous"/>
    </xf>
    <xf numFmtId="0" fontId="4" fillId="3" borderId="6" xfId="0" applyFont="1" applyFill="1" applyBorder="1" applyAlignment="1">
      <alignment horizontal="centerContinuous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164" fontId="6" fillId="4" borderId="7" xfId="1" applyFont="1" applyFill="1" applyBorder="1"/>
    <xf numFmtId="0" fontId="6" fillId="4" borderId="7" xfId="0" applyFont="1" applyFill="1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4" borderId="13" xfId="0" applyFont="1" applyFill="1" applyBorder="1" applyAlignment="1">
      <alignment horizontal="center"/>
    </xf>
    <xf numFmtId="164" fontId="0" fillId="0" borderId="14" xfId="1" applyFont="1" applyBorder="1"/>
    <xf numFmtId="164" fontId="0" fillId="0" borderId="15" xfId="1" applyFont="1" applyBorder="1"/>
    <xf numFmtId="164" fontId="0" fillId="0" borderId="16" xfId="1" applyFont="1" applyBorder="1"/>
    <xf numFmtId="164" fontId="0" fillId="0" borderId="17" xfId="1" applyFont="1" applyBorder="1"/>
    <xf numFmtId="164" fontId="0" fillId="0" borderId="18" xfId="1" applyFont="1" applyBorder="1"/>
    <xf numFmtId="164" fontId="0" fillId="0" borderId="13" xfId="1" applyFont="1" applyBorder="1"/>
    <xf numFmtId="0" fontId="5" fillId="0" borderId="19" xfId="0" applyFont="1" applyBorder="1"/>
    <xf numFmtId="0" fontId="7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1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7" sqref="D7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1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53492844.647308841</v>
      </c>
      <c r="E7" s="11">
        <v>51769500.092759714</v>
      </c>
      <c r="F7" s="11">
        <v>66722491.168464161</v>
      </c>
      <c r="G7" s="11">
        <v>66815996.090923965</v>
      </c>
      <c r="H7" s="11">
        <v>66693680.717955589</v>
      </c>
      <c r="I7" s="11">
        <v>60817798.04545337</v>
      </c>
      <c r="J7" s="11">
        <v>62619698.514792748</v>
      </c>
      <c r="K7" s="11">
        <v>67572565.151465327</v>
      </c>
      <c r="L7" s="11">
        <v>66173566.963239685</v>
      </c>
      <c r="M7" s="11">
        <v>72685873.654112011</v>
      </c>
      <c r="N7" s="11">
        <v>70651929.154271841</v>
      </c>
      <c r="O7" s="11">
        <v>74008990.415860474</v>
      </c>
      <c r="P7" s="11">
        <f t="shared" ref="P7:P40" si="0">SUM(D7:O7)</f>
        <v>780024934.61660767</v>
      </c>
    </row>
    <row r="8" spans="1:16" ht="15" x14ac:dyDescent="0.25">
      <c r="B8" s="12" t="s">
        <v>19</v>
      </c>
      <c r="C8" s="13"/>
      <c r="D8" s="14">
        <v>1172437.9196462631</v>
      </c>
      <c r="E8" s="14">
        <v>1050892.3595123291</v>
      </c>
      <c r="F8" s="14">
        <v>1275652.7464122772</v>
      </c>
      <c r="G8" s="14">
        <v>1229921.5754120653</v>
      </c>
      <c r="H8" s="14">
        <v>1259512.0763835907</v>
      </c>
      <c r="I8" s="14">
        <v>1210567.2885513306</v>
      </c>
      <c r="J8" s="14">
        <v>1262563.6101777554</v>
      </c>
      <c r="K8" s="14">
        <v>1264380.5268001556</v>
      </c>
      <c r="L8" s="14">
        <v>1213388.2571235597</v>
      </c>
      <c r="M8" s="14">
        <v>1261252.4813089306</v>
      </c>
      <c r="N8" s="14">
        <v>1188177.4732875824</v>
      </c>
      <c r="O8" s="14">
        <v>1262424.5662106872</v>
      </c>
      <c r="P8" s="14">
        <f t="shared" si="0"/>
        <v>14651170.880826525</v>
      </c>
    </row>
    <row r="9" spans="1:16" x14ac:dyDescent="0.2">
      <c r="B9" s="15"/>
      <c r="C9" s="16" t="s">
        <v>20</v>
      </c>
      <c r="D9" s="17">
        <v>585635.28741359711</v>
      </c>
      <c r="E9" s="17">
        <v>525950.44493103027</v>
      </c>
      <c r="F9" s="17">
        <v>633429.93140792847</v>
      </c>
      <c r="G9" s="17">
        <v>610607.3093359773</v>
      </c>
      <c r="H9" s="17">
        <v>627168.50214767456</v>
      </c>
      <c r="I9" s="17">
        <v>602825.33570098877</v>
      </c>
      <c r="J9" s="17">
        <v>628956.76574707031</v>
      </c>
      <c r="K9" s="17">
        <v>629538.73146247864</v>
      </c>
      <c r="L9" s="17">
        <v>603801.55898019671</v>
      </c>
      <c r="M9" s="17">
        <v>627686.91623591736</v>
      </c>
      <c r="N9" s="17">
        <v>591467.72300052643</v>
      </c>
      <c r="O9" s="17">
        <v>628353.45240110159</v>
      </c>
      <c r="P9" s="17">
        <f t="shared" si="0"/>
        <v>7295421.9587644869</v>
      </c>
    </row>
    <row r="10" spans="1:16" x14ac:dyDescent="0.2">
      <c r="B10" s="15"/>
      <c r="C10" s="16" t="s">
        <v>21</v>
      </c>
      <c r="D10" s="17">
        <v>586802.63223266602</v>
      </c>
      <c r="E10" s="17">
        <v>524941.91458129883</v>
      </c>
      <c r="F10" s="17">
        <v>642222.81500434875</v>
      </c>
      <c r="G10" s="17">
        <v>619314.26607608795</v>
      </c>
      <c r="H10" s="17">
        <v>632343.57423591614</v>
      </c>
      <c r="I10" s="17">
        <v>607741.9528503418</v>
      </c>
      <c r="J10" s="17">
        <v>633606.84443068504</v>
      </c>
      <c r="K10" s="17">
        <v>634841.795337677</v>
      </c>
      <c r="L10" s="17">
        <v>609586.698143363</v>
      </c>
      <c r="M10" s="17">
        <v>633565.56507301331</v>
      </c>
      <c r="N10" s="17">
        <v>596709.75028705597</v>
      </c>
      <c r="O10" s="17">
        <v>634071.11380958557</v>
      </c>
      <c r="P10" s="17">
        <f t="shared" si="0"/>
        <v>7355748.9220620394</v>
      </c>
    </row>
    <row r="11" spans="1:16" ht="15" x14ac:dyDescent="0.25">
      <c r="B11" s="12" t="s">
        <v>22</v>
      </c>
      <c r="C11" s="13"/>
      <c r="D11" s="14">
        <v>423692.80791566148</v>
      </c>
      <c r="E11" s="14">
        <v>379341.36641145498</v>
      </c>
      <c r="F11" s="14">
        <v>421639.91497993469</v>
      </c>
      <c r="G11" s="14">
        <v>413526.41772651672</v>
      </c>
      <c r="H11" s="14">
        <v>415920.74468524125</v>
      </c>
      <c r="I11" s="14">
        <v>406955.49961128831</v>
      </c>
      <c r="J11" s="14">
        <v>420255.27068438381</v>
      </c>
      <c r="K11" s="14">
        <v>418639.97940921783</v>
      </c>
      <c r="L11" s="14">
        <v>399794.98627471924</v>
      </c>
      <c r="M11" s="14">
        <v>416086.46051904559</v>
      </c>
      <c r="N11" s="14">
        <v>400267.53119921684</v>
      </c>
      <c r="O11" s="14">
        <v>416366.68202543259</v>
      </c>
      <c r="P11" s="14">
        <f t="shared" si="0"/>
        <v>4932487.6614421131</v>
      </c>
    </row>
    <row r="12" spans="1:16" x14ac:dyDescent="0.2">
      <c r="B12" s="15"/>
      <c r="C12" s="16" t="s">
        <v>20</v>
      </c>
      <c r="D12" s="17">
        <v>143490.82689639926</v>
      </c>
      <c r="E12" s="17">
        <v>129699.29492867738</v>
      </c>
      <c r="F12" s="17">
        <v>143301.22651481628</v>
      </c>
      <c r="G12" s="17">
        <v>142299.31365585327</v>
      </c>
      <c r="H12" s="17">
        <v>143558.28233201173</v>
      </c>
      <c r="I12" s="17">
        <v>139979.61775350571</v>
      </c>
      <c r="J12" s="17">
        <v>144991.69195175171</v>
      </c>
      <c r="K12" s="17">
        <v>145301.61238479614</v>
      </c>
      <c r="L12" s="17">
        <v>138886.8267326355</v>
      </c>
      <c r="M12" s="17">
        <v>143765.44894969463</v>
      </c>
      <c r="N12" s="17">
        <v>137437.20346677303</v>
      </c>
      <c r="O12" s="17">
        <v>142440.43635177612</v>
      </c>
      <c r="P12" s="17">
        <f t="shared" si="0"/>
        <v>1695151.7819186908</v>
      </c>
    </row>
    <row r="13" spans="1:16" x14ac:dyDescent="0.2">
      <c r="B13" s="15"/>
      <c r="C13" s="16" t="s">
        <v>21</v>
      </c>
      <c r="D13" s="17">
        <v>145705.73710489273</v>
      </c>
      <c r="E13" s="17">
        <v>129706.13254451752</v>
      </c>
      <c r="F13" s="17">
        <v>145212.01923942566</v>
      </c>
      <c r="G13" s="17">
        <v>146265.12117671967</v>
      </c>
      <c r="H13" s="17">
        <v>146075.37690734863</v>
      </c>
      <c r="I13" s="17">
        <v>144065.94453334808</v>
      </c>
      <c r="J13" s="17">
        <v>148092.08173751831</v>
      </c>
      <c r="K13" s="17">
        <v>146422.4927148819</v>
      </c>
      <c r="L13" s="17">
        <v>138716.43382835388</v>
      </c>
      <c r="M13" s="17">
        <v>144058.49769303203</v>
      </c>
      <c r="N13" s="17">
        <v>139130.94473612309</v>
      </c>
      <c r="O13" s="17">
        <v>144931.71015882492</v>
      </c>
      <c r="P13" s="17">
        <f t="shared" si="0"/>
        <v>1718382.4923749864</v>
      </c>
    </row>
    <row r="14" spans="1:16" x14ac:dyDescent="0.2">
      <c r="B14" s="15"/>
      <c r="C14" s="16" t="s">
        <v>23</v>
      </c>
      <c r="D14" s="17">
        <v>134496.24391436949</v>
      </c>
      <c r="E14" s="17">
        <v>119935.93893826008</v>
      </c>
      <c r="F14" s="17">
        <v>133126.66922569275</v>
      </c>
      <c r="G14" s="17">
        <v>124961.98289394379</v>
      </c>
      <c r="H14" s="17">
        <v>126287.08544588089</v>
      </c>
      <c r="I14" s="17">
        <v>122909.93732443452</v>
      </c>
      <c r="J14" s="17">
        <v>127171.49699511379</v>
      </c>
      <c r="K14" s="17">
        <v>126915.87430953979</v>
      </c>
      <c r="L14" s="17">
        <v>122191.72571372986</v>
      </c>
      <c r="M14" s="17">
        <v>128262.51387631893</v>
      </c>
      <c r="N14" s="17">
        <v>123699.38299632072</v>
      </c>
      <c r="O14" s="17">
        <v>128994.53551483154</v>
      </c>
      <c r="P14" s="17">
        <f t="shared" si="0"/>
        <v>1518953.3871484362</v>
      </c>
    </row>
    <row r="15" spans="1:16" ht="15" x14ac:dyDescent="0.25">
      <c r="B15" s="12" t="s">
        <v>24</v>
      </c>
      <c r="C15" s="13"/>
      <c r="D15" s="14">
        <v>3230960.7357388735</v>
      </c>
      <c r="E15" s="14">
        <v>2919191.8197021484</v>
      </c>
      <c r="F15" s="14">
        <v>3420497.7442932129</v>
      </c>
      <c r="G15" s="14">
        <v>3305499.3240737915</v>
      </c>
      <c r="H15" s="14">
        <v>3389548.4397315979</v>
      </c>
      <c r="I15" s="14">
        <v>3250930.4475402832</v>
      </c>
      <c r="J15" s="14">
        <v>3404847.082901001</v>
      </c>
      <c r="K15" s="14">
        <v>3415298.1161499023</v>
      </c>
      <c r="L15" s="14">
        <v>3286932.2626419067</v>
      </c>
      <c r="M15" s="14">
        <v>3396261.1993541718</v>
      </c>
      <c r="N15" s="14">
        <v>3237993.8406276703</v>
      </c>
      <c r="O15" s="14">
        <v>3413633.2102584839</v>
      </c>
      <c r="P15" s="14">
        <f t="shared" si="0"/>
        <v>39671594.223013043</v>
      </c>
    </row>
    <row r="16" spans="1:16" x14ac:dyDescent="0.2">
      <c r="B16" s="15"/>
      <c r="C16" s="16" t="s">
        <v>20</v>
      </c>
      <c r="D16" s="17">
        <v>1611276.4252072573</v>
      </c>
      <c r="E16" s="17">
        <v>1445699.276184082</v>
      </c>
      <c r="F16" s="17">
        <v>1704431.0399475098</v>
      </c>
      <c r="G16" s="17">
        <v>1649322.0906219482</v>
      </c>
      <c r="H16" s="17">
        <v>1693606.9653930664</v>
      </c>
      <c r="I16" s="17">
        <v>1623718.2895507813</v>
      </c>
      <c r="J16" s="17">
        <v>1702450.6694946289</v>
      </c>
      <c r="K16" s="17">
        <v>1711148.825012207</v>
      </c>
      <c r="L16" s="17">
        <v>1646568.5690078735</v>
      </c>
      <c r="M16" s="17">
        <v>1698564.3920536041</v>
      </c>
      <c r="N16" s="17">
        <v>1612968.2844753265</v>
      </c>
      <c r="O16" s="17">
        <v>1704207.1035003662</v>
      </c>
      <c r="P16" s="17">
        <f t="shared" si="0"/>
        <v>19803961.930448651</v>
      </c>
    </row>
    <row r="17" spans="2:18" x14ac:dyDescent="0.2">
      <c r="B17" s="15"/>
      <c r="C17" s="16" t="s">
        <v>21</v>
      </c>
      <c r="D17" s="17">
        <v>1619684.3105316162</v>
      </c>
      <c r="E17" s="17">
        <v>1473492.5435180664</v>
      </c>
      <c r="F17" s="17">
        <v>1716066.7043457031</v>
      </c>
      <c r="G17" s="17">
        <v>1656177.2334518433</v>
      </c>
      <c r="H17" s="17">
        <v>1695941.4743385315</v>
      </c>
      <c r="I17" s="17">
        <v>1627212.157989502</v>
      </c>
      <c r="J17" s="17">
        <v>1702396.4134063721</v>
      </c>
      <c r="K17" s="17">
        <v>1704149.2911376953</v>
      </c>
      <c r="L17" s="17">
        <v>1640363.6936340332</v>
      </c>
      <c r="M17" s="17">
        <v>1697696.8073005676</v>
      </c>
      <c r="N17" s="17">
        <v>1625025.5561523438</v>
      </c>
      <c r="O17" s="17">
        <v>1709426.1067581177</v>
      </c>
      <c r="P17" s="17">
        <f t="shared" si="0"/>
        <v>19867632.292564392</v>
      </c>
    </row>
    <row r="18" spans="2:18" ht="15" x14ac:dyDescent="0.25">
      <c r="B18" s="12" t="s">
        <v>25</v>
      </c>
      <c r="C18" s="13"/>
      <c r="D18" s="14">
        <v>7008825.2824085597</v>
      </c>
      <c r="E18" s="14">
        <v>6772553.0898172911</v>
      </c>
      <c r="F18" s="14">
        <v>8718396.5349451527</v>
      </c>
      <c r="G18" s="14">
        <v>8794873.4943734743</v>
      </c>
      <c r="H18" s="14">
        <v>8816500.3472616002</v>
      </c>
      <c r="I18" s="14">
        <v>7976415.1432938874</v>
      </c>
      <c r="J18" s="14">
        <v>8162398.9692585766</v>
      </c>
      <c r="K18" s="14">
        <v>8646807.7232865393</v>
      </c>
      <c r="L18" s="14">
        <v>8665494.694966536</v>
      </c>
      <c r="M18" s="14">
        <v>9478673.1534130499</v>
      </c>
      <c r="N18" s="14">
        <v>9180815.7857589722</v>
      </c>
      <c r="O18" s="14">
        <v>9655309.151371479</v>
      </c>
      <c r="P18" s="14">
        <f t="shared" si="0"/>
        <v>101877063.37015513</v>
      </c>
    </row>
    <row r="19" spans="2:18" x14ac:dyDescent="0.2">
      <c r="B19" s="15"/>
      <c r="C19" s="16" t="s">
        <v>20</v>
      </c>
      <c r="D19" s="17">
        <v>3009231.029861629</v>
      </c>
      <c r="E19" s="17">
        <v>2891402.117399469</v>
      </c>
      <c r="F19" s="17">
        <v>3192372.4114685059</v>
      </c>
      <c r="G19" s="17">
        <v>3207699.7388305664</v>
      </c>
      <c r="H19" s="17">
        <v>3164471.1487731934</v>
      </c>
      <c r="I19" s="17">
        <v>2959523.1501457542</v>
      </c>
      <c r="J19" s="17">
        <v>3235207.5142822266</v>
      </c>
      <c r="K19" s="17">
        <v>3313236.7348937988</v>
      </c>
      <c r="L19" s="17">
        <v>3022831.5739949197</v>
      </c>
      <c r="M19" s="17">
        <v>3213593.932472229</v>
      </c>
      <c r="N19" s="17">
        <v>3014986.4965820313</v>
      </c>
      <c r="O19" s="17">
        <v>3162714.8356933594</v>
      </c>
      <c r="P19" s="17">
        <f t="shared" si="0"/>
        <v>37387270.684397683</v>
      </c>
    </row>
    <row r="20" spans="2:18" x14ac:dyDescent="0.2">
      <c r="B20" s="15"/>
      <c r="C20" s="16" t="s">
        <v>21</v>
      </c>
      <c r="D20" s="17">
        <v>3212105.2778791175</v>
      </c>
      <c r="E20" s="17">
        <v>2928851.2358691078</v>
      </c>
      <c r="F20" s="17">
        <v>3265218.2263793945</v>
      </c>
      <c r="G20" s="17">
        <v>3206060.6992797852</v>
      </c>
      <c r="H20" s="17">
        <v>3238765.9602355957</v>
      </c>
      <c r="I20" s="17">
        <v>3113106.7698822021</v>
      </c>
      <c r="J20" s="17">
        <v>3237325.1654663086</v>
      </c>
      <c r="K20" s="17">
        <v>2847299.7989578247</v>
      </c>
      <c r="L20" s="17">
        <v>3104415.7288907617</v>
      </c>
      <c r="M20" s="17">
        <v>3359036.7990668118</v>
      </c>
      <c r="N20" s="17">
        <v>3167672.1359710693</v>
      </c>
      <c r="O20" s="17">
        <v>3316961.0713500977</v>
      </c>
      <c r="P20" s="17">
        <f t="shared" si="0"/>
        <v>37996818.86922808</v>
      </c>
    </row>
    <row r="21" spans="2:18" x14ac:dyDescent="0.2">
      <c r="B21" s="15"/>
      <c r="C21" s="16" t="s">
        <v>23</v>
      </c>
      <c r="D21" s="17">
        <v>787488.97466781363</v>
      </c>
      <c r="E21" s="17">
        <v>952299.73654871434</v>
      </c>
      <c r="F21" s="17">
        <v>2260805.8970972523</v>
      </c>
      <c r="G21" s="17">
        <v>2381113.0562631218</v>
      </c>
      <c r="H21" s="17">
        <v>2413263.2382528121</v>
      </c>
      <c r="I21" s="17">
        <v>1903785.223265931</v>
      </c>
      <c r="J21" s="17">
        <v>1689866.2895100415</v>
      </c>
      <c r="K21" s="17">
        <v>2486271.1894349158</v>
      </c>
      <c r="L21" s="17">
        <v>2538247.3920808551</v>
      </c>
      <c r="M21" s="17">
        <v>2906042.4218740091</v>
      </c>
      <c r="N21" s="17">
        <v>2998157.1532058716</v>
      </c>
      <c r="O21" s="17">
        <v>3175633.244328022</v>
      </c>
      <c r="P21" s="17">
        <f t="shared" si="0"/>
        <v>26492973.81652936</v>
      </c>
    </row>
    <row r="22" spans="2:18" ht="15" x14ac:dyDescent="0.25">
      <c r="B22" s="12" t="s">
        <v>26</v>
      </c>
      <c r="C22" s="13"/>
      <c r="D22" s="14">
        <v>37523751.64090918</v>
      </c>
      <c r="E22" s="14">
        <v>36702083.843944132</v>
      </c>
      <c r="F22" s="14">
        <v>47763485.33529985</v>
      </c>
      <c r="G22" s="14">
        <v>47833836.261943102</v>
      </c>
      <c r="H22" s="14">
        <v>47552783.538821936</v>
      </c>
      <c r="I22" s="14">
        <v>43273391.997755408</v>
      </c>
      <c r="J22" s="14">
        <v>44521506.614241734</v>
      </c>
      <c r="K22" s="14">
        <v>48539288.957475901</v>
      </c>
      <c r="L22" s="14">
        <v>47426207.633864574</v>
      </c>
      <c r="M22" s="14">
        <v>52422113.841796875</v>
      </c>
      <c r="N22" s="14">
        <v>51126450.053573608</v>
      </c>
      <c r="O22" s="14">
        <v>53430389.152552009</v>
      </c>
      <c r="P22" s="14">
        <f t="shared" si="0"/>
        <v>558115288.87217832</v>
      </c>
    </row>
    <row r="23" spans="2:18" x14ac:dyDescent="0.2">
      <c r="B23" s="15"/>
      <c r="C23" s="16" t="s">
        <v>20</v>
      </c>
      <c r="D23" s="17">
        <v>16475668.243088111</v>
      </c>
      <c r="E23" s="17">
        <v>19367904.777648926</v>
      </c>
      <c r="F23" s="17">
        <v>24333429.31492424</v>
      </c>
      <c r="G23" s="17">
        <v>23912027.155960083</v>
      </c>
      <c r="H23" s="17">
        <v>23102464.111049652</v>
      </c>
      <c r="I23" s="17">
        <v>22062289.282393456</v>
      </c>
      <c r="J23" s="17">
        <v>22706698.063628197</v>
      </c>
      <c r="K23" s="17">
        <v>24756284.609985352</v>
      </c>
      <c r="L23" s="17">
        <v>19034844.735245228</v>
      </c>
      <c r="M23" s="17">
        <v>25015068.247070313</v>
      </c>
      <c r="N23" s="17">
        <v>25546639.675765991</v>
      </c>
      <c r="O23" s="17">
        <v>26677599.497949958</v>
      </c>
      <c r="P23" s="17">
        <f t="shared" si="0"/>
        <v>272990917.71470952</v>
      </c>
    </row>
    <row r="24" spans="2:18" x14ac:dyDescent="0.2">
      <c r="B24" s="15"/>
      <c r="C24" s="16" t="s">
        <v>21</v>
      </c>
      <c r="D24" s="17">
        <v>6283907.2075172663</v>
      </c>
      <c r="E24" s="17">
        <v>17334179.066295207</v>
      </c>
      <c r="F24" s="17">
        <v>23430056.020375609</v>
      </c>
      <c r="G24" s="17">
        <v>23921809.105983019</v>
      </c>
      <c r="H24" s="17">
        <v>24450319.427772284</v>
      </c>
      <c r="I24" s="17">
        <v>21211102.715361953</v>
      </c>
      <c r="J24" s="17">
        <v>21814808.550613537</v>
      </c>
      <c r="K24" s="17">
        <v>23783004.347490549</v>
      </c>
      <c r="L24" s="17">
        <v>14102001.206751108</v>
      </c>
      <c r="M24" s="17">
        <v>6855641.1707503796</v>
      </c>
      <c r="N24" s="17">
        <v>0</v>
      </c>
      <c r="O24" s="17">
        <v>0</v>
      </c>
      <c r="P24" s="17">
        <f t="shared" si="0"/>
        <v>183186828.8189109</v>
      </c>
    </row>
    <row r="25" spans="2:18" x14ac:dyDescent="0.2">
      <c r="B25" s="15"/>
      <c r="C25" s="16" t="s">
        <v>23</v>
      </c>
      <c r="D25" s="17">
        <v>14764176.190303802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14289361.691868238</v>
      </c>
      <c r="M25" s="17">
        <v>20551404.423976183</v>
      </c>
      <c r="N25" s="17">
        <v>25579810.377807617</v>
      </c>
      <c r="O25" s="17">
        <v>26752789.654602051</v>
      </c>
      <c r="P25" s="17">
        <f t="shared" si="0"/>
        <v>101937542.3385579</v>
      </c>
    </row>
    <row r="26" spans="2:18" ht="15" x14ac:dyDescent="0.25">
      <c r="B26" s="12" t="s">
        <v>27</v>
      </c>
      <c r="C26" s="13"/>
      <c r="D26" s="14">
        <v>4133176.2606903017</v>
      </c>
      <c r="E26" s="14">
        <v>3945437.6133723557</v>
      </c>
      <c r="F26" s="14">
        <v>5122818.8925337344</v>
      </c>
      <c r="G26" s="14">
        <v>5238339.0173950195</v>
      </c>
      <c r="H26" s="14">
        <v>5259415.5710716248</v>
      </c>
      <c r="I26" s="14">
        <v>4699537.6687011719</v>
      </c>
      <c r="J26" s="14">
        <v>4848126.9675292969</v>
      </c>
      <c r="K26" s="14">
        <v>5288149.8483436108</v>
      </c>
      <c r="L26" s="14">
        <v>5181749.1283683944</v>
      </c>
      <c r="M26" s="14">
        <v>5711486.5177199394</v>
      </c>
      <c r="N26" s="14">
        <v>5518224.469824791</v>
      </c>
      <c r="O26" s="14">
        <v>5830867.6534423828</v>
      </c>
      <c r="P26" s="14">
        <f t="shared" si="0"/>
        <v>60777329.608992621</v>
      </c>
    </row>
    <row r="27" spans="2:18" x14ac:dyDescent="0.2">
      <c r="B27" s="15"/>
      <c r="C27" s="16" t="s">
        <v>20</v>
      </c>
      <c r="D27" s="17">
        <v>4133176.2606903017</v>
      </c>
      <c r="E27" s="17">
        <v>3945437.6133723557</v>
      </c>
      <c r="F27" s="17">
        <v>5122818.8925337344</v>
      </c>
      <c r="G27" s="17">
        <v>5238339.0173950195</v>
      </c>
      <c r="H27" s="17">
        <v>5259415.5710716248</v>
      </c>
      <c r="I27" s="17">
        <v>4699537.6687011719</v>
      </c>
      <c r="J27" s="17">
        <v>4848126.9675292969</v>
      </c>
      <c r="K27" s="17">
        <v>5288149.8483436108</v>
      </c>
      <c r="L27" s="17">
        <v>5181749.1283683944</v>
      </c>
      <c r="M27" s="17">
        <v>5711486.5177199394</v>
      </c>
      <c r="N27" s="17">
        <v>5518224.469824791</v>
      </c>
      <c r="O27" s="17">
        <v>5830867.6534423828</v>
      </c>
      <c r="P27" s="17">
        <f t="shared" si="0"/>
        <v>60777329.608992621</v>
      </c>
      <c r="R27" s="18"/>
    </row>
    <row r="28" spans="2:18" ht="15" x14ac:dyDescent="0.25">
      <c r="B28" s="19" t="s">
        <v>28</v>
      </c>
      <c r="C28" s="20"/>
      <c r="D28" s="11">
        <v>6613352.5870752241</v>
      </c>
      <c r="E28" s="11">
        <v>8216915.6070864517</v>
      </c>
      <c r="F28" s="11">
        <v>7978260.3641990032</v>
      </c>
      <c r="G28" s="11">
        <v>10444696.242944492</v>
      </c>
      <c r="H28" s="11">
        <v>7901333.9069558717</v>
      </c>
      <c r="I28" s="11">
        <v>3909287.9879799783</v>
      </c>
      <c r="J28" s="11">
        <v>14990779.28125998</v>
      </c>
      <c r="K28" s="11">
        <v>11796892.711724812</v>
      </c>
      <c r="L28" s="11">
        <v>9262330.5221703872</v>
      </c>
      <c r="M28" s="11">
        <v>13837154.364062319</v>
      </c>
      <c r="N28" s="11">
        <v>12388331.369167803</v>
      </c>
      <c r="O28" s="11">
        <v>8399181.4425093234</v>
      </c>
      <c r="P28" s="11">
        <f t="shared" si="0"/>
        <v>115738516.38713567</v>
      </c>
    </row>
    <row r="29" spans="2:18" ht="15" x14ac:dyDescent="0.25">
      <c r="B29" s="12" t="s">
        <v>29</v>
      </c>
      <c r="C29" s="13"/>
      <c r="D29" s="14">
        <v>3708895.8299083612</v>
      </c>
      <c r="E29" s="14">
        <v>3662702.9834921677</v>
      </c>
      <c r="F29" s="14">
        <v>3364461.1551078167</v>
      </c>
      <c r="G29" s="14">
        <v>5656687.5998084676</v>
      </c>
      <c r="H29" s="14">
        <v>5666637.576771412</v>
      </c>
      <c r="I29" s="14">
        <v>3009804.3951583803</v>
      </c>
      <c r="J29" s="14">
        <v>1658337.3077783845</v>
      </c>
      <c r="K29" s="14">
        <v>2407775.7580321711</v>
      </c>
      <c r="L29" s="14">
        <v>2321523.8966982886</v>
      </c>
      <c r="M29" s="14">
        <v>4067670.2922257334</v>
      </c>
      <c r="N29" s="14">
        <v>4126759.9459951203</v>
      </c>
      <c r="O29" s="14">
        <v>1875661.5702536702</v>
      </c>
      <c r="P29" s="14">
        <f t="shared" si="0"/>
        <v>41526918.311229974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1636.513973236084</v>
      </c>
      <c r="F31" s="17">
        <v>1754.9998970031738</v>
      </c>
      <c r="G31" s="17">
        <v>143900.45812034607</v>
      </c>
      <c r="H31" s="17">
        <v>48562.827896118164</v>
      </c>
      <c r="I31" s="17">
        <v>0</v>
      </c>
      <c r="J31" s="17">
        <v>5426.6818389892578</v>
      </c>
      <c r="K31" s="17">
        <v>120.75183391571045</v>
      </c>
      <c r="L31" s="17">
        <v>0</v>
      </c>
      <c r="M31" s="17">
        <v>16369.261303663254</v>
      </c>
      <c r="N31" s="17">
        <v>0</v>
      </c>
      <c r="O31" s="17">
        <v>0</v>
      </c>
      <c r="P31" s="17">
        <f t="shared" si="0"/>
        <v>217771.49486327171</v>
      </c>
    </row>
    <row r="32" spans="2:18" x14ac:dyDescent="0.2">
      <c r="B32" s="15"/>
      <c r="C32" s="16" t="s">
        <v>32</v>
      </c>
      <c r="D32" s="17">
        <v>885948.40490531921</v>
      </c>
      <c r="E32" s="17">
        <v>487662.26622758619</v>
      </c>
      <c r="F32" s="17">
        <v>2560.1738147735596</v>
      </c>
      <c r="G32" s="17">
        <v>1488969.2568588462</v>
      </c>
      <c r="H32" s="17">
        <v>1637790.7226507403</v>
      </c>
      <c r="I32" s="17">
        <v>95312.72030711174</v>
      </c>
      <c r="J32" s="17">
        <v>89189.059442069381</v>
      </c>
      <c r="K32" s="17">
        <v>549552.01404024474</v>
      </c>
      <c r="L32" s="17">
        <v>237583.43102563918</v>
      </c>
      <c r="M32" s="17">
        <v>714767.81506386399</v>
      </c>
      <c r="N32" s="17">
        <v>1405229.4433741644</v>
      </c>
      <c r="O32" s="17">
        <v>343803.74051940441</v>
      </c>
      <c r="P32" s="17">
        <f t="shared" si="0"/>
        <v>7938369.0482297633</v>
      </c>
    </row>
    <row r="33" spans="2:16" x14ac:dyDescent="0.2">
      <c r="B33" s="15"/>
      <c r="C33" s="16" t="s">
        <v>33</v>
      </c>
      <c r="D33" s="17">
        <v>430429.30637984863</v>
      </c>
      <c r="E33" s="17">
        <v>218121.08539581299</v>
      </c>
      <c r="F33" s="17">
        <v>69923.543168544769</v>
      </c>
      <c r="G33" s="17">
        <v>304979.36024141312</v>
      </c>
      <c r="H33" s="17">
        <v>15749.733947753906</v>
      </c>
      <c r="I33" s="17">
        <v>13668.436737060547</v>
      </c>
      <c r="J33" s="17">
        <v>5420.5721206665039</v>
      </c>
      <c r="K33" s="17">
        <v>2833.75146484375</v>
      </c>
      <c r="L33" s="17">
        <v>112642.97556193173</v>
      </c>
      <c r="M33" s="17">
        <v>585297.96960258484</v>
      </c>
      <c r="N33" s="17">
        <v>468594.92403594404</v>
      </c>
      <c r="O33" s="17">
        <v>13286.59522819519</v>
      </c>
      <c r="P33" s="17">
        <f t="shared" si="0"/>
        <v>2240948.2538846</v>
      </c>
    </row>
    <row r="34" spans="2:16" x14ac:dyDescent="0.2">
      <c r="B34" s="15"/>
      <c r="C34" s="16" t="s">
        <v>34</v>
      </c>
      <c r="D34" s="17">
        <v>883011.09732039273</v>
      </c>
      <c r="E34" s="17">
        <v>571618.60772639886</v>
      </c>
      <c r="F34" s="17">
        <v>664047.75485140551</v>
      </c>
      <c r="G34" s="17">
        <v>1838145.931476891</v>
      </c>
      <c r="H34" s="17">
        <v>1394107.6229728758</v>
      </c>
      <c r="I34" s="17">
        <v>735880.25091934204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f t="shared" si="0"/>
        <v>6086811.265267306</v>
      </c>
    </row>
    <row r="35" spans="2:16" x14ac:dyDescent="0.2">
      <c r="B35" s="15"/>
      <c r="C35" s="16" t="s">
        <v>35</v>
      </c>
      <c r="D35" s="17">
        <v>1509507.0213028006</v>
      </c>
      <c r="E35" s="17">
        <v>2383664.5101691335</v>
      </c>
      <c r="F35" s="17">
        <v>2626174.6833760897</v>
      </c>
      <c r="G35" s="17">
        <v>1880692.5931109712</v>
      </c>
      <c r="H35" s="17">
        <v>2570426.6693039238</v>
      </c>
      <c r="I35" s="17">
        <v>2164942.9871948659</v>
      </c>
      <c r="J35" s="17">
        <v>1558300.9943766594</v>
      </c>
      <c r="K35" s="17">
        <v>1855269.2406931669</v>
      </c>
      <c r="L35" s="17">
        <v>1971297.4901107177</v>
      </c>
      <c r="M35" s="17">
        <v>2751235.2462556213</v>
      </c>
      <c r="N35" s="17">
        <v>2252935.5785850119</v>
      </c>
      <c r="O35" s="17">
        <v>1518571.2345060706</v>
      </c>
      <c r="P35" s="17">
        <f t="shared" si="0"/>
        <v>25043018.24898503</v>
      </c>
    </row>
    <row r="36" spans="2:16" ht="15" x14ac:dyDescent="0.25">
      <c r="B36" s="12" t="s">
        <v>36</v>
      </c>
      <c r="C36" s="13"/>
      <c r="D36" s="14">
        <v>2904456.7571668625</v>
      </c>
      <c r="E36" s="14">
        <v>4554212.6235942841</v>
      </c>
      <c r="F36" s="14">
        <v>4613799.2090911865</v>
      </c>
      <c r="G36" s="14">
        <v>4788008.6431360245</v>
      </c>
      <c r="H36" s="14">
        <v>2234696.3301844597</v>
      </c>
      <c r="I36" s="14">
        <v>899483.59282159805</v>
      </c>
      <c r="J36" s="14">
        <v>13332441.973481596</v>
      </c>
      <c r="K36" s="14">
        <v>9071224.6157912426</v>
      </c>
      <c r="L36" s="14">
        <v>4098288.7157005072</v>
      </c>
      <c r="M36" s="14">
        <v>4331562.3878280222</v>
      </c>
      <c r="N36" s="14">
        <v>5427010.8787869215</v>
      </c>
      <c r="O36" s="14">
        <v>4158066.9521794319</v>
      </c>
      <c r="P36" s="14">
        <f t="shared" si="0"/>
        <v>60413252.67976214</v>
      </c>
    </row>
    <row r="37" spans="2:16" x14ac:dyDescent="0.2">
      <c r="B37" s="15"/>
      <c r="C37" s="16" t="s">
        <v>37</v>
      </c>
      <c r="D37" s="17">
        <v>2904456.7571668625</v>
      </c>
      <c r="E37" s="17">
        <v>4554212.6235942841</v>
      </c>
      <c r="F37" s="17">
        <v>4613799.2090911865</v>
      </c>
      <c r="G37" s="17">
        <v>4788008.6431360245</v>
      </c>
      <c r="H37" s="17">
        <v>2234696.3301844597</v>
      </c>
      <c r="I37" s="17">
        <v>0</v>
      </c>
      <c r="J37" s="17">
        <v>2369821.7542709699</v>
      </c>
      <c r="K37" s="17">
        <v>468438.41479170322</v>
      </c>
      <c r="L37" s="17">
        <v>0</v>
      </c>
      <c r="M37" s="17">
        <v>31729.008483797312</v>
      </c>
      <c r="N37" s="17">
        <v>0</v>
      </c>
      <c r="O37" s="17">
        <v>0</v>
      </c>
      <c r="P37" s="17">
        <f t="shared" si="0"/>
        <v>21965162.740719289</v>
      </c>
    </row>
    <row r="38" spans="2:16" x14ac:dyDescent="0.2">
      <c r="B38" s="15"/>
      <c r="C38" s="16" t="s">
        <v>38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510272.09511137009</v>
      </c>
      <c r="J38" s="17">
        <v>5259805.7660856247</v>
      </c>
      <c r="K38" s="17">
        <v>4476037.3347911835</v>
      </c>
      <c r="L38" s="17">
        <v>2322273.6741509438</v>
      </c>
      <c r="M38" s="17">
        <v>309581.96335601807</v>
      </c>
      <c r="N38" s="17">
        <v>1854065.9358128309</v>
      </c>
      <c r="O38" s="17">
        <v>2915753.7000389099</v>
      </c>
      <c r="P38" s="17">
        <f t="shared" si="0"/>
        <v>17647790.469346881</v>
      </c>
    </row>
    <row r="39" spans="2:16" x14ac:dyDescent="0.2">
      <c r="B39" s="15"/>
      <c r="C39" s="16" t="s">
        <v>39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389211.49771022797</v>
      </c>
      <c r="J39" s="17">
        <v>5702814.453125</v>
      </c>
      <c r="K39" s="17">
        <v>4126748.8662083559</v>
      </c>
      <c r="L39" s="17">
        <v>1776015.0415495634</v>
      </c>
      <c r="M39" s="17">
        <v>3990251.4159882069</v>
      </c>
      <c r="N39" s="17">
        <v>3572944.9429740906</v>
      </c>
      <c r="O39" s="17">
        <v>1242313.252140522</v>
      </c>
      <c r="P39" s="17">
        <f t="shared" si="0"/>
        <v>20800299.469695967</v>
      </c>
    </row>
    <row r="40" spans="2:16" ht="15" x14ac:dyDescent="0.25">
      <c r="B40" s="12" t="s">
        <v>40</v>
      </c>
      <c r="C40" s="13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317892.33790139854</v>
      </c>
      <c r="L40" s="17">
        <v>2842517.9097715924</v>
      </c>
      <c r="M40" s="17">
        <v>5437921.6840085629</v>
      </c>
      <c r="N40" s="17">
        <v>2834560.544385761</v>
      </c>
      <c r="O40" s="17">
        <v>2365452.9200762212</v>
      </c>
      <c r="P40" s="17">
        <f t="shared" si="0"/>
        <v>13798345.396143537</v>
      </c>
    </row>
    <row r="41" spans="2:16" x14ac:dyDescent="0.2">
      <c r="B41" s="15"/>
      <c r="C41" s="16" t="s">
        <v>41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173382.42424617708</v>
      </c>
      <c r="M41" s="17">
        <v>2028654.8560742985</v>
      </c>
      <c r="N41" s="17">
        <v>608996.63657936454</v>
      </c>
      <c r="O41" s="17">
        <v>791644.87928056717</v>
      </c>
      <c r="P41" s="17">
        <f t="shared" ref="P41:P43" si="1">SUM(D41:O41)</f>
        <v>3602678.7961804075</v>
      </c>
    </row>
    <row r="42" spans="2:16" x14ac:dyDescent="0.2">
      <c r="B42" s="15"/>
      <c r="C42" s="16" t="s">
        <v>42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317892.33790139854</v>
      </c>
      <c r="L42" s="17">
        <v>2669135.4855254153</v>
      </c>
      <c r="M42" s="17">
        <v>3409266.8279342651</v>
      </c>
      <c r="N42" s="17">
        <v>2225563.9078063965</v>
      </c>
      <c r="O42" s="17">
        <v>1573808.0407956541</v>
      </c>
      <c r="P42" s="17">
        <f t="shared" si="1"/>
        <v>10195666.599963129</v>
      </c>
    </row>
    <row r="43" spans="2:16" ht="15" x14ac:dyDescent="0.25">
      <c r="B43" s="19" t="s">
        <v>43</v>
      </c>
      <c r="C43" s="20"/>
      <c r="D43" s="11">
        <v>60106197.23438406</v>
      </c>
      <c r="E43" s="11">
        <v>59986415.699846163</v>
      </c>
      <c r="F43" s="11">
        <v>74700751.532663167</v>
      </c>
      <c r="G43" s="11">
        <v>77260692.333868459</v>
      </c>
      <c r="H43" s="11">
        <v>74595014.624911457</v>
      </c>
      <c r="I43" s="11">
        <v>64727086.033433348</v>
      </c>
      <c r="J43" s="11">
        <v>77610477.796052724</v>
      </c>
      <c r="K43" s="11">
        <v>79369457.863190144</v>
      </c>
      <c r="L43" s="11">
        <v>75435897.485410064</v>
      </c>
      <c r="M43" s="11">
        <v>86523028.018174335</v>
      </c>
      <c r="N43" s="11">
        <v>83040260.523439646</v>
      </c>
      <c r="O43" s="11">
        <v>82408171.858369797</v>
      </c>
      <c r="P43" s="11">
        <f t="shared" si="1"/>
        <v>895763451.00374329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2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44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73761897.981812567</v>
      </c>
      <c r="E7" s="11">
        <v>78806953.334578335</v>
      </c>
      <c r="F7" s="11">
        <v>105937041.13356884</v>
      </c>
      <c r="G7" s="11">
        <v>108095381.96263459</v>
      </c>
      <c r="H7" s="11">
        <v>79883005.697041333</v>
      </c>
      <c r="I7" s="11">
        <v>75031447.343496621</v>
      </c>
      <c r="J7" s="11">
        <v>77718936.790319353</v>
      </c>
      <c r="K7" s="11">
        <v>77874659.82150811</v>
      </c>
      <c r="L7" s="11">
        <v>73669392.892852619</v>
      </c>
      <c r="M7" s="11">
        <v>84589775.356198311</v>
      </c>
      <c r="N7" s="11">
        <v>79613055.720100552</v>
      </c>
      <c r="O7" s="11">
        <v>82951966.497436702</v>
      </c>
      <c r="P7" s="11">
        <f t="shared" ref="P7:P40" si="0">SUM(D7:O7)</f>
        <v>997933514.53154802</v>
      </c>
    </row>
    <row r="8" spans="1:16" ht="15" x14ac:dyDescent="0.25">
      <c r="B8" s="12" t="s">
        <v>19</v>
      </c>
      <c r="C8" s="13"/>
      <c r="D8" s="14">
        <v>1207078.9922816306</v>
      </c>
      <c r="E8" s="14">
        <v>1054894.296883245</v>
      </c>
      <c r="F8" s="14">
        <v>1258056.147772281</v>
      </c>
      <c r="G8" s="14">
        <v>1212443.9470221996</v>
      </c>
      <c r="H8" s="14">
        <v>1268750.8095932007</v>
      </c>
      <c r="I8" s="14">
        <v>1232535.45362854</v>
      </c>
      <c r="J8" s="14">
        <v>1263221.5428733826</v>
      </c>
      <c r="K8" s="14">
        <v>1244593.1648597717</v>
      </c>
      <c r="L8" s="14">
        <v>1180837.2718911171</v>
      </c>
      <c r="M8" s="14">
        <v>1250463.2978239059</v>
      </c>
      <c r="N8" s="14">
        <v>1208466.6249590982</v>
      </c>
      <c r="O8" s="14">
        <v>1233764.6927837734</v>
      </c>
      <c r="P8" s="14">
        <f t="shared" si="0"/>
        <v>14615106.242372146</v>
      </c>
    </row>
    <row r="9" spans="1:16" x14ac:dyDescent="0.2">
      <c r="B9" s="15"/>
      <c r="C9" s="16" t="s">
        <v>20</v>
      </c>
      <c r="D9" s="17">
        <v>599982.59505720437</v>
      </c>
      <c r="E9" s="17">
        <v>524013.18079720903</v>
      </c>
      <c r="F9" s="17">
        <v>627610.05573126522</v>
      </c>
      <c r="G9" s="17">
        <v>602891.12435793877</v>
      </c>
      <c r="H9" s="17">
        <v>631862.05175018311</v>
      </c>
      <c r="I9" s="17">
        <v>613455.37915039063</v>
      </c>
      <c r="J9" s="17">
        <v>628429.00078201294</v>
      </c>
      <c r="K9" s="17">
        <v>625087.97065353394</v>
      </c>
      <c r="L9" s="17">
        <v>587273.67985391617</v>
      </c>
      <c r="M9" s="17">
        <v>620542.08418941498</v>
      </c>
      <c r="N9" s="17">
        <v>602399.63172637112</v>
      </c>
      <c r="O9" s="17">
        <v>613142.67852062033</v>
      </c>
      <c r="P9" s="17">
        <f t="shared" si="0"/>
        <v>7276689.4325700607</v>
      </c>
    </row>
    <row r="10" spans="1:16" x14ac:dyDescent="0.2">
      <c r="B10" s="15"/>
      <c r="C10" s="16" t="s">
        <v>21</v>
      </c>
      <c r="D10" s="17">
        <v>607096.39722442627</v>
      </c>
      <c r="E10" s="17">
        <v>530881.11608603597</v>
      </c>
      <c r="F10" s="17">
        <v>630446.09204101563</v>
      </c>
      <c r="G10" s="17">
        <v>609552.82266426086</v>
      </c>
      <c r="H10" s="17">
        <v>636888.75784301758</v>
      </c>
      <c r="I10" s="17">
        <v>619080.07447814941</v>
      </c>
      <c r="J10" s="17">
        <v>634792.54209136963</v>
      </c>
      <c r="K10" s="17">
        <v>619505.19420623779</v>
      </c>
      <c r="L10" s="17">
        <v>593563.59203720093</v>
      </c>
      <c r="M10" s="17">
        <v>629921.21363449097</v>
      </c>
      <c r="N10" s="17">
        <v>606066.99323272705</v>
      </c>
      <c r="O10" s="17">
        <v>620622.01426315308</v>
      </c>
      <c r="P10" s="17">
        <f t="shared" si="0"/>
        <v>7338416.8098020852</v>
      </c>
    </row>
    <row r="11" spans="1:16" ht="15" x14ac:dyDescent="0.25">
      <c r="B11" s="12" t="s">
        <v>22</v>
      </c>
      <c r="C11" s="13"/>
      <c r="D11" s="14">
        <v>408286.94144999981</v>
      </c>
      <c r="E11" s="14">
        <v>333442.02240439662</v>
      </c>
      <c r="F11" s="14">
        <v>388378.55231356621</v>
      </c>
      <c r="G11" s="14">
        <v>372088.40973756241</v>
      </c>
      <c r="H11" s="14">
        <v>386267.98609855771</v>
      </c>
      <c r="I11" s="14">
        <v>378733.26357316971</v>
      </c>
      <c r="J11" s="14">
        <v>410095.57734870899</v>
      </c>
      <c r="K11" s="14">
        <v>404644.06528902054</v>
      </c>
      <c r="L11" s="14">
        <v>388149.52119779587</v>
      </c>
      <c r="M11" s="14">
        <v>381628.2287471313</v>
      </c>
      <c r="N11" s="14">
        <v>363570.94324366376</v>
      </c>
      <c r="O11" s="14">
        <v>415417.05206431448</v>
      </c>
      <c r="P11" s="14">
        <f t="shared" si="0"/>
        <v>4630702.5634678882</v>
      </c>
    </row>
    <row r="12" spans="1:16" x14ac:dyDescent="0.2">
      <c r="B12" s="15"/>
      <c r="C12" s="16" t="s">
        <v>20</v>
      </c>
      <c r="D12" s="17">
        <v>139592.74963760376</v>
      </c>
      <c r="E12" s="17">
        <v>116394.19849616075</v>
      </c>
      <c r="F12" s="17">
        <v>148823.39509677887</v>
      </c>
      <c r="G12" s="17">
        <v>143823.29803735763</v>
      </c>
      <c r="H12" s="17">
        <v>144678.40904623273</v>
      </c>
      <c r="I12" s="17">
        <v>141520.24799489975</v>
      </c>
      <c r="J12" s="17">
        <v>143366.52525615686</v>
      </c>
      <c r="K12" s="17">
        <v>140374.3507232666</v>
      </c>
      <c r="L12" s="17">
        <v>132779.93021965027</v>
      </c>
      <c r="M12" s="17">
        <v>143083.50040912628</v>
      </c>
      <c r="N12" s="17">
        <v>97199.375271003693</v>
      </c>
      <c r="O12" s="17">
        <v>141440.55675794184</v>
      </c>
      <c r="P12" s="17">
        <f t="shared" si="0"/>
        <v>1633076.5369461791</v>
      </c>
    </row>
    <row r="13" spans="1:16" x14ac:dyDescent="0.2">
      <c r="B13" s="15"/>
      <c r="C13" s="16" t="s">
        <v>21</v>
      </c>
      <c r="D13" s="17">
        <v>140733.01781451702</v>
      </c>
      <c r="E13" s="17">
        <v>111437.4090875648</v>
      </c>
      <c r="F13" s="17">
        <v>107712.059071064</v>
      </c>
      <c r="G13" s="17">
        <v>105672.4150210619</v>
      </c>
      <c r="H13" s="17">
        <v>112748.1371601522</v>
      </c>
      <c r="I13" s="17">
        <v>113605.00712656975</v>
      </c>
      <c r="J13" s="17">
        <v>140322.43030834198</v>
      </c>
      <c r="K13" s="17">
        <v>140388.02728462219</v>
      </c>
      <c r="L13" s="17">
        <v>136674.28418302536</v>
      </c>
      <c r="M13" s="17">
        <v>143309.11280512996</v>
      </c>
      <c r="N13" s="17">
        <v>139114.82436323166</v>
      </c>
      <c r="O13" s="17">
        <v>143687.21146282554</v>
      </c>
      <c r="P13" s="17">
        <f t="shared" si="0"/>
        <v>1535403.9356881063</v>
      </c>
    </row>
    <row r="14" spans="1:16" x14ac:dyDescent="0.2">
      <c r="B14" s="15"/>
      <c r="C14" s="16" t="s">
        <v>23</v>
      </c>
      <c r="D14" s="17">
        <v>127961.17399787903</v>
      </c>
      <c r="E14" s="17">
        <v>105610.41482067108</v>
      </c>
      <c r="F14" s="17">
        <v>131843.09814572334</v>
      </c>
      <c r="G14" s="17">
        <v>122592.69667914289</v>
      </c>
      <c r="H14" s="17">
        <v>128841.43989217281</v>
      </c>
      <c r="I14" s="17">
        <v>123608.00845170021</v>
      </c>
      <c r="J14" s="17">
        <v>126406.62178421021</v>
      </c>
      <c r="K14" s="17">
        <v>123881.68728113174</v>
      </c>
      <c r="L14" s="17">
        <v>118695.30679512024</v>
      </c>
      <c r="M14" s="17">
        <v>95235.615532875061</v>
      </c>
      <c r="N14" s="17">
        <v>127256.74360942841</v>
      </c>
      <c r="O14" s="17">
        <v>130289.28384354711</v>
      </c>
      <c r="P14" s="17">
        <f t="shared" si="0"/>
        <v>1462222.090833602</v>
      </c>
    </row>
    <row r="15" spans="1:16" ht="15" x14ac:dyDescent="0.25">
      <c r="B15" s="12" t="s">
        <v>24</v>
      </c>
      <c r="C15" s="13"/>
      <c r="D15" s="14">
        <v>3419404.2980499268</v>
      </c>
      <c r="E15" s="14">
        <v>2805489.281229496</v>
      </c>
      <c r="F15" s="14">
        <v>3387249.3742675781</v>
      </c>
      <c r="G15" s="14">
        <v>3279213.4904022217</v>
      </c>
      <c r="H15" s="14">
        <v>2590970.8085365295</v>
      </c>
      <c r="I15" s="14">
        <v>1647365.8139953613</v>
      </c>
      <c r="J15" s="14">
        <v>1704883.1944839265</v>
      </c>
      <c r="K15" s="14">
        <v>1704322.6128540039</v>
      </c>
      <c r="L15" s="14">
        <v>1780533.8565292358</v>
      </c>
      <c r="M15" s="14">
        <v>3348311.1515045166</v>
      </c>
      <c r="N15" s="14">
        <v>3149449.3628964871</v>
      </c>
      <c r="O15" s="14">
        <v>1815900.1118016273</v>
      </c>
      <c r="P15" s="14">
        <f t="shared" si="0"/>
        <v>30633093.356550913</v>
      </c>
    </row>
    <row r="16" spans="1:16" x14ac:dyDescent="0.2">
      <c r="B16" s="15"/>
      <c r="C16" s="16" t="s">
        <v>20</v>
      </c>
      <c r="D16" s="17">
        <v>1708257.6974945068</v>
      </c>
      <c r="E16" s="17">
        <v>1400028.9283132553</v>
      </c>
      <c r="F16" s="17">
        <v>1691055.6933441162</v>
      </c>
      <c r="G16" s="17">
        <v>1638096.0670280457</v>
      </c>
      <c r="H16" s="17">
        <v>896422.56321334839</v>
      </c>
      <c r="I16" s="17">
        <v>0</v>
      </c>
      <c r="J16" s="17">
        <v>0</v>
      </c>
      <c r="K16" s="17">
        <v>0</v>
      </c>
      <c r="L16" s="17">
        <v>120292.80306243896</v>
      </c>
      <c r="M16" s="17">
        <v>1653643.3118286133</v>
      </c>
      <c r="N16" s="17">
        <v>1497017.2211423367</v>
      </c>
      <c r="O16" s="17">
        <v>133420.73719406128</v>
      </c>
      <c r="P16" s="17">
        <f t="shared" si="0"/>
        <v>10738235.022620723</v>
      </c>
    </row>
    <row r="17" spans="2:18" x14ac:dyDescent="0.2">
      <c r="B17" s="15"/>
      <c r="C17" s="16" t="s">
        <v>21</v>
      </c>
      <c r="D17" s="17">
        <v>1711146.6005554199</v>
      </c>
      <c r="E17" s="17">
        <v>1405460.3529162407</v>
      </c>
      <c r="F17" s="17">
        <v>1696193.6809234619</v>
      </c>
      <c r="G17" s="17">
        <v>1641117.423374176</v>
      </c>
      <c r="H17" s="17">
        <v>1694548.2453231812</v>
      </c>
      <c r="I17" s="17">
        <v>1647365.8139953613</v>
      </c>
      <c r="J17" s="17">
        <v>1704883.1944839265</v>
      </c>
      <c r="K17" s="17">
        <v>1704322.6128540039</v>
      </c>
      <c r="L17" s="17">
        <v>1660241.0534667969</v>
      </c>
      <c r="M17" s="17">
        <v>1694667.8396759033</v>
      </c>
      <c r="N17" s="17">
        <v>1652432.1417541504</v>
      </c>
      <c r="O17" s="17">
        <v>1682479.374607566</v>
      </c>
      <c r="P17" s="17">
        <f t="shared" si="0"/>
        <v>19894858.333930191</v>
      </c>
    </row>
    <row r="18" spans="2:18" ht="15" x14ac:dyDescent="0.25">
      <c r="B18" s="12" t="s">
        <v>25</v>
      </c>
      <c r="C18" s="13"/>
      <c r="D18" s="14">
        <v>9714034.6910184175</v>
      </c>
      <c r="E18" s="14">
        <v>9284774.1564958766</v>
      </c>
      <c r="F18" s="14">
        <v>11189215.335845947</v>
      </c>
      <c r="G18" s="14">
        <v>10582717.214276025</v>
      </c>
      <c r="H18" s="14">
        <v>10256305.565242354</v>
      </c>
      <c r="I18" s="14">
        <v>10068501.464260446</v>
      </c>
      <c r="J18" s="14">
        <v>10302198.939664215</v>
      </c>
      <c r="K18" s="14">
        <v>10463790.614013672</v>
      </c>
      <c r="L18" s="14">
        <v>9736670.2471586037</v>
      </c>
      <c r="M18" s="14">
        <v>10983691.762916088</v>
      </c>
      <c r="N18" s="14">
        <v>9833591.3366626166</v>
      </c>
      <c r="O18" s="14">
        <v>10870902.487426832</v>
      </c>
      <c r="P18" s="14">
        <f t="shared" si="0"/>
        <v>123286393.81498109</v>
      </c>
    </row>
    <row r="19" spans="2:18" x14ac:dyDescent="0.2">
      <c r="B19" s="15"/>
      <c r="C19" s="16" t="s">
        <v>20</v>
      </c>
      <c r="D19" s="17">
        <v>3267245.5847320557</v>
      </c>
      <c r="E19" s="17">
        <v>3026004.897424221</v>
      </c>
      <c r="F19" s="17">
        <v>3750386.3997192383</v>
      </c>
      <c r="G19" s="17">
        <v>3638812.8259244151</v>
      </c>
      <c r="H19" s="17">
        <v>3364423.1486884989</v>
      </c>
      <c r="I19" s="17">
        <v>3324896.253914237</v>
      </c>
      <c r="J19" s="17">
        <v>3449113.0906746089</v>
      </c>
      <c r="K19" s="17">
        <v>3459123.7031860352</v>
      </c>
      <c r="L19" s="17">
        <v>3115874.9202396274</v>
      </c>
      <c r="M19" s="17">
        <v>3619804.6925392151</v>
      </c>
      <c r="N19" s="17">
        <v>3497684.0473022461</v>
      </c>
      <c r="O19" s="17">
        <v>3610738.5975285918</v>
      </c>
      <c r="P19" s="17">
        <f t="shared" si="0"/>
        <v>41124108.16187299</v>
      </c>
    </row>
    <row r="20" spans="2:18" x14ac:dyDescent="0.2">
      <c r="B20" s="15"/>
      <c r="C20" s="16" t="s">
        <v>21</v>
      </c>
      <c r="D20" s="17">
        <v>3385943.6018516421</v>
      </c>
      <c r="E20" s="17">
        <v>3118830.0686076358</v>
      </c>
      <c r="F20" s="17">
        <v>3715835.5741577148</v>
      </c>
      <c r="G20" s="17">
        <v>3313120.2756496072</v>
      </c>
      <c r="H20" s="17">
        <v>3553290.8861165047</v>
      </c>
      <c r="I20" s="17">
        <v>3374891.7951966673</v>
      </c>
      <c r="J20" s="17">
        <v>3409078.1780892611</v>
      </c>
      <c r="K20" s="17">
        <v>3503401.7905883789</v>
      </c>
      <c r="L20" s="17">
        <v>3306253.5039336383</v>
      </c>
      <c r="M20" s="17">
        <v>3705823.9659152031</v>
      </c>
      <c r="N20" s="17">
        <v>3558273.4818269536</v>
      </c>
      <c r="O20" s="17">
        <v>3606050.6416234374</v>
      </c>
      <c r="P20" s="17">
        <f t="shared" si="0"/>
        <v>41550793.763556644</v>
      </c>
    </row>
    <row r="21" spans="2:18" x14ac:dyDescent="0.2">
      <c r="B21" s="15"/>
      <c r="C21" s="16" t="s">
        <v>23</v>
      </c>
      <c r="D21" s="17">
        <v>3060845.5044347197</v>
      </c>
      <c r="E21" s="17">
        <v>3139939.1904640198</v>
      </c>
      <c r="F21" s="17">
        <v>3722993.3619689941</v>
      </c>
      <c r="G21" s="17">
        <v>3630784.1127020027</v>
      </c>
      <c r="H21" s="17">
        <v>3338591.5304373503</v>
      </c>
      <c r="I21" s="17">
        <v>3368713.4151495411</v>
      </c>
      <c r="J21" s="17">
        <v>3444007.6709003448</v>
      </c>
      <c r="K21" s="17">
        <v>3501265.1202392578</v>
      </c>
      <c r="L21" s="17">
        <v>3314541.822985338</v>
      </c>
      <c r="M21" s="17">
        <v>3658063.1044616699</v>
      </c>
      <c r="N21" s="17">
        <v>2777633.8075334164</v>
      </c>
      <c r="O21" s="17">
        <v>3654113.2482748032</v>
      </c>
      <c r="P21" s="17">
        <f t="shared" si="0"/>
        <v>40611491.889551453</v>
      </c>
    </row>
    <row r="22" spans="2:18" ht="15" x14ac:dyDescent="0.25">
      <c r="B22" s="12" t="s">
        <v>26</v>
      </c>
      <c r="C22" s="13"/>
      <c r="D22" s="14">
        <v>53273103.55971241</v>
      </c>
      <c r="E22" s="14">
        <v>60093469.791499138</v>
      </c>
      <c r="F22" s="14">
        <v>83538204.588265657</v>
      </c>
      <c r="G22" s="14">
        <v>86712176.933475971</v>
      </c>
      <c r="H22" s="14">
        <v>59285081.876543134</v>
      </c>
      <c r="I22" s="14">
        <v>55853031.151307546</v>
      </c>
      <c r="J22" s="14">
        <v>57883330.557591796</v>
      </c>
      <c r="K22" s="14">
        <v>57877872.728627384</v>
      </c>
      <c r="L22" s="14">
        <v>54819739.561263084</v>
      </c>
      <c r="M22" s="14">
        <v>62135819.898147337</v>
      </c>
      <c r="N22" s="14">
        <v>58992668.90459013</v>
      </c>
      <c r="O22" s="14">
        <v>62293194.38658905</v>
      </c>
      <c r="P22" s="14">
        <f t="shared" si="0"/>
        <v>752757693.93761265</v>
      </c>
    </row>
    <row r="23" spans="2:18" x14ac:dyDescent="0.2">
      <c r="B23" s="15"/>
      <c r="C23" s="16" t="s">
        <v>20</v>
      </c>
      <c r="D23" s="17">
        <v>26702639.879717827</v>
      </c>
      <c r="E23" s="17">
        <v>28547467.206420898</v>
      </c>
      <c r="F23" s="17">
        <v>32760481.668264858</v>
      </c>
      <c r="G23" s="17">
        <v>25673482.113100529</v>
      </c>
      <c r="H23" s="17">
        <v>13594425.349186033</v>
      </c>
      <c r="I23" s="17">
        <v>20971589.38786076</v>
      </c>
      <c r="J23" s="17">
        <v>20436057.912727356</v>
      </c>
      <c r="K23" s="17">
        <v>17195616.761757374</v>
      </c>
      <c r="L23" s="17">
        <v>0</v>
      </c>
      <c r="M23" s="17">
        <v>0</v>
      </c>
      <c r="N23" s="17">
        <v>0</v>
      </c>
      <c r="O23" s="17">
        <v>0</v>
      </c>
      <c r="P23" s="17">
        <f t="shared" si="0"/>
        <v>185881760.27903563</v>
      </c>
    </row>
    <row r="24" spans="2:18" x14ac:dyDescent="0.2">
      <c r="B24" s="15"/>
      <c r="C24" s="16" t="s">
        <v>21</v>
      </c>
      <c r="D24" s="17">
        <v>0</v>
      </c>
      <c r="E24" s="17">
        <v>3038534.7965650558</v>
      </c>
      <c r="F24" s="17">
        <v>17410176.662432432</v>
      </c>
      <c r="G24" s="17">
        <v>29574764.987389565</v>
      </c>
      <c r="H24" s="17">
        <v>28777275.843885422</v>
      </c>
      <c r="I24" s="17">
        <v>18203621.77081728</v>
      </c>
      <c r="J24" s="17">
        <v>17275268.370862961</v>
      </c>
      <c r="K24" s="17">
        <v>19287603.817323446</v>
      </c>
      <c r="L24" s="17">
        <v>27452391.507568359</v>
      </c>
      <c r="M24" s="17">
        <v>31099374.347686768</v>
      </c>
      <c r="N24" s="17">
        <v>29368470.348071575</v>
      </c>
      <c r="O24" s="17">
        <v>30996239.237548828</v>
      </c>
      <c r="P24" s="17">
        <f t="shared" si="0"/>
        <v>252483721.69015169</v>
      </c>
    </row>
    <row r="25" spans="2:18" x14ac:dyDescent="0.2">
      <c r="B25" s="15"/>
      <c r="C25" s="16" t="s">
        <v>23</v>
      </c>
      <c r="D25" s="17">
        <v>26570463.679994583</v>
      </c>
      <c r="E25" s="17">
        <v>28507467.788513184</v>
      </c>
      <c r="F25" s="17">
        <v>33367546.257568359</v>
      </c>
      <c r="G25" s="17">
        <v>31463929.832985878</v>
      </c>
      <c r="H25" s="17">
        <v>16913380.68347168</v>
      </c>
      <c r="I25" s="17">
        <v>16677819.992629506</v>
      </c>
      <c r="J25" s="17">
        <v>20172004.274001479</v>
      </c>
      <c r="K25" s="17">
        <v>21394652.149546564</v>
      </c>
      <c r="L25" s="17">
        <v>27367348.053694725</v>
      </c>
      <c r="M25" s="17">
        <v>31036445.55046057</v>
      </c>
      <c r="N25" s="17">
        <v>29624198.556518555</v>
      </c>
      <c r="O25" s="17">
        <v>31296955.149040222</v>
      </c>
      <c r="P25" s="17">
        <f t="shared" si="0"/>
        <v>314392211.96842527</v>
      </c>
    </row>
    <row r="26" spans="2:18" ht="15" x14ac:dyDescent="0.25">
      <c r="B26" s="12" t="s">
        <v>27</v>
      </c>
      <c r="C26" s="13"/>
      <c r="D26" s="14">
        <v>5739989.4993001819</v>
      </c>
      <c r="E26" s="14">
        <v>5234883.7860661782</v>
      </c>
      <c r="F26" s="14">
        <v>6175937.1351038218</v>
      </c>
      <c r="G26" s="14">
        <v>5936741.9677206036</v>
      </c>
      <c r="H26" s="14">
        <v>6095628.6510275602</v>
      </c>
      <c r="I26" s="14">
        <v>5851280.1967315674</v>
      </c>
      <c r="J26" s="14">
        <v>6155206.9783573151</v>
      </c>
      <c r="K26" s="14">
        <v>6179436.6358642578</v>
      </c>
      <c r="L26" s="14">
        <v>5763462.4348127842</v>
      </c>
      <c r="M26" s="14">
        <v>6489861.0170593262</v>
      </c>
      <c r="N26" s="14">
        <v>6065308.5477485657</v>
      </c>
      <c r="O26" s="14">
        <v>6322787.7667711079</v>
      </c>
      <c r="P26" s="14">
        <f t="shared" si="0"/>
        <v>72010524.616563261</v>
      </c>
    </row>
    <row r="27" spans="2:18" x14ac:dyDescent="0.2">
      <c r="B27" s="15"/>
      <c r="C27" s="16" t="s">
        <v>20</v>
      </c>
      <c r="D27" s="17">
        <v>5739989.4993001819</v>
      </c>
      <c r="E27" s="17">
        <v>5234883.7860661782</v>
      </c>
      <c r="F27" s="17">
        <v>6175937.1351038218</v>
      </c>
      <c r="G27" s="17">
        <v>5936741.9677206036</v>
      </c>
      <c r="H27" s="17">
        <v>6095628.6510275602</v>
      </c>
      <c r="I27" s="17">
        <v>5851280.1967315674</v>
      </c>
      <c r="J27" s="17">
        <v>6155206.9783573151</v>
      </c>
      <c r="K27" s="17">
        <v>6179436.6358642578</v>
      </c>
      <c r="L27" s="17">
        <v>5763462.4348127842</v>
      </c>
      <c r="M27" s="17">
        <v>6489861.0170593262</v>
      </c>
      <c r="N27" s="17">
        <v>6065308.5477485657</v>
      </c>
      <c r="O27" s="17">
        <v>6322787.7667711079</v>
      </c>
      <c r="P27" s="17">
        <f t="shared" si="0"/>
        <v>72010524.616563261</v>
      </c>
      <c r="R27" s="18"/>
    </row>
    <row r="28" spans="2:18" ht="15" x14ac:dyDescent="0.25">
      <c r="B28" s="19" t="s">
        <v>28</v>
      </c>
      <c r="C28" s="20"/>
      <c r="D28" s="11">
        <v>10449177.704227693</v>
      </c>
      <c r="E28" s="11">
        <v>10744063.199899353</v>
      </c>
      <c r="F28" s="11">
        <v>11047865.950509565</v>
      </c>
      <c r="G28" s="11">
        <v>15590620.949558953</v>
      </c>
      <c r="H28" s="11">
        <v>9333146.3283956423</v>
      </c>
      <c r="I28" s="11">
        <v>28824527.08323456</v>
      </c>
      <c r="J28" s="11">
        <v>41146991.032898307</v>
      </c>
      <c r="K28" s="11">
        <v>44162010.475749664</v>
      </c>
      <c r="L28" s="11">
        <v>46160114.431942478</v>
      </c>
      <c r="M28" s="11">
        <v>40211909.382486403</v>
      </c>
      <c r="N28" s="11">
        <v>37686839.814228684</v>
      </c>
      <c r="O28" s="11">
        <v>35290454.162168637</v>
      </c>
      <c r="P28" s="11">
        <f t="shared" si="0"/>
        <v>330647720.51529992</v>
      </c>
    </row>
    <row r="29" spans="2:18" ht="15" x14ac:dyDescent="0.25">
      <c r="B29" s="12" t="s">
        <v>29</v>
      </c>
      <c r="C29" s="13"/>
      <c r="D29" s="14">
        <v>227788.74699795246</v>
      </c>
      <c r="E29" s="14">
        <v>397691.22675808519</v>
      </c>
      <c r="F29" s="14">
        <v>907819.75661869952</v>
      </c>
      <c r="G29" s="14">
        <v>3092831.3399028447</v>
      </c>
      <c r="H29" s="14">
        <v>2085711.052262228</v>
      </c>
      <c r="I29" s="14">
        <v>4014467.6780553162</v>
      </c>
      <c r="J29" s="14">
        <v>3198151.4387398981</v>
      </c>
      <c r="K29" s="14">
        <v>1692649.7240151064</v>
      </c>
      <c r="L29" s="14">
        <v>1254856.2836316209</v>
      </c>
      <c r="M29" s="14">
        <v>567982.15428984165</v>
      </c>
      <c r="N29" s="14">
        <v>186150.0168595314</v>
      </c>
      <c r="O29" s="14">
        <v>1632423.1076150099</v>
      </c>
      <c r="P29" s="14">
        <f t="shared" si="0"/>
        <v>19258522.525746137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1669.0086059570313</v>
      </c>
      <c r="E31" s="17">
        <v>0</v>
      </c>
      <c r="F31" s="17">
        <v>2687.52099609375</v>
      </c>
      <c r="G31" s="17">
        <v>3447.341552734375</v>
      </c>
      <c r="H31" s="17">
        <v>3807.5689849853516</v>
      </c>
      <c r="I31" s="17">
        <v>0</v>
      </c>
      <c r="J31" s="17">
        <v>2971.3948345184326</v>
      </c>
      <c r="K31" s="17">
        <v>27.050879001617432</v>
      </c>
      <c r="L31" s="17">
        <v>0</v>
      </c>
      <c r="M31" s="17">
        <v>2548.9691925048828</v>
      </c>
      <c r="N31" s="17">
        <v>1614.8204174041748</v>
      </c>
      <c r="O31" s="17">
        <v>1527.0798187255859</v>
      </c>
      <c r="P31" s="17">
        <f t="shared" si="0"/>
        <v>20300.755281925201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197637.86300332169</v>
      </c>
      <c r="H32" s="17">
        <v>267523.24207792431</v>
      </c>
      <c r="I32" s="17">
        <v>0</v>
      </c>
      <c r="J32" s="17">
        <v>3667.583770096302</v>
      </c>
      <c r="K32" s="17">
        <v>17251.877124786377</v>
      </c>
      <c r="L32" s="17">
        <v>8685.8042255789042</v>
      </c>
      <c r="M32" s="17">
        <v>1697.5163040161133</v>
      </c>
      <c r="N32" s="17">
        <v>4789.700309753418</v>
      </c>
      <c r="O32" s="17">
        <v>8175.6009829640388</v>
      </c>
      <c r="P32" s="17">
        <f t="shared" si="0"/>
        <v>509429.18779844115</v>
      </c>
    </row>
    <row r="33" spans="2:16" x14ac:dyDescent="0.2">
      <c r="B33" s="15"/>
      <c r="C33" s="16" t="s">
        <v>33</v>
      </c>
      <c r="D33" s="17">
        <v>27429.465393066406</v>
      </c>
      <c r="E33" s="17">
        <v>31889.248624324799</v>
      </c>
      <c r="F33" s="17">
        <v>202155.00913754106</v>
      </c>
      <c r="G33" s="17">
        <v>292880.71412015148</v>
      </c>
      <c r="H33" s="17">
        <v>318059.09473705292</v>
      </c>
      <c r="I33" s="17">
        <v>22948.110967218876</v>
      </c>
      <c r="J33" s="17">
        <v>40826.733709995839</v>
      </c>
      <c r="K33" s="17">
        <v>61453.67724609375</v>
      </c>
      <c r="L33" s="17">
        <v>4399.4351196289063</v>
      </c>
      <c r="M33" s="17">
        <v>933.62402343750011</v>
      </c>
      <c r="N33" s="17">
        <v>2661.908447265625</v>
      </c>
      <c r="O33" s="17">
        <v>34045.040435791016</v>
      </c>
      <c r="P33" s="17">
        <f t="shared" si="0"/>
        <v>1039682.0619615682</v>
      </c>
    </row>
    <row r="34" spans="2:16" x14ac:dyDescent="0.2">
      <c r="B34" s="15"/>
      <c r="C34" s="16" t="s">
        <v>34</v>
      </c>
      <c r="D34" s="17">
        <v>0</v>
      </c>
      <c r="E34" s="17">
        <v>0</v>
      </c>
      <c r="F34" s="17">
        <v>182193.97086811066</v>
      </c>
      <c r="G34" s="17">
        <v>1374039.3276378659</v>
      </c>
      <c r="H34" s="17">
        <v>723682.61056389101</v>
      </c>
      <c r="I34" s="17">
        <v>1901899.5928960368</v>
      </c>
      <c r="J34" s="17">
        <v>1664796.6484565451</v>
      </c>
      <c r="K34" s="17">
        <v>804392.87457501364</v>
      </c>
      <c r="L34" s="17">
        <v>642903.20612639189</v>
      </c>
      <c r="M34" s="17">
        <v>283326.18588590622</v>
      </c>
      <c r="N34" s="17">
        <v>90183.223550736904</v>
      </c>
      <c r="O34" s="17">
        <v>794874.70096113137</v>
      </c>
      <c r="P34" s="17">
        <f t="shared" si="0"/>
        <v>8462292.3415216301</v>
      </c>
    </row>
    <row r="35" spans="2:16" x14ac:dyDescent="0.2">
      <c r="B35" s="15"/>
      <c r="C35" s="16" t="s">
        <v>35</v>
      </c>
      <c r="D35" s="17">
        <v>198690.27299892902</v>
      </c>
      <c r="E35" s="17">
        <v>365801.97813376039</v>
      </c>
      <c r="F35" s="17">
        <v>520783.25561695406</v>
      </c>
      <c r="G35" s="17">
        <v>1224826.0935887713</v>
      </c>
      <c r="H35" s="17">
        <v>772638.53589837439</v>
      </c>
      <c r="I35" s="17">
        <v>2089619.9741920605</v>
      </c>
      <c r="J35" s="17">
        <v>1485889.0779687427</v>
      </c>
      <c r="K35" s="17">
        <v>809524.24419021118</v>
      </c>
      <c r="L35" s="17">
        <v>598867.83816002123</v>
      </c>
      <c r="M35" s="17">
        <v>279475.85888397694</v>
      </c>
      <c r="N35" s="17">
        <v>86900.364134371281</v>
      </c>
      <c r="O35" s="17">
        <v>793800.68541639787</v>
      </c>
      <c r="P35" s="17">
        <f t="shared" si="0"/>
        <v>9226818.1791825723</v>
      </c>
    </row>
    <row r="36" spans="2:16" ht="15" x14ac:dyDescent="0.25">
      <c r="B36" s="12" t="s">
        <v>36</v>
      </c>
      <c r="C36" s="13"/>
      <c r="D36" s="14">
        <v>1535990.5240715742</v>
      </c>
      <c r="E36" s="14">
        <v>1222014.5874077082</v>
      </c>
      <c r="F36" s="14">
        <v>1703032.8502503633</v>
      </c>
      <c r="G36" s="14">
        <v>4699410.6491988897</v>
      </c>
      <c r="H36" s="14">
        <v>1165058.1132555008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f t="shared" si="0"/>
        <v>10325506.724184036</v>
      </c>
    </row>
    <row r="37" spans="2:16" x14ac:dyDescent="0.2">
      <c r="B37" s="15"/>
      <c r="C37" s="16" t="s">
        <v>37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f t="shared" si="0"/>
        <v>0</v>
      </c>
    </row>
    <row r="38" spans="2:16" x14ac:dyDescent="0.2">
      <c r="B38" s="15"/>
      <c r="C38" s="16" t="s">
        <v>38</v>
      </c>
      <c r="D38" s="17">
        <v>720246.34904563427</v>
      </c>
      <c r="E38" s="17">
        <v>635156.03361797333</v>
      </c>
      <c r="F38" s="17">
        <v>989600.93223583698</v>
      </c>
      <c r="G38" s="17">
        <v>2202144.4489550591</v>
      </c>
      <c r="H38" s="17">
        <v>576190.36110937595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f t="shared" si="0"/>
        <v>5123338.1249638796</v>
      </c>
    </row>
    <row r="39" spans="2:16" x14ac:dyDescent="0.2">
      <c r="B39" s="15"/>
      <c r="C39" s="16" t="s">
        <v>39</v>
      </c>
      <c r="D39" s="17">
        <v>815744.17502593994</v>
      </c>
      <c r="E39" s="17">
        <v>586858.55378973484</v>
      </c>
      <c r="F39" s="17">
        <v>713431.91801452637</v>
      </c>
      <c r="G39" s="17">
        <v>2497266.2002438307</v>
      </c>
      <c r="H39" s="17">
        <v>588867.75214612484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f t="shared" si="0"/>
        <v>5202168.5992201567</v>
      </c>
    </row>
    <row r="40" spans="2:16" ht="15" x14ac:dyDescent="0.25">
      <c r="B40" s="12" t="s">
        <v>40</v>
      </c>
      <c r="C40" s="13"/>
      <c r="D40" s="17">
        <v>8685398.4331581667</v>
      </c>
      <c r="E40" s="17">
        <v>9124357.3857335597</v>
      </c>
      <c r="F40" s="17">
        <v>8437013.3436405025</v>
      </c>
      <c r="G40" s="17">
        <v>7798378.9604572188</v>
      </c>
      <c r="H40" s="17">
        <v>6082377.1628779136</v>
      </c>
      <c r="I40" s="17">
        <v>24810059.405179244</v>
      </c>
      <c r="J40" s="17">
        <v>37948839.594158404</v>
      </c>
      <c r="K40" s="17">
        <v>42469360.751734555</v>
      </c>
      <c r="L40" s="17">
        <v>44905258.148310855</v>
      </c>
      <c r="M40" s="17">
        <v>39643927.228196561</v>
      </c>
      <c r="N40" s="17">
        <v>37500689.797369152</v>
      </c>
      <c r="O40" s="17">
        <v>33658031.054553628</v>
      </c>
      <c r="P40" s="17">
        <f t="shared" si="0"/>
        <v>301063691.26536977</v>
      </c>
    </row>
    <row r="41" spans="2:16" x14ac:dyDescent="0.2">
      <c r="B41" s="15"/>
      <c r="C41" s="16" t="s">
        <v>41</v>
      </c>
      <c r="D41" s="17">
        <v>3375912.9641387532</v>
      </c>
      <c r="E41" s="17">
        <v>3240391.3661803752</v>
      </c>
      <c r="F41" s="17">
        <v>2972422.71021883</v>
      </c>
      <c r="G41" s="17">
        <v>2678479.0795269012</v>
      </c>
      <c r="H41" s="17">
        <v>1841776.133392334</v>
      </c>
      <c r="I41" s="17">
        <v>11559647.356542882</v>
      </c>
      <c r="J41" s="17">
        <v>17978437.382980704</v>
      </c>
      <c r="K41" s="17">
        <v>20908460.980879113</v>
      </c>
      <c r="L41" s="17">
        <v>22461401.743881591</v>
      </c>
      <c r="M41" s="17">
        <v>18516696.94426566</v>
      </c>
      <c r="N41" s="17">
        <v>16748902.523996219</v>
      </c>
      <c r="O41" s="17">
        <v>17021248.808879614</v>
      </c>
      <c r="P41" s="17">
        <f t="shared" ref="P41:P43" si="1">SUM(D41:O41)</f>
        <v>139303777.994883</v>
      </c>
    </row>
    <row r="42" spans="2:16" x14ac:dyDescent="0.2">
      <c r="B42" s="15"/>
      <c r="C42" s="16" t="s">
        <v>42</v>
      </c>
      <c r="D42" s="17">
        <v>5309485.469019413</v>
      </c>
      <c r="E42" s="17">
        <v>5883966.0195531845</v>
      </c>
      <c r="F42" s="17">
        <v>5464590.6334216725</v>
      </c>
      <c r="G42" s="17">
        <v>5119899.8809303166</v>
      </c>
      <c r="H42" s="17">
        <v>4240601.0294855786</v>
      </c>
      <c r="I42" s="17">
        <v>13250412.048636362</v>
      </c>
      <c r="J42" s="17">
        <v>19970402.211177699</v>
      </c>
      <c r="K42" s="17">
        <v>21560899.770855445</v>
      </c>
      <c r="L42" s="17">
        <v>22443856.404429268</v>
      </c>
      <c r="M42" s="17">
        <v>21127230.283930905</v>
      </c>
      <c r="N42" s="17">
        <v>20751787.273372933</v>
      </c>
      <c r="O42" s="17">
        <v>16636782.245674014</v>
      </c>
      <c r="P42" s="17">
        <f t="shared" si="1"/>
        <v>161759913.27048677</v>
      </c>
    </row>
    <row r="43" spans="2:16" ht="15" x14ac:dyDescent="0.25">
      <c r="B43" s="19" t="s">
        <v>43</v>
      </c>
      <c r="C43" s="20"/>
      <c r="D43" s="11">
        <v>84211075.686040252</v>
      </c>
      <c r="E43" s="11">
        <v>89551016.534477681</v>
      </c>
      <c r="F43" s="11">
        <v>116984907.0840784</v>
      </c>
      <c r="G43" s="11">
        <v>123686002.91219354</v>
      </c>
      <c r="H43" s="11">
        <v>89216152.025436968</v>
      </c>
      <c r="I43" s="11">
        <v>103855974.42673118</v>
      </c>
      <c r="J43" s="11">
        <v>118865927.82321765</v>
      </c>
      <c r="K43" s="11">
        <v>122036670.29725777</v>
      </c>
      <c r="L43" s="11">
        <v>119829507.3247951</v>
      </c>
      <c r="M43" s="11">
        <v>124801684.7386847</v>
      </c>
      <c r="N43" s="11">
        <v>117299895.53432924</v>
      </c>
      <c r="O43" s="11">
        <v>118242420.65960534</v>
      </c>
      <c r="P43" s="11">
        <f t="shared" si="1"/>
        <v>1328581235.0468478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3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45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86561980.53543821</v>
      </c>
      <c r="E7" s="11">
        <v>77341539.401564181</v>
      </c>
      <c r="F7" s="11">
        <v>81039516.100055397</v>
      </c>
      <c r="G7" s="11">
        <v>82597940.182329416</v>
      </c>
      <c r="H7" s="11">
        <v>81761819.719515949</v>
      </c>
      <c r="I7" s="11">
        <v>77063262.451854482</v>
      </c>
      <c r="J7" s="11">
        <v>77824180.00274916</v>
      </c>
      <c r="K7" s="11">
        <v>74580980.866772234</v>
      </c>
      <c r="L7" s="11">
        <v>77792213.735741898</v>
      </c>
      <c r="M7" s="11">
        <v>88930841.876710951</v>
      </c>
      <c r="N7" s="11">
        <v>86279920.465978771</v>
      </c>
      <c r="O7" s="11">
        <v>105132226.68830942</v>
      </c>
      <c r="P7" s="11">
        <f t="shared" ref="P7:P40" si="0">SUM(D7:O7)</f>
        <v>996906422.02701986</v>
      </c>
    </row>
    <row r="8" spans="1:16" ht="15" x14ac:dyDescent="0.25">
      <c r="B8" s="12" t="s">
        <v>19</v>
      </c>
      <c r="C8" s="13"/>
      <c r="D8" s="14">
        <v>723987.41448417201</v>
      </c>
      <c r="E8" s="14">
        <v>550589.07369829714</v>
      </c>
      <c r="F8" s="14">
        <v>624188.82800807059</v>
      </c>
      <c r="G8" s="14">
        <v>610427.14125823975</v>
      </c>
      <c r="H8" s="14">
        <v>627856.569190979</v>
      </c>
      <c r="I8" s="14">
        <v>607492.7218914032</v>
      </c>
      <c r="J8" s="14">
        <v>633666.58773040771</v>
      </c>
      <c r="K8" s="14">
        <v>633727.98680877686</v>
      </c>
      <c r="L8" s="14">
        <v>605109.14526796341</v>
      </c>
      <c r="M8" s="14">
        <v>607611.8532990797</v>
      </c>
      <c r="N8" s="14">
        <v>605917.99132728577</v>
      </c>
      <c r="O8" s="14">
        <v>628648.5213470459</v>
      </c>
      <c r="P8" s="14">
        <f t="shared" si="0"/>
        <v>7459223.8343117209</v>
      </c>
    </row>
    <row r="9" spans="1:16" x14ac:dyDescent="0.2">
      <c r="B9" s="15"/>
      <c r="C9" s="16" t="s">
        <v>20</v>
      </c>
      <c r="D9" s="17">
        <v>132404.18971636044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f t="shared" si="0"/>
        <v>132404.18971636044</v>
      </c>
    </row>
    <row r="10" spans="1:16" x14ac:dyDescent="0.2">
      <c r="B10" s="15"/>
      <c r="C10" s="16" t="s">
        <v>21</v>
      </c>
      <c r="D10" s="17">
        <v>591583.2247678116</v>
      </c>
      <c r="E10" s="17">
        <v>550589.07369829714</v>
      </c>
      <c r="F10" s="17">
        <v>624188.82800807059</v>
      </c>
      <c r="G10" s="17">
        <v>610427.14125823975</v>
      </c>
      <c r="H10" s="17">
        <v>627856.569190979</v>
      </c>
      <c r="I10" s="17">
        <v>607492.7218914032</v>
      </c>
      <c r="J10" s="17">
        <v>633666.58773040771</v>
      </c>
      <c r="K10" s="17">
        <v>633727.98680877686</v>
      </c>
      <c r="L10" s="17">
        <v>605109.14526796341</v>
      </c>
      <c r="M10" s="17">
        <v>607611.8532990797</v>
      </c>
      <c r="N10" s="17">
        <v>605917.99132728577</v>
      </c>
      <c r="O10" s="17">
        <v>628648.5213470459</v>
      </c>
      <c r="P10" s="17">
        <f t="shared" si="0"/>
        <v>7326819.6445953604</v>
      </c>
    </row>
    <row r="11" spans="1:16" ht="15" x14ac:dyDescent="0.25">
      <c r="B11" s="12" t="s">
        <v>22</v>
      </c>
      <c r="C11" s="13"/>
      <c r="D11" s="14">
        <v>385554.65834832611</v>
      </c>
      <c r="E11" s="14">
        <v>241917.33143493533</v>
      </c>
      <c r="F11" s="14">
        <v>270171.14868170023</v>
      </c>
      <c r="G11" s="14">
        <v>271357.26044845581</v>
      </c>
      <c r="H11" s="14">
        <v>318938.37810751796</v>
      </c>
      <c r="I11" s="14">
        <v>410313.27431726456</v>
      </c>
      <c r="J11" s="14">
        <v>424322.34737968445</v>
      </c>
      <c r="K11" s="14">
        <v>421702.59233474731</v>
      </c>
      <c r="L11" s="14">
        <v>412131.61763445649</v>
      </c>
      <c r="M11" s="14">
        <v>411868.29569201276</v>
      </c>
      <c r="N11" s="14">
        <v>416615.73028329387</v>
      </c>
      <c r="O11" s="14">
        <v>428483.33523889555</v>
      </c>
      <c r="P11" s="14">
        <f t="shared" si="0"/>
        <v>4413375.9699012907</v>
      </c>
    </row>
    <row r="12" spans="1:16" x14ac:dyDescent="0.2">
      <c r="B12" s="15"/>
      <c r="C12" s="16" t="s">
        <v>20</v>
      </c>
      <c r="D12" s="17">
        <v>129632.57910125749</v>
      </c>
      <c r="E12" s="17">
        <v>116211.86317110062</v>
      </c>
      <c r="F12" s="17">
        <v>139528.79688364267</v>
      </c>
      <c r="G12" s="17">
        <v>138597.83693695068</v>
      </c>
      <c r="H12" s="17">
        <v>139536.07295608521</v>
      </c>
      <c r="I12" s="17">
        <v>132894.46966409683</v>
      </c>
      <c r="J12" s="17">
        <v>134416.51024436951</v>
      </c>
      <c r="K12" s="17">
        <v>137484.65110397339</v>
      </c>
      <c r="L12" s="17">
        <v>131717.3080839538</v>
      </c>
      <c r="M12" s="17">
        <v>131448.27909270307</v>
      </c>
      <c r="N12" s="17">
        <v>134161.04529923201</v>
      </c>
      <c r="O12" s="17">
        <v>138822.50523376465</v>
      </c>
      <c r="P12" s="17">
        <f t="shared" si="0"/>
        <v>1604451.9177711299</v>
      </c>
    </row>
    <row r="13" spans="1:16" x14ac:dyDescent="0.2">
      <c r="B13" s="15"/>
      <c r="C13" s="16" t="s">
        <v>21</v>
      </c>
      <c r="D13" s="17">
        <v>141607.74370872229</v>
      </c>
      <c r="E13" s="17">
        <v>33654.504848480225</v>
      </c>
      <c r="F13" s="17">
        <v>0</v>
      </c>
      <c r="G13" s="17">
        <v>0</v>
      </c>
      <c r="H13" s="17">
        <v>33622.078766316175</v>
      </c>
      <c r="I13" s="17">
        <v>140575.61427688599</v>
      </c>
      <c r="J13" s="17">
        <v>146724.03991317749</v>
      </c>
      <c r="K13" s="17">
        <v>143532.16711425781</v>
      </c>
      <c r="L13" s="17">
        <v>138806.49502702928</v>
      </c>
      <c r="M13" s="17">
        <v>136723.49992888895</v>
      </c>
      <c r="N13" s="17">
        <v>142149.64634070173</v>
      </c>
      <c r="O13" s="17">
        <v>146120.31961842551</v>
      </c>
      <c r="P13" s="17">
        <f t="shared" si="0"/>
        <v>1203516.1095428856</v>
      </c>
    </row>
    <row r="14" spans="1:16" x14ac:dyDescent="0.2">
      <c r="B14" s="15"/>
      <c r="C14" s="16" t="s">
        <v>23</v>
      </c>
      <c r="D14" s="17">
        <v>114314.33553834632</v>
      </c>
      <c r="E14" s="17">
        <v>92050.96341535449</v>
      </c>
      <c r="F14" s="17">
        <v>130642.35179805756</v>
      </c>
      <c r="G14" s="17">
        <v>132759.42351150513</v>
      </c>
      <c r="H14" s="17">
        <v>145780.22638511658</v>
      </c>
      <c r="I14" s="17">
        <v>136843.19037628174</v>
      </c>
      <c r="J14" s="17">
        <v>143181.79722213745</v>
      </c>
      <c r="K14" s="17">
        <v>140685.77411651611</v>
      </c>
      <c r="L14" s="17">
        <v>141607.81452347338</v>
      </c>
      <c r="M14" s="17">
        <v>143696.51667042077</v>
      </c>
      <c r="N14" s="17">
        <v>140305.03864336014</v>
      </c>
      <c r="O14" s="17">
        <v>143540.5103867054</v>
      </c>
      <c r="P14" s="17">
        <f t="shared" si="0"/>
        <v>1605407.9425872751</v>
      </c>
    </row>
    <row r="15" spans="1:16" ht="15" x14ac:dyDescent="0.25">
      <c r="B15" s="12" t="s">
        <v>24</v>
      </c>
      <c r="C15" s="13"/>
      <c r="D15" s="14">
        <v>2085745.6606605931</v>
      </c>
      <c r="E15" s="14">
        <v>1254467.2526655197</v>
      </c>
      <c r="F15" s="14">
        <v>1505211.1209831238</v>
      </c>
      <c r="G15" s="14">
        <v>1636430.5940704346</v>
      </c>
      <c r="H15" s="14">
        <v>1723218.2216186523</v>
      </c>
      <c r="I15" s="14">
        <v>1652327.9102916718</v>
      </c>
      <c r="J15" s="14">
        <v>1681993.8533422351</v>
      </c>
      <c r="K15" s="14">
        <v>1920099.661989212</v>
      </c>
      <c r="L15" s="14">
        <v>3275975.9340496063</v>
      </c>
      <c r="M15" s="14">
        <v>3264190.0158962188</v>
      </c>
      <c r="N15" s="14">
        <v>3264642.2759053395</v>
      </c>
      <c r="O15" s="14">
        <v>3395028.7281646729</v>
      </c>
      <c r="P15" s="14">
        <f t="shared" si="0"/>
        <v>26659331.22963728</v>
      </c>
    </row>
    <row r="16" spans="1:16" x14ac:dyDescent="0.2">
      <c r="B16" s="15"/>
      <c r="C16" s="16" t="s">
        <v>20</v>
      </c>
      <c r="D16" s="17">
        <v>1597038.182051508</v>
      </c>
      <c r="E16" s="17">
        <v>1254467.2526655197</v>
      </c>
      <c r="F16" s="17">
        <v>1505211.1209831238</v>
      </c>
      <c r="G16" s="17">
        <v>1636430.5940704346</v>
      </c>
      <c r="H16" s="17">
        <v>1723218.2216186523</v>
      </c>
      <c r="I16" s="17">
        <v>1652327.9102916718</v>
      </c>
      <c r="J16" s="17">
        <v>1681993.8533422351</v>
      </c>
      <c r="K16" s="17">
        <v>1722838.2644042969</v>
      </c>
      <c r="L16" s="17">
        <v>1643227.3506011963</v>
      </c>
      <c r="M16" s="17">
        <v>1640085.7876154585</v>
      </c>
      <c r="N16" s="17">
        <v>1638014.380531311</v>
      </c>
      <c r="O16" s="17">
        <v>1701335.0109481812</v>
      </c>
      <c r="P16" s="17">
        <f t="shared" si="0"/>
        <v>19396187.929123588</v>
      </c>
    </row>
    <row r="17" spans="2:18" x14ac:dyDescent="0.2">
      <c r="B17" s="15"/>
      <c r="C17" s="16" t="s">
        <v>21</v>
      </c>
      <c r="D17" s="17">
        <v>488707.47860908508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197261.39758491516</v>
      </c>
      <c r="L17" s="17">
        <v>1632748.58344841</v>
      </c>
      <c r="M17" s="17">
        <v>1624104.2282807603</v>
      </c>
      <c r="N17" s="17">
        <v>1626627.8953740285</v>
      </c>
      <c r="O17" s="17">
        <v>1693693.7172164917</v>
      </c>
      <c r="P17" s="17">
        <f t="shared" si="0"/>
        <v>7263143.3005136903</v>
      </c>
    </row>
    <row r="18" spans="2:18" ht="15" x14ac:dyDescent="0.25">
      <c r="B18" s="12" t="s">
        <v>25</v>
      </c>
      <c r="C18" s="13"/>
      <c r="D18" s="14">
        <v>10736200.967861919</v>
      </c>
      <c r="E18" s="14">
        <v>9624283.4459063858</v>
      </c>
      <c r="F18" s="14">
        <v>10475177.335881101</v>
      </c>
      <c r="G18" s="14">
        <v>10930533.770767212</v>
      </c>
      <c r="H18" s="14">
        <v>9551276.5070648193</v>
      </c>
      <c r="I18" s="14">
        <v>7598957.4570667874</v>
      </c>
      <c r="J18" s="14">
        <v>10158113.968868256</v>
      </c>
      <c r="K18" s="14">
        <v>9951717.6392593384</v>
      </c>
      <c r="L18" s="14">
        <v>9234413.920917511</v>
      </c>
      <c r="M18" s="14">
        <v>11112634.020950317</v>
      </c>
      <c r="N18" s="14">
        <v>10689214.641098291</v>
      </c>
      <c r="O18" s="14">
        <v>11337074.440905357</v>
      </c>
      <c r="P18" s="14">
        <f t="shared" si="0"/>
        <v>121399598.1165473</v>
      </c>
    </row>
    <row r="19" spans="2:18" x14ac:dyDescent="0.2">
      <c r="B19" s="15"/>
      <c r="C19" s="16" t="s">
        <v>20</v>
      </c>
      <c r="D19" s="17">
        <v>3619742.6218299866</v>
      </c>
      <c r="E19" s="17">
        <v>3273068.6661137259</v>
      </c>
      <c r="F19" s="17">
        <v>3373988.9221227169</v>
      </c>
      <c r="G19" s="17">
        <v>3656181.8659210205</v>
      </c>
      <c r="H19" s="17">
        <v>2054339.9770202637</v>
      </c>
      <c r="I19" s="17">
        <v>399965.19195033424</v>
      </c>
      <c r="J19" s="17">
        <v>3484253.9677124023</v>
      </c>
      <c r="K19" s="17">
        <v>3322582.1224060059</v>
      </c>
      <c r="L19" s="17">
        <v>3517770.8323364258</v>
      </c>
      <c r="M19" s="17">
        <v>3687681.3853302002</v>
      </c>
      <c r="N19" s="17">
        <v>3553594.3043478206</v>
      </c>
      <c r="O19" s="17">
        <v>3757212.1923940182</v>
      </c>
      <c r="P19" s="17">
        <f t="shared" si="0"/>
        <v>37700382.049484923</v>
      </c>
    </row>
    <row r="20" spans="2:18" x14ac:dyDescent="0.2">
      <c r="B20" s="15"/>
      <c r="C20" s="16" t="s">
        <v>21</v>
      </c>
      <c r="D20" s="17">
        <v>3513448.973844944</v>
      </c>
      <c r="E20" s="17">
        <v>3079606.1770391986</v>
      </c>
      <c r="F20" s="17">
        <v>3550294.1175136566</v>
      </c>
      <c r="G20" s="17">
        <v>3615621.6364746094</v>
      </c>
      <c r="H20" s="17">
        <v>3739206.4351196289</v>
      </c>
      <c r="I20" s="17">
        <v>3615765.2501628399</v>
      </c>
      <c r="J20" s="17">
        <v>3411133.1015853882</v>
      </c>
      <c r="K20" s="17">
        <v>3355333.787651062</v>
      </c>
      <c r="L20" s="17">
        <v>3550232.5053100586</v>
      </c>
      <c r="M20" s="17">
        <v>3724525.0820922852</v>
      </c>
      <c r="N20" s="17">
        <v>3600519.1384620667</v>
      </c>
      <c r="O20" s="17">
        <v>3804763.8603287935</v>
      </c>
      <c r="P20" s="17">
        <f t="shared" si="0"/>
        <v>42560450.065584533</v>
      </c>
    </row>
    <row r="21" spans="2:18" x14ac:dyDescent="0.2">
      <c r="B21" s="15"/>
      <c r="C21" s="16" t="s">
        <v>23</v>
      </c>
      <c r="D21" s="17">
        <v>3603009.3721869886</v>
      </c>
      <c r="E21" s="17">
        <v>3271608.6027534604</v>
      </c>
      <c r="F21" s="17">
        <v>3550894.2962447274</v>
      </c>
      <c r="G21" s="17">
        <v>3658730.268371582</v>
      </c>
      <c r="H21" s="17">
        <v>3757730.0949249268</v>
      </c>
      <c r="I21" s="17">
        <v>3583227.0149536133</v>
      </c>
      <c r="J21" s="17">
        <v>3262726.8995704651</v>
      </c>
      <c r="K21" s="17">
        <v>3273801.7292022705</v>
      </c>
      <c r="L21" s="17">
        <v>2166410.5832710266</v>
      </c>
      <c r="M21" s="17">
        <v>3700427.553527832</v>
      </c>
      <c r="N21" s="17">
        <v>3535101.1982884035</v>
      </c>
      <c r="O21" s="17">
        <v>3775098.3881825451</v>
      </c>
      <c r="P21" s="17">
        <f t="shared" si="0"/>
        <v>41138766.001477838</v>
      </c>
    </row>
    <row r="22" spans="2:18" ht="15" x14ac:dyDescent="0.25">
      <c r="B22" s="12" t="s">
        <v>26</v>
      </c>
      <c r="C22" s="13"/>
      <c r="D22" s="14">
        <v>66839517.725830078</v>
      </c>
      <c r="E22" s="14">
        <v>63078432.497632414</v>
      </c>
      <c r="F22" s="14">
        <v>66778794.353651047</v>
      </c>
      <c r="G22" s="14">
        <v>62837416.838148355</v>
      </c>
      <c r="H22" s="14">
        <v>63378817.250263214</v>
      </c>
      <c r="I22" s="14">
        <v>60512404.317016602</v>
      </c>
      <c r="J22" s="14">
        <v>58831625.912992969</v>
      </c>
      <c r="K22" s="14">
        <v>55682392.893308759</v>
      </c>
      <c r="L22" s="14">
        <v>58253900.203321576</v>
      </c>
      <c r="M22" s="14">
        <v>67095699.64953842</v>
      </c>
      <c r="N22" s="14">
        <v>65098149.744028091</v>
      </c>
      <c r="O22" s="14">
        <v>82843236.663778543</v>
      </c>
      <c r="P22" s="14">
        <f t="shared" si="0"/>
        <v>771230388.04951</v>
      </c>
    </row>
    <row r="23" spans="2:18" x14ac:dyDescent="0.2">
      <c r="B23" s="15"/>
      <c r="C23" s="16" t="s">
        <v>20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5190706.2382493168</v>
      </c>
      <c r="K23" s="17">
        <v>18610507.601537824</v>
      </c>
      <c r="L23" s="17">
        <v>19450709.481414795</v>
      </c>
      <c r="M23" s="17">
        <v>22942041.505216599</v>
      </c>
      <c r="N23" s="17">
        <v>21537544.007890701</v>
      </c>
      <c r="O23" s="17">
        <v>27517282.523701906</v>
      </c>
      <c r="P23" s="17">
        <f t="shared" si="0"/>
        <v>115248791.35801114</v>
      </c>
    </row>
    <row r="24" spans="2:18" x14ac:dyDescent="0.2">
      <c r="B24" s="15"/>
      <c r="C24" s="16" t="s">
        <v>21</v>
      </c>
      <c r="D24" s="17">
        <v>33566876.387451172</v>
      </c>
      <c r="E24" s="17">
        <v>31363538.122532278</v>
      </c>
      <c r="F24" s="17">
        <v>33516064.934137344</v>
      </c>
      <c r="G24" s="17">
        <v>31151518.308119059</v>
      </c>
      <c r="H24" s="17">
        <v>31778777.25894928</v>
      </c>
      <c r="I24" s="17">
        <v>30141006.41015625</v>
      </c>
      <c r="J24" s="17">
        <v>26710110.060424805</v>
      </c>
      <c r="K24" s="17">
        <v>18681151.886119843</v>
      </c>
      <c r="L24" s="17">
        <v>19065800.383283734</v>
      </c>
      <c r="M24" s="17">
        <v>22369136.739179611</v>
      </c>
      <c r="N24" s="17">
        <v>21534259.057919502</v>
      </c>
      <c r="O24" s="17">
        <v>27468680.63513279</v>
      </c>
      <c r="P24" s="17">
        <f t="shared" si="0"/>
        <v>327346920.18340564</v>
      </c>
    </row>
    <row r="25" spans="2:18" x14ac:dyDescent="0.2">
      <c r="B25" s="15"/>
      <c r="C25" s="16" t="s">
        <v>23</v>
      </c>
      <c r="D25" s="17">
        <v>33272641.338378906</v>
      </c>
      <c r="E25" s="17">
        <v>31714894.375100136</v>
      </c>
      <c r="F25" s="17">
        <v>33262729.419513702</v>
      </c>
      <c r="G25" s="17">
        <v>31685898.530029297</v>
      </c>
      <c r="H25" s="17">
        <v>31600039.991313934</v>
      </c>
      <c r="I25" s="17">
        <v>30371397.906860352</v>
      </c>
      <c r="J25" s="17">
        <v>26930809.614318848</v>
      </c>
      <c r="K25" s="17">
        <v>18390733.405651093</v>
      </c>
      <c r="L25" s="17">
        <v>19737390.338623047</v>
      </c>
      <c r="M25" s="17">
        <v>21784521.40514221</v>
      </c>
      <c r="N25" s="17">
        <v>22026346.678217888</v>
      </c>
      <c r="O25" s="17">
        <v>27857273.504943848</v>
      </c>
      <c r="P25" s="17">
        <f t="shared" si="0"/>
        <v>328634676.50809324</v>
      </c>
    </row>
    <row r="26" spans="2:18" ht="15" x14ac:dyDescent="0.25">
      <c r="B26" s="12" t="s">
        <v>27</v>
      </c>
      <c r="C26" s="13"/>
      <c r="D26" s="14">
        <v>5790974.1082531214</v>
      </c>
      <c r="E26" s="14">
        <v>2591849.8002266353</v>
      </c>
      <c r="F26" s="14">
        <v>1385973.3128503561</v>
      </c>
      <c r="G26" s="14">
        <v>6311774.5776367188</v>
      </c>
      <c r="H26" s="14">
        <v>6161712.7932707667</v>
      </c>
      <c r="I26" s="14">
        <v>6281766.771270752</v>
      </c>
      <c r="J26" s="14">
        <v>6094457.3324356079</v>
      </c>
      <c r="K26" s="14">
        <v>5971340.0930714011</v>
      </c>
      <c r="L26" s="14">
        <v>6010682.9145507813</v>
      </c>
      <c r="M26" s="14">
        <v>6438838.0413348973</v>
      </c>
      <c r="N26" s="14">
        <v>6205380.0833364725</v>
      </c>
      <c r="O26" s="14">
        <v>6499754.998874899</v>
      </c>
      <c r="P26" s="14">
        <f t="shared" si="0"/>
        <v>65744504.827112406</v>
      </c>
    </row>
    <row r="27" spans="2:18" x14ac:dyDescent="0.2">
      <c r="B27" s="15"/>
      <c r="C27" s="16" t="s">
        <v>20</v>
      </c>
      <c r="D27" s="17">
        <v>5790974.1082531214</v>
      </c>
      <c r="E27" s="17">
        <v>2591849.8002266353</v>
      </c>
      <c r="F27" s="17">
        <v>1385973.3128503561</v>
      </c>
      <c r="G27" s="17">
        <v>6311774.5776367188</v>
      </c>
      <c r="H27" s="17">
        <v>6161712.7932707667</v>
      </c>
      <c r="I27" s="17">
        <v>6281766.771270752</v>
      </c>
      <c r="J27" s="17">
        <v>6094457.3324356079</v>
      </c>
      <c r="K27" s="17">
        <v>5971340.0930714011</v>
      </c>
      <c r="L27" s="17">
        <v>6010682.9145507813</v>
      </c>
      <c r="M27" s="17">
        <v>6438838.0413348973</v>
      </c>
      <c r="N27" s="17">
        <v>6205380.0833364725</v>
      </c>
      <c r="O27" s="17">
        <v>6499754.998874899</v>
      </c>
      <c r="P27" s="17">
        <f t="shared" si="0"/>
        <v>65744504.827112406</v>
      </c>
      <c r="R27" s="18"/>
    </row>
    <row r="28" spans="2:18" ht="15" x14ac:dyDescent="0.25">
      <c r="B28" s="19" t="s">
        <v>28</v>
      </c>
      <c r="C28" s="20"/>
      <c r="D28" s="11">
        <v>27682387.958330814</v>
      </c>
      <c r="E28" s="11">
        <v>26965761.189036522</v>
      </c>
      <c r="F28" s="11">
        <v>36227740.726730697</v>
      </c>
      <c r="G28" s="11">
        <v>28764023.267991684</v>
      </c>
      <c r="H28" s="11">
        <v>28074398.991905682</v>
      </c>
      <c r="I28" s="11">
        <v>20043083.59507551</v>
      </c>
      <c r="J28" s="11">
        <v>24447776.295446709</v>
      </c>
      <c r="K28" s="11">
        <v>21820595.761093758</v>
      </c>
      <c r="L28" s="11">
        <v>18203818.896555889</v>
      </c>
      <c r="M28" s="11">
        <v>14013675.784310615</v>
      </c>
      <c r="N28" s="11">
        <v>20433132.870047387</v>
      </c>
      <c r="O28" s="11">
        <v>15394178.027515933</v>
      </c>
      <c r="P28" s="11">
        <f t="shared" si="0"/>
        <v>282070573.36404127</v>
      </c>
    </row>
    <row r="29" spans="2:18" ht="15" x14ac:dyDescent="0.25">
      <c r="B29" s="12" t="s">
        <v>29</v>
      </c>
      <c r="C29" s="13"/>
      <c r="D29" s="14">
        <v>1162550.7483193439</v>
      </c>
      <c r="E29" s="14">
        <v>2643130.4474136336</v>
      </c>
      <c r="F29" s="14">
        <v>5989376.6030326709</v>
      </c>
      <c r="G29" s="14">
        <v>1790480.7608142588</v>
      </c>
      <c r="H29" s="14">
        <v>974972.16971253324</v>
      </c>
      <c r="I29" s="14">
        <v>713252.97472238541</v>
      </c>
      <c r="J29" s="14">
        <v>2535793.5940674674</v>
      </c>
      <c r="K29" s="14">
        <v>908480.6279796809</v>
      </c>
      <c r="L29" s="14">
        <v>855951.8492484577</v>
      </c>
      <c r="M29" s="14">
        <v>223147.4731732104</v>
      </c>
      <c r="N29" s="14">
        <v>843323.10399108659</v>
      </c>
      <c r="O29" s="14">
        <v>552620.90249016881</v>
      </c>
      <c r="P29" s="14">
        <f t="shared" si="0"/>
        <v>19193081.254964899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23798.489944458008</v>
      </c>
      <c r="E31" s="17">
        <v>10.842391014099121</v>
      </c>
      <c r="F31" s="17">
        <v>14280.760614156723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f t="shared" si="0"/>
        <v>38090.09294962883</v>
      </c>
    </row>
    <row r="32" spans="2:18" x14ac:dyDescent="0.2">
      <c r="B32" s="15"/>
      <c r="C32" s="16" t="s">
        <v>32</v>
      </c>
      <c r="D32" s="17">
        <v>162344.18310142262</v>
      </c>
      <c r="E32" s="17">
        <v>170610.39251553948</v>
      </c>
      <c r="F32" s="17">
        <v>1506607.7019348172</v>
      </c>
      <c r="G32" s="17">
        <v>0</v>
      </c>
      <c r="H32" s="17">
        <v>112205.74048263123</v>
      </c>
      <c r="I32" s="17">
        <v>6706.6485605239868</v>
      </c>
      <c r="J32" s="17">
        <v>82031.779327392578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2040506.445922327</v>
      </c>
    </row>
    <row r="33" spans="2:16" x14ac:dyDescent="0.2">
      <c r="B33" s="15"/>
      <c r="C33" s="16" t="s">
        <v>33</v>
      </c>
      <c r="D33" s="17">
        <v>101759.07383615688</v>
      </c>
      <c r="E33" s="17">
        <v>671870.58682076703</v>
      </c>
      <c r="F33" s="17">
        <v>1904201.1839733841</v>
      </c>
      <c r="G33" s="17">
        <v>555245.6425516177</v>
      </c>
      <c r="H33" s="17">
        <v>184236.20179158449</v>
      </c>
      <c r="I33" s="17">
        <v>244251.43063259125</v>
      </c>
      <c r="J33" s="17">
        <v>598720.81457045674</v>
      </c>
      <c r="K33" s="17">
        <v>125221.8663635999</v>
      </c>
      <c r="L33" s="17">
        <v>264983.78599029779</v>
      </c>
      <c r="M33" s="17">
        <v>0</v>
      </c>
      <c r="N33" s="17">
        <v>0</v>
      </c>
      <c r="O33" s="17">
        <v>6236.1764121055603</v>
      </c>
      <c r="P33" s="17">
        <f t="shared" si="0"/>
        <v>4656726.7629425619</v>
      </c>
    </row>
    <row r="34" spans="2:16" x14ac:dyDescent="0.2">
      <c r="B34" s="15"/>
      <c r="C34" s="16" t="s">
        <v>34</v>
      </c>
      <c r="D34" s="17">
        <v>438345.10062563419</v>
      </c>
      <c r="E34" s="17">
        <v>921133.93017185479</v>
      </c>
      <c r="F34" s="17">
        <v>1287843.0944530643</v>
      </c>
      <c r="G34" s="17">
        <v>563266.5158264786</v>
      </c>
      <c r="H34" s="17">
        <v>333854.49661939067</v>
      </c>
      <c r="I34" s="17">
        <v>234819.34720611572</v>
      </c>
      <c r="J34" s="17">
        <v>744982.00462106406</v>
      </c>
      <c r="K34" s="17">
        <v>390107.9365414083</v>
      </c>
      <c r="L34" s="17">
        <v>267989.28580460697</v>
      </c>
      <c r="M34" s="17">
        <v>108806.62789828517</v>
      </c>
      <c r="N34" s="17">
        <v>406192.22629610728</v>
      </c>
      <c r="O34" s="17">
        <v>274888.55101814866</v>
      </c>
      <c r="P34" s="17">
        <f t="shared" si="0"/>
        <v>5972229.117082159</v>
      </c>
    </row>
    <row r="35" spans="2:16" x14ac:dyDescent="0.2">
      <c r="B35" s="15"/>
      <c r="C35" s="16" t="s">
        <v>35</v>
      </c>
      <c r="D35" s="17">
        <v>436303.90081167221</v>
      </c>
      <c r="E35" s="17">
        <v>879504.69551445812</v>
      </c>
      <c r="F35" s="17">
        <v>1276443.8620572484</v>
      </c>
      <c r="G35" s="17">
        <v>671968.60243616253</v>
      </c>
      <c r="H35" s="17">
        <v>344675.73081892682</v>
      </c>
      <c r="I35" s="17">
        <v>227475.54832315445</v>
      </c>
      <c r="J35" s="17">
        <v>1110058.9955485538</v>
      </c>
      <c r="K35" s="17">
        <v>393150.8250746727</v>
      </c>
      <c r="L35" s="17">
        <v>322978.77745355293</v>
      </c>
      <c r="M35" s="17">
        <v>114340.84527492523</v>
      </c>
      <c r="N35" s="17">
        <v>437130.87769497931</v>
      </c>
      <c r="O35" s="17">
        <v>271496.17505991459</v>
      </c>
      <c r="P35" s="17">
        <f t="shared" si="0"/>
        <v>6485528.8360682204</v>
      </c>
    </row>
    <row r="36" spans="2:16" ht="15" x14ac:dyDescent="0.25">
      <c r="B36" s="12" t="s">
        <v>36</v>
      </c>
      <c r="C36" s="13"/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71032.138999402523</v>
      </c>
      <c r="M36" s="14">
        <v>8075</v>
      </c>
      <c r="N36" s="14">
        <v>0</v>
      </c>
      <c r="O36" s="14">
        <v>415.8309326171875</v>
      </c>
      <c r="P36" s="14">
        <f t="shared" si="0"/>
        <v>79522.969932019711</v>
      </c>
    </row>
    <row r="37" spans="2:16" x14ac:dyDescent="0.2">
      <c r="B37" s="15"/>
      <c r="C37" s="16" t="s">
        <v>37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f t="shared" si="0"/>
        <v>0</v>
      </c>
    </row>
    <row r="38" spans="2:16" x14ac:dyDescent="0.2">
      <c r="B38" s="15"/>
      <c r="C38" s="16" t="s">
        <v>38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71032.138999402523</v>
      </c>
      <c r="M38" s="17">
        <v>8075</v>
      </c>
      <c r="N38" s="17">
        <v>0</v>
      </c>
      <c r="O38" s="17">
        <v>415.8309326171875</v>
      </c>
      <c r="P38" s="17">
        <f t="shared" si="0"/>
        <v>79522.969932019711</v>
      </c>
    </row>
    <row r="39" spans="2:16" x14ac:dyDescent="0.2">
      <c r="B39" s="15"/>
      <c r="C39" s="16" t="s">
        <v>39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f t="shared" si="0"/>
        <v>0</v>
      </c>
    </row>
    <row r="40" spans="2:16" ht="15" x14ac:dyDescent="0.25">
      <c r="B40" s="12" t="s">
        <v>40</v>
      </c>
      <c r="C40" s="13"/>
      <c r="D40" s="17">
        <v>26519837.210011471</v>
      </c>
      <c r="E40" s="17">
        <v>24322630.741622888</v>
      </c>
      <c r="F40" s="17">
        <v>30238364.123698026</v>
      </c>
      <c r="G40" s="17">
        <v>26973542.507177427</v>
      </c>
      <c r="H40" s="17">
        <v>27099426.822193153</v>
      </c>
      <c r="I40" s="17">
        <v>19329830.620353125</v>
      </c>
      <c r="J40" s="17">
        <v>21911982.701379243</v>
      </c>
      <c r="K40" s="17">
        <v>20912115.133114077</v>
      </c>
      <c r="L40" s="17">
        <v>17276834.908308029</v>
      </c>
      <c r="M40" s="17">
        <v>13782453.311137404</v>
      </c>
      <c r="N40" s="17">
        <v>19589809.766056299</v>
      </c>
      <c r="O40" s="17">
        <v>14841141.294093147</v>
      </c>
      <c r="P40" s="17">
        <f t="shared" si="0"/>
        <v>262797969.1391443</v>
      </c>
    </row>
    <row r="41" spans="2:16" x14ac:dyDescent="0.2">
      <c r="B41" s="15"/>
      <c r="C41" s="16" t="s">
        <v>41</v>
      </c>
      <c r="D41" s="17">
        <v>13413263.47238972</v>
      </c>
      <c r="E41" s="17">
        <v>12057141.564115072</v>
      </c>
      <c r="F41" s="17">
        <v>15934948.582315106</v>
      </c>
      <c r="G41" s="17">
        <v>13829885.578077896</v>
      </c>
      <c r="H41" s="17">
        <v>6655638.6200348996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f t="shared" ref="P41:P43" si="1">SUM(D41:O41)</f>
        <v>61890877.816932693</v>
      </c>
    </row>
    <row r="42" spans="2:16" x14ac:dyDescent="0.2">
      <c r="B42" s="15"/>
      <c r="C42" s="16" t="s">
        <v>42</v>
      </c>
      <c r="D42" s="17">
        <v>13106573.737621751</v>
      </c>
      <c r="E42" s="17">
        <v>12265489.177507818</v>
      </c>
      <c r="F42" s="17">
        <v>14303415.541382918</v>
      </c>
      <c r="G42" s="17">
        <v>13143656.929099534</v>
      </c>
      <c r="H42" s="17">
        <v>20443788.20215825</v>
      </c>
      <c r="I42" s="17">
        <v>19329830.620353125</v>
      </c>
      <c r="J42" s="17">
        <v>21911982.701379243</v>
      </c>
      <c r="K42" s="17">
        <v>20912115.133114077</v>
      </c>
      <c r="L42" s="17">
        <v>17276834.908308029</v>
      </c>
      <c r="M42" s="17">
        <v>13782453.311137404</v>
      </c>
      <c r="N42" s="17">
        <v>19589809.766056299</v>
      </c>
      <c r="O42" s="17">
        <v>14841141.294093147</v>
      </c>
      <c r="P42" s="17">
        <f t="shared" si="1"/>
        <v>200907091.32221162</v>
      </c>
    </row>
    <row r="43" spans="2:16" ht="15" x14ac:dyDescent="0.25">
      <c r="B43" s="19" t="s">
        <v>43</v>
      </c>
      <c r="C43" s="20"/>
      <c r="D43" s="11">
        <v>114244368.49376902</v>
      </c>
      <c r="E43" s="11">
        <v>104307300.59060071</v>
      </c>
      <c r="F43" s="11">
        <v>117267256.8267861</v>
      </c>
      <c r="G43" s="11">
        <v>111361963.45032111</v>
      </c>
      <c r="H43" s="11">
        <v>109836218.71142164</v>
      </c>
      <c r="I43" s="11">
        <v>97106346.04693</v>
      </c>
      <c r="J43" s="11">
        <v>102271956.29819587</v>
      </c>
      <c r="K43" s="11">
        <v>96401576.627866</v>
      </c>
      <c r="L43" s="11">
        <v>95996032.632297784</v>
      </c>
      <c r="M43" s="11">
        <v>102944517.66102156</v>
      </c>
      <c r="N43" s="11">
        <v>106713053.33602616</v>
      </c>
      <c r="O43" s="11">
        <v>120526404.71582535</v>
      </c>
      <c r="P43" s="11">
        <f t="shared" si="1"/>
        <v>1278976995.3910611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4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46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123599538.26788957</v>
      </c>
      <c r="E7" s="11">
        <v>97468265.285908639</v>
      </c>
      <c r="F7" s="11">
        <v>114356328.77893557</v>
      </c>
      <c r="G7" s="11">
        <v>84933715.762530357</v>
      </c>
      <c r="H7" s="11">
        <v>85784959.660500109</v>
      </c>
      <c r="I7" s="11">
        <v>78828595.292753711</v>
      </c>
      <c r="J7" s="11">
        <v>82118669.918045864</v>
      </c>
      <c r="K7" s="11">
        <v>82766618.832465753</v>
      </c>
      <c r="L7" s="11">
        <v>81454949.469057307</v>
      </c>
      <c r="M7" s="11">
        <v>83594865.200718433</v>
      </c>
      <c r="N7" s="11">
        <v>80951242.435000017</v>
      </c>
      <c r="O7" s="11">
        <v>83901256.830034629</v>
      </c>
      <c r="P7" s="11">
        <f t="shared" ref="P7:P40" si="0">SUM(D7:O7)</f>
        <v>1079759005.73384</v>
      </c>
    </row>
    <row r="8" spans="1:16" ht="15" x14ac:dyDescent="0.25">
      <c r="B8" s="12" t="s">
        <v>19</v>
      </c>
      <c r="C8" s="13"/>
      <c r="D8" s="14">
        <v>631149.2367519848</v>
      </c>
      <c r="E8" s="14">
        <v>590966.96461235499</v>
      </c>
      <c r="F8" s="14">
        <v>1233568.8150482178</v>
      </c>
      <c r="G8" s="14">
        <v>1205877.5521171754</v>
      </c>
      <c r="H8" s="14">
        <v>1246698.3457270269</v>
      </c>
      <c r="I8" s="14">
        <v>1168301.0110034943</v>
      </c>
      <c r="J8" s="14">
        <v>1248013.9783248883</v>
      </c>
      <c r="K8" s="14">
        <v>1217250.5701657534</v>
      </c>
      <c r="L8" s="14">
        <v>1185474.7858924866</v>
      </c>
      <c r="M8" s="14">
        <v>1237803.3917375575</v>
      </c>
      <c r="N8" s="14">
        <v>1177394.0130000007</v>
      </c>
      <c r="O8" s="14">
        <v>1235086.3861808777</v>
      </c>
      <c r="P8" s="14">
        <f t="shared" si="0"/>
        <v>13377585.050561819</v>
      </c>
    </row>
    <row r="9" spans="1:16" x14ac:dyDescent="0.2">
      <c r="B9" s="15"/>
      <c r="C9" s="16" t="s">
        <v>20</v>
      </c>
      <c r="D9" s="17">
        <v>0</v>
      </c>
      <c r="E9" s="17">
        <v>22362.661820817506</v>
      </c>
      <c r="F9" s="17">
        <v>629724.95972442627</v>
      </c>
      <c r="G9" s="17">
        <v>614400.93765336927</v>
      </c>
      <c r="H9" s="17">
        <v>636123.18330812454</v>
      </c>
      <c r="I9" s="17">
        <v>592802.98643302917</v>
      </c>
      <c r="J9" s="17">
        <v>633010.39841460995</v>
      </c>
      <c r="K9" s="17">
        <v>616629.26501095295</v>
      </c>
      <c r="L9" s="17">
        <v>593504.04419708252</v>
      </c>
      <c r="M9" s="17">
        <v>626564.62490463257</v>
      </c>
      <c r="N9" s="17">
        <v>601885.597000001</v>
      </c>
      <c r="O9" s="17">
        <v>624332.5878238678</v>
      </c>
      <c r="P9" s="17">
        <f t="shared" si="0"/>
        <v>6191341.2462909138</v>
      </c>
    </row>
    <row r="10" spans="1:16" x14ac:dyDescent="0.2">
      <c r="B10" s="15"/>
      <c r="C10" s="16" t="s">
        <v>21</v>
      </c>
      <c r="D10" s="17">
        <v>631149.2367519848</v>
      </c>
      <c r="E10" s="17">
        <v>568604.30279153748</v>
      </c>
      <c r="F10" s="17">
        <v>603843.8553237915</v>
      </c>
      <c r="G10" s="17">
        <v>591476.61446380615</v>
      </c>
      <c r="H10" s="17">
        <v>610575.16241890239</v>
      </c>
      <c r="I10" s="17">
        <v>575498.02457046509</v>
      </c>
      <c r="J10" s="17">
        <v>615003.57991027832</v>
      </c>
      <c r="K10" s="17">
        <v>600621.30515480042</v>
      </c>
      <c r="L10" s="17">
        <v>591970.74169540405</v>
      </c>
      <c r="M10" s="17">
        <v>611238.7668329248</v>
      </c>
      <c r="N10" s="17">
        <v>575508.41599999962</v>
      </c>
      <c r="O10" s="17">
        <v>610753.79835700989</v>
      </c>
      <c r="P10" s="17">
        <f t="shared" si="0"/>
        <v>7186243.8042709036</v>
      </c>
    </row>
    <row r="11" spans="1:16" ht="15" x14ac:dyDescent="0.25">
      <c r="B11" s="12" t="s">
        <v>22</v>
      </c>
      <c r="C11" s="13"/>
      <c r="D11" s="14">
        <v>429316.56674373057</v>
      </c>
      <c r="E11" s="14">
        <v>277364.35227775574</v>
      </c>
      <c r="F11" s="14">
        <v>288850.80212551355</v>
      </c>
      <c r="G11" s="14">
        <v>321300.4533336407</v>
      </c>
      <c r="H11" s="14">
        <v>425468.38593739271</v>
      </c>
      <c r="I11" s="14">
        <v>413434.2872338444</v>
      </c>
      <c r="J11" s="14">
        <v>429729.32094955444</v>
      </c>
      <c r="K11" s="14">
        <v>427909.8565206565</v>
      </c>
      <c r="L11" s="14">
        <v>417219.32557106018</v>
      </c>
      <c r="M11" s="14">
        <v>427218.05486157537</v>
      </c>
      <c r="N11" s="14">
        <v>404148.47700000007</v>
      </c>
      <c r="O11" s="14">
        <v>421312.09973239899</v>
      </c>
      <c r="P11" s="14">
        <f t="shared" si="0"/>
        <v>4683271.9822871229</v>
      </c>
    </row>
    <row r="12" spans="1:16" x14ac:dyDescent="0.2">
      <c r="B12" s="15"/>
      <c r="C12" s="16" t="s">
        <v>20</v>
      </c>
      <c r="D12" s="17">
        <v>136444.94766461756</v>
      </c>
      <c r="E12" s="17">
        <v>124562.24143409729</v>
      </c>
      <c r="F12" s="17">
        <v>142202.47777360678</v>
      </c>
      <c r="G12" s="17">
        <v>139671.1211476326</v>
      </c>
      <c r="H12" s="17">
        <v>135578.67816972733</v>
      </c>
      <c r="I12" s="17">
        <v>134389.32510125637</v>
      </c>
      <c r="J12" s="17">
        <v>137585.36324310303</v>
      </c>
      <c r="K12" s="17">
        <v>138013.55810036138</v>
      </c>
      <c r="L12" s="17">
        <v>133814.56928443909</v>
      </c>
      <c r="M12" s="17">
        <v>136349.96714448929</v>
      </c>
      <c r="N12" s="17">
        <v>130067.03200000004</v>
      </c>
      <c r="O12" s="17">
        <v>137142.72138881683</v>
      </c>
      <c r="P12" s="17">
        <f t="shared" si="0"/>
        <v>1625822.0024521477</v>
      </c>
    </row>
    <row r="13" spans="1:16" x14ac:dyDescent="0.2">
      <c r="B13" s="15"/>
      <c r="C13" s="16" t="s">
        <v>21</v>
      </c>
      <c r="D13" s="17">
        <v>146029.99725961685</v>
      </c>
      <c r="E13" s="17">
        <v>18246.70285987854</v>
      </c>
      <c r="F13" s="17">
        <v>0</v>
      </c>
      <c r="G13" s="17">
        <v>40653.110811948776</v>
      </c>
      <c r="H13" s="17">
        <v>146870.80720901489</v>
      </c>
      <c r="I13" s="17">
        <v>140359.04273318872</v>
      </c>
      <c r="J13" s="17">
        <v>145523.51454544067</v>
      </c>
      <c r="K13" s="17">
        <v>145743.6113961786</v>
      </c>
      <c r="L13" s="17">
        <v>142795.56708526611</v>
      </c>
      <c r="M13" s="17">
        <v>145501.90727332234</v>
      </c>
      <c r="N13" s="17">
        <v>134238.989</v>
      </c>
      <c r="O13" s="17">
        <v>136808.211353302</v>
      </c>
      <c r="P13" s="17">
        <f t="shared" si="0"/>
        <v>1342771.4615271576</v>
      </c>
    </row>
    <row r="14" spans="1:16" x14ac:dyDescent="0.2">
      <c r="B14" s="15"/>
      <c r="C14" s="16" t="s">
        <v>23</v>
      </c>
      <c r="D14" s="17">
        <v>146841.62181949615</v>
      </c>
      <c r="E14" s="17">
        <v>134555.40798377991</v>
      </c>
      <c r="F14" s="17">
        <v>146648.32435190678</v>
      </c>
      <c r="G14" s="17">
        <v>140976.22137405933</v>
      </c>
      <c r="H14" s="17">
        <v>143018.90055865049</v>
      </c>
      <c r="I14" s="17">
        <v>138685.91939939931</v>
      </c>
      <c r="J14" s="17">
        <v>146620.44316101074</v>
      </c>
      <c r="K14" s="17">
        <v>144152.68702411652</v>
      </c>
      <c r="L14" s="17">
        <v>140609.18920135498</v>
      </c>
      <c r="M14" s="17">
        <v>145366.18044376373</v>
      </c>
      <c r="N14" s="17">
        <v>139842.45600000009</v>
      </c>
      <c r="O14" s="17">
        <v>147361.16699028015</v>
      </c>
      <c r="P14" s="17">
        <f t="shared" si="0"/>
        <v>1714678.5183078181</v>
      </c>
    </row>
    <row r="15" spans="1:16" ht="15" x14ac:dyDescent="0.25">
      <c r="B15" s="12" t="s">
        <v>24</v>
      </c>
      <c r="C15" s="13"/>
      <c r="D15" s="14">
        <v>3372250.4556686878</v>
      </c>
      <c r="E15" s="14">
        <v>3056484.2153180819</v>
      </c>
      <c r="F15" s="14">
        <v>3414517.5503497124</v>
      </c>
      <c r="G15" s="14">
        <v>3299900.3845615387</v>
      </c>
      <c r="H15" s="14">
        <v>3419958.9217147827</v>
      </c>
      <c r="I15" s="14">
        <v>3305250.96367836</v>
      </c>
      <c r="J15" s="14">
        <v>3431313.9006652832</v>
      </c>
      <c r="K15" s="14">
        <v>3418974.0716047101</v>
      </c>
      <c r="L15" s="14">
        <v>3325952.8513183594</v>
      </c>
      <c r="M15" s="14">
        <v>3386916.1056907177</v>
      </c>
      <c r="N15" s="14">
        <v>3281842.3600000008</v>
      </c>
      <c r="O15" s="14">
        <v>2904051.776432991</v>
      </c>
      <c r="P15" s="14">
        <f t="shared" si="0"/>
        <v>39617413.55700323</v>
      </c>
    </row>
    <row r="16" spans="1:16" x14ac:dyDescent="0.2">
      <c r="B16" s="15"/>
      <c r="C16" s="16" t="s">
        <v>20</v>
      </c>
      <c r="D16" s="17">
        <v>1696248.5781173706</v>
      </c>
      <c r="E16" s="17">
        <v>1536629.9693241119</v>
      </c>
      <c r="F16" s="17">
        <v>1719134.5407047272</v>
      </c>
      <c r="G16" s="17">
        <v>1652120.8705482483</v>
      </c>
      <c r="H16" s="17">
        <v>1715047.2468109131</v>
      </c>
      <c r="I16" s="17">
        <v>1653349.3177814484</v>
      </c>
      <c r="J16" s="17">
        <v>1732068.8430175781</v>
      </c>
      <c r="K16" s="17">
        <v>1719331.1360473633</v>
      </c>
      <c r="L16" s="17">
        <v>1676849.6323852539</v>
      </c>
      <c r="M16" s="17">
        <v>1701684.0753097534</v>
      </c>
      <c r="N16" s="17">
        <v>1645107.8310000016</v>
      </c>
      <c r="O16" s="17">
        <v>1449480.0921497345</v>
      </c>
      <c r="P16" s="17">
        <f t="shared" si="0"/>
        <v>19897052.133196503</v>
      </c>
    </row>
    <row r="17" spans="2:18" x14ac:dyDescent="0.2">
      <c r="B17" s="15"/>
      <c r="C17" s="16" t="s">
        <v>21</v>
      </c>
      <c r="D17" s="17">
        <v>1676001.8775513172</v>
      </c>
      <c r="E17" s="17">
        <v>1519854.24599397</v>
      </c>
      <c r="F17" s="17">
        <v>1695383.0096449852</v>
      </c>
      <c r="G17" s="17">
        <v>1647779.5140132904</v>
      </c>
      <c r="H17" s="17">
        <v>1704911.6749038696</v>
      </c>
      <c r="I17" s="17">
        <v>1651901.6458969116</v>
      </c>
      <c r="J17" s="17">
        <v>1699245.0576477051</v>
      </c>
      <c r="K17" s="17">
        <v>1699642.9355573468</v>
      </c>
      <c r="L17" s="17">
        <v>1649103.2189331055</v>
      </c>
      <c r="M17" s="17">
        <v>1685232.0303809643</v>
      </c>
      <c r="N17" s="17">
        <v>1636734.5289999992</v>
      </c>
      <c r="O17" s="17">
        <v>1454571.6842832565</v>
      </c>
      <c r="P17" s="17">
        <f t="shared" si="0"/>
        <v>19720361.423806719</v>
      </c>
    </row>
    <row r="18" spans="2:18" ht="15" x14ac:dyDescent="0.25">
      <c r="B18" s="12" t="s">
        <v>25</v>
      </c>
      <c r="C18" s="13"/>
      <c r="D18" s="14">
        <v>11219474.696465261</v>
      </c>
      <c r="E18" s="14">
        <v>10232574.31565056</v>
      </c>
      <c r="F18" s="14">
        <v>11138462.32516296</v>
      </c>
      <c r="G18" s="14">
        <v>10880011.977004323</v>
      </c>
      <c r="H18" s="14">
        <v>9715898.6122636199</v>
      </c>
      <c r="I18" s="14">
        <v>7355407.4029693604</v>
      </c>
      <c r="J18" s="14">
        <v>8285305.9224983286</v>
      </c>
      <c r="K18" s="14">
        <v>8879186.8910512924</v>
      </c>
      <c r="L18" s="14">
        <v>10090252.881991878</v>
      </c>
      <c r="M18" s="14">
        <v>9943931.6482131705</v>
      </c>
      <c r="N18" s="14">
        <v>9799757.6380000096</v>
      </c>
      <c r="O18" s="14">
        <v>10614636.310174704</v>
      </c>
      <c r="P18" s="14">
        <f t="shared" si="0"/>
        <v>118154900.62144548</v>
      </c>
    </row>
    <row r="19" spans="2:18" x14ac:dyDescent="0.2">
      <c r="B19" s="15"/>
      <c r="C19" s="16" t="s">
        <v>20</v>
      </c>
      <c r="D19" s="17">
        <v>3709223.5422608927</v>
      </c>
      <c r="E19" s="17">
        <v>3393106.3743358627</v>
      </c>
      <c r="F19" s="17">
        <v>3697913.6589813232</v>
      </c>
      <c r="G19" s="17">
        <v>3577454.2433693744</v>
      </c>
      <c r="H19" s="17">
        <v>3670752.1111768484</v>
      </c>
      <c r="I19" s="17">
        <v>3654398.4343414307</v>
      </c>
      <c r="J19" s="17">
        <v>3737265.3202927709</v>
      </c>
      <c r="K19" s="17">
        <v>3600321.7241821289</v>
      </c>
      <c r="L19" s="17">
        <v>3067077.467414327</v>
      </c>
      <c r="M19" s="17">
        <v>3044945.7066543326</v>
      </c>
      <c r="N19" s="17">
        <v>2976675.2590000052</v>
      </c>
      <c r="O19" s="17">
        <v>3339605.9411849976</v>
      </c>
      <c r="P19" s="17">
        <f t="shared" si="0"/>
        <v>41468739.783194289</v>
      </c>
    </row>
    <row r="20" spans="2:18" x14ac:dyDescent="0.2">
      <c r="B20" s="15"/>
      <c r="C20" s="16" t="s">
        <v>21</v>
      </c>
      <c r="D20" s="17">
        <v>3746564.0845937729</v>
      </c>
      <c r="E20" s="17">
        <v>3424621.2835998535</v>
      </c>
      <c r="F20" s="17">
        <v>3755884.332578741</v>
      </c>
      <c r="G20" s="17">
        <v>3665411.7478942871</v>
      </c>
      <c r="H20" s="17">
        <v>3774240.442565918</v>
      </c>
      <c r="I20" s="17">
        <v>3701008.9686279297</v>
      </c>
      <c r="J20" s="17">
        <v>3725987.6095927195</v>
      </c>
      <c r="K20" s="17">
        <v>3766958.5197753906</v>
      </c>
      <c r="L20" s="17">
        <v>3516443.1287179887</v>
      </c>
      <c r="M20" s="17">
        <v>3368766.0684623718</v>
      </c>
      <c r="N20" s="17">
        <v>3285551.7480000034</v>
      </c>
      <c r="O20" s="17">
        <v>3548939.2476806641</v>
      </c>
      <c r="P20" s="17">
        <f t="shared" si="0"/>
        <v>43280377.182089642</v>
      </c>
    </row>
    <row r="21" spans="2:18" x14ac:dyDescent="0.2">
      <c r="B21" s="15"/>
      <c r="C21" s="16" t="s">
        <v>23</v>
      </c>
      <c r="D21" s="17">
        <v>3763687.0696105957</v>
      </c>
      <c r="E21" s="17">
        <v>3414846.6577148438</v>
      </c>
      <c r="F21" s="17">
        <v>3684664.333602896</v>
      </c>
      <c r="G21" s="17">
        <v>3637145.9857406616</v>
      </c>
      <c r="H21" s="17">
        <v>2270906.0585208535</v>
      </c>
      <c r="I21" s="17">
        <v>0</v>
      </c>
      <c r="J21" s="17">
        <v>822052.99261283875</v>
      </c>
      <c r="K21" s="17">
        <v>1511906.6470937729</v>
      </c>
      <c r="L21" s="17">
        <v>3506732.2858595625</v>
      </c>
      <c r="M21" s="17">
        <v>3530219.8730964661</v>
      </c>
      <c r="N21" s="17">
        <v>3537530.6310000019</v>
      </c>
      <c r="O21" s="17">
        <v>3726091.121309042</v>
      </c>
      <c r="P21" s="17">
        <f t="shared" si="0"/>
        <v>33405783.656161536</v>
      </c>
    </row>
    <row r="22" spans="2:18" ht="15" x14ac:dyDescent="0.25">
      <c r="B22" s="12" t="s">
        <v>26</v>
      </c>
      <c r="C22" s="13"/>
      <c r="D22" s="14">
        <v>101812443.92208672</v>
      </c>
      <c r="E22" s="14">
        <v>83310875.438049883</v>
      </c>
      <c r="F22" s="14">
        <v>98280929.286249161</v>
      </c>
      <c r="G22" s="14">
        <v>68949085.227862239</v>
      </c>
      <c r="H22" s="14">
        <v>64684046.475688338</v>
      </c>
      <c r="I22" s="14">
        <v>60348953.807189941</v>
      </c>
      <c r="J22" s="14">
        <v>62388348.330641985</v>
      </c>
      <c r="K22" s="14">
        <v>62412513.14197588</v>
      </c>
      <c r="L22" s="14">
        <v>60332525.432966352</v>
      </c>
      <c r="M22" s="14">
        <v>62332133.998506419</v>
      </c>
      <c r="N22" s="14">
        <v>60323090.574000008</v>
      </c>
      <c r="O22" s="14">
        <v>62350432.209173813</v>
      </c>
      <c r="P22" s="14">
        <f t="shared" si="0"/>
        <v>847525377.84439075</v>
      </c>
    </row>
    <row r="23" spans="2:18" x14ac:dyDescent="0.2">
      <c r="B23" s="15"/>
      <c r="C23" s="16" t="s">
        <v>20</v>
      </c>
      <c r="D23" s="17">
        <v>34184623.185546875</v>
      </c>
      <c r="E23" s="17">
        <v>27452651.762790293</v>
      </c>
      <c r="F23" s="17">
        <v>32711712.456787109</v>
      </c>
      <c r="G23" s="17">
        <v>22950602.015314102</v>
      </c>
      <c r="H23" s="17">
        <v>21805072.015649199</v>
      </c>
      <c r="I23" s="17">
        <v>20106116.453918457</v>
      </c>
      <c r="J23" s="17">
        <v>20990524.040161133</v>
      </c>
      <c r="K23" s="17">
        <v>21049932.346069336</v>
      </c>
      <c r="L23" s="17">
        <v>20668050.68972826</v>
      </c>
      <c r="M23" s="17">
        <v>19976332.055391185</v>
      </c>
      <c r="N23" s="17">
        <v>20720978.051999994</v>
      </c>
      <c r="O23" s="17">
        <v>21135163.655090332</v>
      </c>
      <c r="P23" s="17">
        <f t="shared" si="0"/>
        <v>283751758.72844625</v>
      </c>
    </row>
    <row r="24" spans="2:18" x14ac:dyDescent="0.2">
      <c r="B24" s="15"/>
      <c r="C24" s="16" t="s">
        <v>21</v>
      </c>
      <c r="D24" s="17">
        <v>33773813.342985153</v>
      </c>
      <c r="E24" s="17">
        <v>27860661.301480293</v>
      </c>
      <c r="F24" s="17">
        <v>33005510.310058594</v>
      </c>
      <c r="G24" s="17">
        <v>22978422.451444626</v>
      </c>
      <c r="H24" s="17">
        <v>21241486.960802078</v>
      </c>
      <c r="I24" s="17">
        <v>20174284.991699219</v>
      </c>
      <c r="J24" s="17">
        <v>20558653.59032011</v>
      </c>
      <c r="K24" s="17">
        <v>20848675.367523193</v>
      </c>
      <c r="L24" s="17">
        <v>19185107.034582019</v>
      </c>
      <c r="M24" s="17">
        <v>21132938.436721802</v>
      </c>
      <c r="N24" s="17">
        <v>19231892.463000014</v>
      </c>
      <c r="O24" s="17">
        <v>21357844.635131836</v>
      </c>
      <c r="P24" s="17">
        <f t="shared" si="0"/>
        <v>281349290.88574892</v>
      </c>
    </row>
    <row r="25" spans="2:18" x14ac:dyDescent="0.2">
      <c r="B25" s="15"/>
      <c r="C25" s="16" t="s">
        <v>23</v>
      </c>
      <c r="D25" s="17">
        <v>33854007.393554688</v>
      </c>
      <c r="E25" s="17">
        <v>27997562.373779297</v>
      </c>
      <c r="F25" s="17">
        <v>32563706.519403458</v>
      </c>
      <c r="G25" s="17">
        <v>23020060.761103511</v>
      </c>
      <c r="H25" s="17">
        <v>21637487.499237061</v>
      </c>
      <c r="I25" s="17">
        <v>20068552.361572266</v>
      </c>
      <c r="J25" s="17">
        <v>20839170.700160742</v>
      </c>
      <c r="K25" s="17">
        <v>20513905.42838335</v>
      </c>
      <c r="L25" s="17">
        <v>20479367.708656073</v>
      </c>
      <c r="M25" s="17">
        <v>21222863.506393433</v>
      </c>
      <c r="N25" s="17">
        <v>20370220.059000004</v>
      </c>
      <c r="O25" s="17">
        <v>19857423.918951645</v>
      </c>
      <c r="P25" s="17">
        <f t="shared" si="0"/>
        <v>282424328.23019552</v>
      </c>
    </row>
    <row r="26" spans="2:18" ht="15" x14ac:dyDescent="0.25">
      <c r="B26" s="12" t="s">
        <v>27</v>
      </c>
      <c r="C26" s="13"/>
      <c r="D26" s="14">
        <v>6134903.3901731968</v>
      </c>
      <c r="E26" s="14">
        <v>0</v>
      </c>
      <c r="F26" s="14">
        <v>0</v>
      </c>
      <c r="G26" s="14">
        <v>277540.16765144467</v>
      </c>
      <c r="H26" s="14">
        <v>6292888.9191689491</v>
      </c>
      <c r="I26" s="14">
        <v>6237247.8206787109</v>
      </c>
      <c r="J26" s="14">
        <v>6335958.4649658203</v>
      </c>
      <c r="K26" s="14">
        <v>6410784.3011474609</v>
      </c>
      <c r="L26" s="14">
        <v>6103524.1913171709</v>
      </c>
      <c r="M26" s="14">
        <v>6266862.0017089844</v>
      </c>
      <c r="N26" s="14">
        <v>5965009.3729999997</v>
      </c>
      <c r="O26" s="14">
        <v>6375738.0483398438</v>
      </c>
      <c r="P26" s="14">
        <f t="shared" si="0"/>
        <v>56400456.678151578</v>
      </c>
    </row>
    <row r="27" spans="2:18" x14ac:dyDescent="0.2">
      <c r="B27" s="15"/>
      <c r="C27" s="16" t="s">
        <v>20</v>
      </c>
      <c r="D27" s="17">
        <v>6134903.3901731968</v>
      </c>
      <c r="E27" s="17">
        <v>0</v>
      </c>
      <c r="F27" s="17">
        <v>0</v>
      </c>
      <c r="G27" s="17">
        <v>277540.16765144467</v>
      </c>
      <c r="H27" s="17">
        <v>6292888.9191689491</v>
      </c>
      <c r="I27" s="17">
        <v>6237247.8206787109</v>
      </c>
      <c r="J27" s="17">
        <v>6335958.4649658203</v>
      </c>
      <c r="K27" s="17">
        <v>6410784.3011474609</v>
      </c>
      <c r="L27" s="17">
        <v>6103524.1913171709</v>
      </c>
      <c r="M27" s="17">
        <v>6266862.0017089844</v>
      </c>
      <c r="N27" s="17">
        <v>5965009.3729999997</v>
      </c>
      <c r="O27" s="17">
        <v>6375738.0483398438</v>
      </c>
      <c r="P27" s="17">
        <f t="shared" si="0"/>
        <v>56400456.678151578</v>
      </c>
      <c r="R27" s="18"/>
    </row>
    <row r="28" spans="2:18" ht="15" x14ac:dyDescent="0.25">
      <c r="B28" s="19" t="s">
        <v>28</v>
      </c>
      <c r="C28" s="20"/>
      <c r="D28" s="11">
        <v>11458003.104204044</v>
      </c>
      <c r="E28" s="11">
        <v>2204049.259191067</v>
      </c>
      <c r="F28" s="11">
        <v>20012697.499183353</v>
      </c>
      <c r="G28" s="11">
        <v>7087184.679735139</v>
      </c>
      <c r="H28" s="11">
        <v>25076840.611229502</v>
      </c>
      <c r="I28" s="11">
        <v>41886163.380640633</v>
      </c>
      <c r="J28" s="11">
        <v>49039463.720377646</v>
      </c>
      <c r="K28" s="11">
        <v>47233956.35718783</v>
      </c>
      <c r="L28" s="11">
        <v>46226831.777340397</v>
      </c>
      <c r="M28" s="11">
        <v>37097566.853790507</v>
      </c>
      <c r="N28" s="11">
        <v>23457204.145999961</v>
      </c>
      <c r="O28" s="11">
        <v>30214614.063106664</v>
      </c>
      <c r="P28" s="11">
        <f t="shared" si="0"/>
        <v>340994575.45198679</v>
      </c>
    </row>
    <row r="29" spans="2:18" ht="15" x14ac:dyDescent="0.25">
      <c r="B29" s="12" t="s">
        <v>29</v>
      </c>
      <c r="C29" s="13"/>
      <c r="D29" s="14">
        <v>2416057.8726214021</v>
      </c>
      <c r="E29" s="14">
        <v>2154873.3869223902</v>
      </c>
      <c r="F29" s="14">
        <v>1246764.4311748738</v>
      </c>
      <c r="G29" s="14">
        <v>285999.87556262314</v>
      </c>
      <c r="H29" s="14">
        <v>325260.38566611893</v>
      </c>
      <c r="I29" s="14">
        <v>123338.37149617262</v>
      </c>
      <c r="J29" s="14">
        <v>1623026.4195919726</v>
      </c>
      <c r="K29" s="14">
        <v>839725.14437803067</v>
      </c>
      <c r="L29" s="14">
        <v>465467.43006214756</v>
      </c>
      <c r="M29" s="14">
        <v>0</v>
      </c>
      <c r="N29" s="14">
        <v>128492.45799999998</v>
      </c>
      <c r="O29" s="14">
        <v>2007911.3281607337</v>
      </c>
      <c r="P29" s="14">
        <f t="shared" si="0"/>
        <v>11616917.103636464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91.701091766357422</v>
      </c>
      <c r="H31" s="17">
        <v>3677.8058967590332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f t="shared" si="0"/>
        <v>3769.5069885253906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7382.4370574951172</v>
      </c>
      <c r="G32" s="17">
        <v>0</v>
      </c>
      <c r="H32" s="17">
        <v>1255.5281445924193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8637.9652020875365</v>
      </c>
    </row>
    <row r="33" spans="2:16" x14ac:dyDescent="0.2">
      <c r="B33" s="15"/>
      <c r="C33" s="16" t="s">
        <v>33</v>
      </c>
      <c r="D33" s="17">
        <v>122988.93451404572</v>
      </c>
      <c r="E33" s="17">
        <v>613061.70518746972</v>
      </c>
      <c r="F33" s="17">
        <v>5635.9012756347656</v>
      </c>
      <c r="G33" s="17">
        <v>0</v>
      </c>
      <c r="H33" s="17">
        <v>127882.87040179968</v>
      </c>
      <c r="I33" s="17">
        <v>0</v>
      </c>
      <c r="J33" s="17">
        <v>287838.12625766732</v>
      </c>
      <c r="K33" s="17">
        <v>54240.598640441895</v>
      </c>
      <c r="L33" s="17">
        <v>0</v>
      </c>
      <c r="M33" s="17">
        <v>0</v>
      </c>
      <c r="N33" s="17">
        <v>78377.298999999999</v>
      </c>
      <c r="O33" s="17">
        <v>15446.125213623047</v>
      </c>
      <c r="P33" s="17">
        <f t="shared" si="0"/>
        <v>1305471.5604906823</v>
      </c>
    </row>
    <row r="34" spans="2:16" x14ac:dyDescent="0.2">
      <c r="B34" s="15"/>
      <c r="C34" s="16" t="s">
        <v>34</v>
      </c>
      <c r="D34" s="17">
        <v>1195412.9639152884</v>
      </c>
      <c r="E34" s="17">
        <v>691256.2121171141</v>
      </c>
      <c r="F34" s="17">
        <v>621501.70821826207</v>
      </c>
      <c r="G34" s="17">
        <v>160248.50375322625</v>
      </c>
      <c r="H34" s="17">
        <v>97398.846027426422</v>
      </c>
      <c r="I34" s="17">
        <v>63288.994593912736</v>
      </c>
      <c r="J34" s="17">
        <v>733417.17090511322</v>
      </c>
      <c r="K34" s="17">
        <v>510838.89984592237</v>
      </c>
      <c r="L34" s="17">
        <v>230968.5302418198</v>
      </c>
      <c r="M34" s="17">
        <v>0</v>
      </c>
      <c r="N34" s="17">
        <v>3335.817</v>
      </c>
      <c r="O34" s="17">
        <v>984478.12452968955</v>
      </c>
      <c r="P34" s="17">
        <f t="shared" si="0"/>
        <v>5292145.7711477745</v>
      </c>
    </row>
    <row r="35" spans="2:16" x14ac:dyDescent="0.2">
      <c r="B35" s="15"/>
      <c r="C35" s="16" t="s">
        <v>35</v>
      </c>
      <c r="D35" s="17">
        <v>1097655.974192068</v>
      </c>
      <c r="E35" s="17">
        <v>850555.46961780638</v>
      </c>
      <c r="F35" s="17">
        <v>612244.38462348189</v>
      </c>
      <c r="G35" s="17">
        <v>125659.67071763054</v>
      </c>
      <c r="H35" s="17">
        <v>95045.335195541382</v>
      </c>
      <c r="I35" s="17">
        <v>60049.376902259886</v>
      </c>
      <c r="J35" s="17">
        <v>601771.12242919207</v>
      </c>
      <c r="K35" s="17">
        <v>274645.64589166641</v>
      </c>
      <c r="L35" s="17">
        <v>234498.89982032776</v>
      </c>
      <c r="M35" s="17">
        <v>0</v>
      </c>
      <c r="N35" s="17">
        <v>46779.34199999999</v>
      </c>
      <c r="O35" s="17">
        <v>1007987.0784174211</v>
      </c>
      <c r="P35" s="17">
        <f t="shared" si="0"/>
        <v>5006892.2998073958</v>
      </c>
    </row>
    <row r="36" spans="2:16" ht="15" x14ac:dyDescent="0.25">
      <c r="B36" s="12" t="s">
        <v>36</v>
      </c>
      <c r="C36" s="13"/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23604.629522204399</v>
      </c>
      <c r="J36" s="14">
        <v>0</v>
      </c>
      <c r="K36" s="14">
        <v>0</v>
      </c>
      <c r="L36" s="14">
        <v>0</v>
      </c>
      <c r="M36" s="14">
        <v>0</v>
      </c>
      <c r="N36" s="14">
        <v>153958.886</v>
      </c>
      <c r="O36" s="14">
        <v>534510.56520934915</v>
      </c>
      <c r="P36" s="14">
        <f t="shared" si="0"/>
        <v>712074.08073155349</v>
      </c>
    </row>
    <row r="37" spans="2:16" x14ac:dyDescent="0.2">
      <c r="B37" s="15"/>
      <c r="C37" s="16" t="s">
        <v>37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20341.299000000003</v>
      </c>
      <c r="O37" s="17">
        <v>57448.829935316462</v>
      </c>
      <c r="P37" s="17">
        <f t="shared" si="0"/>
        <v>77790.128935316461</v>
      </c>
    </row>
    <row r="38" spans="2:16" x14ac:dyDescent="0.2">
      <c r="B38" s="15"/>
      <c r="C38" s="16" t="s">
        <v>38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23604.629522204399</v>
      </c>
      <c r="J38" s="17">
        <v>0</v>
      </c>
      <c r="K38" s="17">
        <v>0</v>
      </c>
      <c r="L38" s="17">
        <v>0</v>
      </c>
      <c r="M38" s="17">
        <v>0</v>
      </c>
      <c r="N38" s="17">
        <v>67772.762000000002</v>
      </c>
      <c r="O38" s="17">
        <v>604.49931402597576</v>
      </c>
      <c r="P38" s="17">
        <f t="shared" si="0"/>
        <v>91981.890836230377</v>
      </c>
    </row>
    <row r="39" spans="2:16" x14ac:dyDescent="0.2">
      <c r="B39" s="15"/>
      <c r="C39" s="16" t="s">
        <v>39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65844.825000000012</v>
      </c>
      <c r="O39" s="17">
        <v>476457.23596000671</v>
      </c>
      <c r="P39" s="17">
        <f t="shared" si="0"/>
        <v>542302.06096000667</v>
      </c>
    </row>
    <row r="40" spans="2:16" ht="15" x14ac:dyDescent="0.25">
      <c r="B40" s="12" t="s">
        <v>40</v>
      </c>
      <c r="C40" s="13"/>
      <c r="D40" s="17">
        <v>9041945.2315826416</v>
      </c>
      <c r="E40" s="17">
        <v>49175.872268676758</v>
      </c>
      <c r="F40" s="17">
        <v>18765933.068008479</v>
      </c>
      <c r="G40" s="17">
        <v>6801184.8041725159</v>
      </c>
      <c r="H40" s="17">
        <v>24751580.225563381</v>
      </c>
      <c r="I40" s="17">
        <v>41739220.379622258</v>
      </c>
      <c r="J40" s="17">
        <v>47416437.300785676</v>
      </c>
      <c r="K40" s="17">
        <v>46394231.212809801</v>
      </c>
      <c r="L40" s="17">
        <v>45761364.347278252</v>
      </c>
      <c r="M40" s="17">
        <v>37097566.853790507</v>
      </c>
      <c r="N40" s="17">
        <v>23174752.80199996</v>
      </c>
      <c r="O40" s="17">
        <v>27672192.169736583</v>
      </c>
      <c r="P40" s="17">
        <f t="shared" si="0"/>
        <v>328665584.26761872</v>
      </c>
    </row>
    <row r="41" spans="2:16" x14ac:dyDescent="0.2">
      <c r="B41" s="15"/>
      <c r="C41" s="16" t="s">
        <v>41</v>
      </c>
      <c r="D41" s="17">
        <v>0</v>
      </c>
      <c r="E41" s="17">
        <v>0</v>
      </c>
      <c r="F41" s="17">
        <v>5902759.1590950703</v>
      </c>
      <c r="G41" s="17">
        <v>0</v>
      </c>
      <c r="H41" s="17">
        <v>1016706.3522609221</v>
      </c>
      <c r="I41" s="17">
        <v>19237250.892943181</v>
      </c>
      <c r="J41" s="17">
        <v>22821558.258305207</v>
      </c>
      <c r="K41" s="17">
        <v>22561115.532511946</v>
      </c>
      <c r="L41" s="17">
        <v>23403071.672359124</v>
      </c>
      <c r="M41" s="17">
        <v>12046232.067146529</v>
      </c>
      <c r="N41" s="17">
        <v>0</v>
      </c>
      <c r="O41" s="17">
        <v>3453286.1742837019</v>
      </c>
      <c r="P41" s="17">
        <f t="shared" ref="P41:P43" si="1">SUM(D41:O41)</f>
        <v>110441980.10890567</v>
      </c>
    </row>
    <row r="42" spans="2:16" x14ac:dyDescent="0.2">
      <c r="B42" s="15"/>
      <c r="C42" s="16" t="s">
        <v>42</v>
      </c>
      <c r="D42" s="17">
        <v>9041945.2315826416</v>
      </c>
      <c r="E42" s="17">
        <v>49175.872268676758</v>
      </c>
      <c r="F42" s="17">
        <v>12863173.908913407</v>
      </c>
      <c r="G42" s="17">
        <v>6801184.8041725159</v>
      </c>
      <c r="H42" s="17">
        <v>23734873.87330246</v>
      </c>
      <c r="I42" s="17">
        <v>22501969.486679077</v>
      </c>
      <c r="J42" s="17">
        <v>24594879.042480469</v>
      </c>
      <c r="K42" s="17">
        <v>23833115.680297852</v>
      </c>
      <c r="L42" s="17">
        <v>22358292.674919128</v>
      </c>
      <c r="M42" s="17">
        <v>25051334.786643982</v>
      </c>
      <c r="N42" s="17">
        <v>23174752.80199996</v>
      </c>
      <c r="O42" s="17">
        <v>24218905.995452881</v>
      </c>
      <c r="P42" s="17">
        <f t="shared" si="1"/>
        <v>218223604.15871304</v>
      </c>
    </row>
    <row r="43" spans="2:16" ht="15" x14ac:dyDescent="0.25">
      <c r="B43" s="19" t="s">
        <v>43</v>
      </c>
      <c r="C43" s="20"/>
      <c r="D43" s="11">
        <v>135057541.37209362</v>
      </c>
      <c r="E43" s="11">
        <v>99672314.545099705</v>
      </c>
      <c r="F43" s="11">
        <v>134369026.27811891</v>
      </c>
      <c r="G43" s="11">
        <v>92020900.442265496</v>
      </c>
      <c r="H43" s="11">
        <v>110861800.2717296</v>
      </c>
      <c r="I43" s="11">
        <v>120714758.67339434</v>
      </c>
      <c r="J43" s="11">
        <v>131158133.6384235</v>
      </c>
      <c r="K43" s="11">
        <v>130000575.18965359</v>
      </c>
      <c r="L43" s="11">
        <v>127681781.2463977</v>
      </c>
      <c r="M43" s="11">
        <v>120692432.05450894</v>
      </c>
      <c r="N43" s="11">
        <v>104408446.58099999</v>
      </c>
      <c r="O43" s="11">
        <v>114115870.8931413</v>
      </c>
      <c r="P43" s="11">
        <f t="shared" si="1"/>
        <v>1420753581.1858268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5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47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92631848.461545944</v>
      </c>
      <c r="E7" s="11">
        <v>71532012.933307797</v>
      </c>
      <c r="F7" s="11">
        <v>70093933.52818495</v>
      </c>
      <c r="G7" s="11">
        <v>54607170.217133537</v>
      </c>
      <c r="H7" s="11">
        <v>55673617.960208409</v>
      </c>
      <c r="I7" s="11">
        <v>54040870.846611246</v>
      </c>
      <c r="J7" s="11">
        <v>55901160.185275704</v>
      </c>
      <c r="K7" s="11">
        <v>55924092.933752567</v>
      </c>
      <c r="L7" s="11">
        <v>59835494.108321503</v>
      </c>
      <c r="M7" s="11">
        <v>65915473.222857177</v>
      </c>
      <c r="N7" s="11">
        <v>59271143.301695123</v>
      </c>
      <c r="O7" s="11">
        <v>60887856.388065815</v>
      </c>
      <c r="P7" s="11">
        <f t="shared" ref="P7:P40" si="0">SUM(D7:O7)</f>
        <v>756314674.08695984</v>
      </c>
    </row>
    <row r="8" spans="1:16" ht="15" x14ac:dyDescent="0.25">
      <c r="B8" s="12" t="s">
        <v>19</v>
      </c>
      <c r="C8" s="13"/>
      <c r="D8" s="14">
        <v>1202439.542523697</v>
      </c>
      <c r="E8" s="14">
        <v>855381.73131141067</v>
      </c>
      <c r="F8" s="14">
        <v>1170885.0866508484</v>
      </c>
      <c r="G8" s="14">
        <v>1072878.7287120819</v>
      </c>
      <c r="H8" s="14">
        <v>1098301.8227392435</v>
      </c>
      <c r="I8" s="14">
        <v>1098975.2484359741</v>
      </c>
      <c r="J8" s="14">
        <v>1136091.8640470505</v>
      </c>
      <c r="K8" s="14">
        <v>1118899.4636154175</v>
      </c>
      <c r="L8" s="14">
        <v>1156196.3292431831</v>
      </c>
      <c r="M8" s="14">
        <v>1238150.4579725266</v>
      </c>
      <c r="N8" s="14">
        <v>1128685.9249272346</v>
      </c>
      <c r="O8" s="14">
        <v>1127424.9932289124</v>
      </c>
      <c r="P8" s="14">
        <f t="shared" si="0"/>
        <v>13404311.19340758</v>
      </c>
    </row>
    <row r="9" spans="1:16" x14ac:dyDescent="0.2">
      <c r="B9" s="15"/>
      <c r="C9" s="16" t="s">
        <v>20</v>
      </c>
      <c r="D9" s="17">
        <v>606443.35349857807</v>
      </c>
      <c r="E9" s="17">
        <v>439297.71215820313</v>
      </c>
      <c r="F9" s="17">
        <v>596836.82357406616</v>
      </c>
      <c r="G9" s="17">
        <v>537756.09941482544</v>
      </c>
      <c r="H9" s="17">
        <v>546853.9015032053</v>
      </c>
      <c r="I9" s="17">
        <v>549241.84048461914</v>
      </c>
      <c r="J9" s="17">
        <v>572881.11633396149</v>
      </c>
      <c r="K9" s="17">
        <v>557772.91766738892</v>
      </c>
      <c r="L9" s="17">
        <v>584714.81662416458</v>
      </c>
      <c r="M9" s="17">
        <v>623036.46732616425</v>
      </c>
      <c r="N9" s="17">
        <v>573265.57669067383</v>
      </c>
      <c r="O9" s="17">
        <v>565670.85903739929</v>
      </c>
      <c r="P9" s="17">
        <f t="shared" si="0"/>
        <v>6753771.4843132496</v>
      </c>
    </row>
    <row r="10" spans="1:16" x14ac:dyDescent="0.2">
      <c r="B10" s="15"/>
      <c r="C10" s="16" t="s">
        <v>21</v>
      </c>
      <c r="D10" s="17">
        <v>595996.18902511895</v>
      </c>
      <c r="E10" s="17">
        <v>416084.01915320754</v>
      </c>
      <c r="F10" s="17">
        <v>574048.26307678223</v>
      </c>
      <c r="G10" s="17">
        <v>535122.62929725647</v>
      </c>
      <c r="H10" s="17">
        <v>551447.92123603821</v>
      </c>
      <c r="I10" s="17">
        <v>549733.40795135498</v>
      </c>
      <c r="J10" s="17">
        <v>563210.74771308899</v>
      </c>
      <c r="K10" s="17">
        <v>561126.54594802856</v>
      </c>
      <c r="L10" s="17">
        <v>571481.51261901855</v>
      </c>
      <c r="M10" s="17">
        <v>615113.9906463623</v>
      </c>
      <c r="N10" s="17">
        <v>555420.34823656082</v>
      </c>
      <c r="O10" s="17">
        <v>561754.13419151306</v>
      </c>
      <c r="P10" s="17">
        <f t="shared" si="0"/>
        <v>6650539.7090943307</v>
      </c>
    </row>
    <row r="11" spans="1:16" ht="15" x14ac:dyDescent="0.25">
      <c r="B11" s="12" t="s">
        <v>22</v>
      </c>
      <c r="C11" s="13"/>
      <c r="D11" s="14">
        <v>314856.9448276909</v>
      </c>
      <c r="E11" s="14">
        <v>211939.37978363037</v>
      </c>
      <c r="F11" s="14">
        <v>270987.56473209336</v>
      </c>
      <c r="G11" s="14">
        <v>384683.6708867345</v>
      </c>
      <c r="H11" s="14">
        <v>415220.17287676781</v>
      </c>
      <c r="I11" s="14">
        <v>414030.66466808319</v>
      </c>
      <c r="J11" s="14">
        <v>420118.72315144539</v>
      </c>
      <c r="K11" s="14">
        <v>430712.52576946467</v>
      </c>
      <c r="L11" s="14">
        <v>412004.08292138577</v>
      </c>
      <c r="M11" s="14">
        <v>422765.16068649292</v>
      </c>
      <c r="N11" s="14">
        <v>401939.0949806273</v>
      </c>
      <c r="O11" s="14">
        <v>428453.77724468708</v>
      </c>
      <c r="P11" s="14">
        <f t="shared" si="0"/>
        <v>4527711.7625291031</v>
      </c>
    </row>
    <row r="12" spans="1:16" x14ac:dyDescent="0.2">
      <c r="B12" s="15"/>
      <c r="C12" s="16" t="s">
        <v>20</v>
      </c>
      <c r="D12" s="17">
        <v>137545.45751476288</v>
      </c>
      <c r="E12" s="17">
        <v>103800.53544998169</v>
      </c>
      <c r="F12" s="17">
        <v>129980.08619410917</v>
      </c>
      <c r="G12" s="17">
        <v>130652.97190952301</v>
      </c>
      <c r="H12" s="17">
        <v>133459.97637164593</v>
      </c>
      <c r="I12" s="17">
        <v>131722.94932174683</v>
      </c>
      <c r="J12" s="17">
        <v>135138.9137468338</v>
      </c>
      <c r="K12" s="17">
        <v>136204.17984174937</v>
      </c>
      <c r="L12" s="17">
        <v>132084.35211324692</v>
      </c>
      <c r="M12" s="17">
        <v>134120.18033981323</v>
      </c>
      <c r="N12" s="17">
        <v>127599.21368980408</v>
      </c>
      <c r="O12" s="17">
        <v>136267.70378506184</v>
      </c>
      <c r="P12" s="17">
        <f t="shared" si="0"/>
        <v>1568576.5202782787</v>
      </c>
    </row>
    <row r="13" spans="1:16" x14ac:dyDescent="0.2">
      <c r="B13" s="15"/>
      <c r="C13" s="16" t="s">
        <v>21</v>
      </c>
      <c r="D13" s="17">
        <v>31060.149156540632</v>
      </c>
      <c r="E13" s="17">
        <v>0</v>
      </c>
      <c r="F13" s="17">
        <v>101975.42566246539</v>
      </c>
      <c r="G13" s="17">
        <v>134156.67088699341</v>
      </c>
      <c r="H13" s="17">
        <v>137342.28455924988</v>
      </c>
      <c r="I13" s="17">
        <v>136200.85188770294</v>
      </c>
      <c r="J13" s="17">
        <v>136475.70395874977</v>
      </c>
      <c r="K13" s="17">
        <v>143964.68094873428</v>
      </c>
      <c r="L13" s="17">
        <v>136861.03816580772</v>
      </c>
      <c r="M13" s="17">
        <v>140534.52695846558</v>
      </c>
      <c r="N13" s="17">
        <v>133548.09128296375</v>
      </c>
      <c r="O13" s="17">
        <v>141943.46448707581</v>
      </c>
      <c r="P13" s="17">
        <f t="shared" si="0"/>
        <v>1374062.8879547492</v>
      </c>
    </row>
    <row r="14" spans="1:16" x14ac:dyDescent="0.2">
      <c r="B14" s="15"/>
      <c r="C14" s="16" t="s">
        <v>23</v>
      </c>
      <c r="D14" s="17">
        <v>146251.33815638738</v>
      </c>
      <c r="E14" s="17">
        <v>108138.84433364868</v>
      </c>
      <c r="F14" s="17">
        <v>39032.052875518799</v>
      </c>
      <c r="G14" s="17">
        <v>119874.02809021808</v>
      </c>
      <c r="H14" s="17">
        <v>144417.91194587201</v>
      </c>
      <c r="I14" s="17">
        <v>146106.86345863342</v>
      </c>
      <c r="J14" s="17">
        <v>148504.10544586182</v>
      </c>
      <c r="K14" s="17">
        <v>150543.66497898102</v>
      </c>
      <c r="L14" s="17">
        <v>143058.69264233112</v>
      </c>
      <c r="M14" s="17">
        <v>148110.45338821411</v>
      </c>
      <c r="N14" s="17">
        <v>140791.79000785947</v>
      </c>
      <c r="O14" s="17">
        <v>150242.60897254944</v>
      </c>
      <c r="P14" s="17">
        <f t="shared" si="0"/>
        <v>1585072.3542960754</v>
      </c>
    </row>
    <row r="15" spans="1:16" ht="15" x14ac:dyDescent="0.25">
      <c r="B15" s="12" t="s">
        <v>24</v>
      </c>
      <c r="C15" s="13"/>
      <c r="D15" s="14">
        <v>592667.23664430855</v>
      </c>
      <c r="E15" s="14">
        <v>0</v>
      </c>
      <c r="F15" s="14">
        <v>2614602.2965493798</v>
      </c>
      <c r="G15" s="14">
        <v>3117298.5693740845</v>
      </c>
      <c r="H15" s="14">
        <v>3234266.5771999359</v>
      </c>
      <c r="I15" s="14">
        <v>3145722.0567257404</v>
      </c>
      <c r="J15" s="14">
        <v>3290452.4898508643</v>
      </c>
      <c r="K15" s="14">
        <v>3268291.5901706219</v>
      </c>
      <c r="L15" s="14">
        <v>3312988.689704895</v>
      </c>
      <c r="M15" s="14">
        <v>1721286.3049468994</v>
      </c>
      <c r="N15" s="14">
        <v>2821738.9138575196</v>
      </c>
      <c r="O15" s="14">
        <v>3406544.4654464722</v>
      </c>
      <c r="P15" s="14">
        <f t="shared" si="0"/>
        <v>30525859.190470722</v>
      </c>
    </row>
    <row r="16" spans="1:16" x14ac:dyDescent="0.2">
      <c r="B16" s="15"/>
      <c r="C16" s="16" t="s">
        <v>20</v>
      </c>
      <c r="D16" s="17">
        <v>275281.58449407161</v>
      </c>
      <c r="E16" s="17">
        <v>0</v>
      </c>
      <c r="F16" s="17">
        <v>1362939.7853134871</v>
      </c>
      <c r="G16" s="17">
        <v>1509963.460609436</v>
      </c>
      <c r="H16" s="17">
        <v>1601011.7786102295</v>
      </c>
      <c r="I16" s="17">
        <v>1568318.0539093018</v>
      </c>
      <c r="J16" s="17">
        <v>1638277.0009461497</v>
      </c>
      <c r="K16" s="17">
        <v>1633677.0087535381</v>
      </c>
      <c r="L16" s="17">
        <v>1663614.4300537109</v>
      </c>
      <c r="M16" s="17">
        <v>1707296.9424285889</v>
      </c>
      <c r="N16" s="17">
        <v>1630761.2542285919</v>
      </c>
      <c r="O16" s="17">
        <v>1706301.8120651245</v>
      </c>
      <c r="P16" s="17">
        <f t="shared" si="0"/>
        <v>16297443.111412229</v>
      </c>
    </row>
    <row r="17" spans="2:18" x14ac:dyDescent="0.2">
      <c r="B17" s="15"/>
      <c r="C17" s="16" t="s">
        <v>21</v>
      </c>
      <c r="D17" s="17">
        <v>317385.652150237</v>
      </c>
      <c r="E17" s="17">
        <v>0</v>
      </c>
      <c r="F17" s="17">
        <v>1251662.5112358928</v>
      </c>
      <c r="G17" s="17">
        <v>1607335.1087646484</v>
      </c>
      <c r="H17" s="17">
        <v>1633254.7985897064</v>
      </c>
      <c r="I17" s="17">
        <v>1577404.0028164387</v>
      </c>
      <c r="J17" s="17">
        <v>1652175.4889047146</v>
      </c>
      <c r="K17" s="17">
        <v>1634614.5814170837</v>
      </c>
      <c r="L17" s="17">
        <v>1649374.2596511841</v>
      </c>
      <c r="M17" s="17">
        <v>13989.362518310547</v>
      </c>
      <c r="N17" s="17">
        <v>1190977.6596289277</v>
      </c>
      <c r="O17" s="17">
        <v>1700242.6533813477</v>
      </c>
      <c r="P17" s="17">
        <f t="shared" si="0"/>
        <v>14228416.079058491</v>
      </c>
    </row>
    <row r="18" spans="2:18" ht="15" x14ac:dyDescent="0.25">
      <c r="B18" s="12" t="s">
        <v>25</v>
      </c>
      <c r="C18" s="13"/>
      <c r="D18" s="14">
        <v>10832836.949598312</v>
      </c>
      <c r="E18" s="14">
        <v>9117991.034734793</v>
      </c>
      <c r="F18" s="14">
        <v>9053032.0555715114</v>
      </c>
      <c r="G18" s="14">
        <v>6842683.3419986889</v>
      </c>
      <c r="H18" s="14">
        <v>6931926.872235598</v>
      </c>
      <c r="I18" s="14">
        <v>6680622.9401564486</v>
      </c>
      <c r="J18" s="14">
        <v>6949415.7806999162</v>
      </c>
      <c r="K18" s="14">
        <v>6968049.4013275094</v>
      </c>
      <c r="L18" s="14">
        <v>7432780.2034501005</v>
      </c>
      <c r="M18" s="14">
        <v>8509322.7116569392</v>
      </c>
      <c r="N18" s="14">
        <v>7445834.4647333138</v>
      </c>
      <c r="O18" s="14">
        <v>7258203.2459441461</v>
      </c>
      <c r="P18" s="14">
        <f t="shared" si="0"/>
        <v>94022699.002107278</v>
      </c>
    </row>
    <row r="19" spans="2:18" x14ac:dyDescent="0.2">
      <c r="B19" s="15"/>
      <c r="C19" s="16" t="s">
        <v>20</v>
      </c>
      <c r="D19" s="17">
        <v>3500963.0205783844</v>
      </c>
      <c r="E19" s="17">
        <v>2975497.8934384063</v>
      </c>
      <c r="F19" s="17">
        <v>2782921.3196820766</v>
      </c>
      <c r="G19" s="17">
        <v>981282.7511402294</v>
      </c>
      <c r="H19" s="17">
        <v>1152939.8657429796</v>
      </c>
      <c r="I19" s="17">
        <v>772841.09829853894</v>
      </c>
      <c r="J19" s="17">
        <v>1004956.3248967603</v>
      </c>
      <c r="K19" s="17">
        <v>1025399.9115432687</v>
      </c>
      <c r="L19" s="17">
        <v>1502497.2910202914</v>
      </c>
      <c r="M19" s="17">
        <v>2187236.0826896541</v>
      </c>
      <c r="N19" s="17">
        <v>1527936.2975205854</v>
      </c>
      <c r="O19" s="17">
        <v>1520244.734256756</v>
      </c>
      <c r="P19" s="17">
        <f t="shared" si="0"/>
        <v>20934716.59080793</v>
      </c>
    </row>
    <row r="20" spans="2:18" x14ac:dyDescent="0.2">
      <c r="B20" s="15"/>
      <c r="C20" s="16" t="s">
        <v>21</v>
      </c>
      <c r="D20" s="17">
        <v>3582427.1427345276</v>
      </c>
      <c r="E20" s="17">
        <v>3044934.7207565308</v>
      </c>
      <c r="F20" s="17">
        <v>3069507.3708686829</v>
      </c>
      <c r="G20" s="17">
        <v>2904091.689704895</v>
      </c>
      <c r="H20" s="17">
        <v>2953869.2596427761</v>
      </c>
      <c r="I20" s="17">
        <v>2907048.3386230469</v>
      </c>
      <c r="J20" s="17">
        <v>2912052.1920092106</v>
      </c>
      <c r="K20" s="17">
        <v>3044115.2914581299</v>
      </c>
      <c r="L20" s="17">
        <v>2923787.6476593018</v>
      </c>
      <c r="M20" s="17">
        <v>3135800.9895935059</v>
      </c>
      <c r="N20" s="17">
        <v>2930934.2073776759</v>
      </c>
      <c r="O20" s="17">
        <v>2835850.7079831213</v>
      </c>
      <c r="P20" s="17">
        <f t="shared" si="0"/>
        <v>36244419.558411404</v>
      </c>
    </row>
    <row r="21" spans="2:18" x14ac:dyDescent="0.2">
      <c r="B21" s="15"/>
      <c r="C21" s="16" t="s">
        <v>23</v>
      </c>
      <c r="D21" s="17">
        <v>3749446.7862854004</v>
      </c>
      <c r="E21" s="17">
        <v>3097558.420539856</v>
      </c>
      <c r="F21" s="17">
        <v>3200603.365020752</v>
      </c>
      <c r="G21" s="17">
        <v>2957308.9011535645</v>
      </c>
      <c r="H21" s="17">
        <v>2825117.7468498424</v>
      </c>
      <c r="I21" s="17">
        <v>3000733.5032348633</v>
      </c>
      <c r="J21" s="17">
        <v>3032407.2637939453</v>
      </c>
      <c r="K21" s="17">
        <v>2898534.1983261108</v>
      </c>
      <c r="L21" s="17">
        <v>3006495.2647705078</v>
      </c>
      <c r="M21" s="17">
        <v>3186285.6393737793</v>
      </c>
      <c r="N21" s="17">
        <v>2986963.9598350525</v>
      </c>
      <c r="O21" s="17">
        <v>2902107.8037042692</v>
      </c>
      <c r="P21" s="17">
        <f t="shared" si="0"/>
        <v>36843562.852887943</v>
      </c>
    </row>
    <row r="22" spans="2:18" ht="15" x14ac:dyDescent="0.25">
      <c r="B22" s="12" t="s">
        <v>26</v>
      </c>
      <c r="C22" s="13"/>
      <c r="D22" s="14">
        <v>73420964.345028162</v>
      </c>
      <c r="E22" s="14">
        <v>56051017.947196007</v>
      </c>
      <c r="F22" s="14">
        <v>51700840.038154632</v>
      </c>
      <c r="G22" s="14">
        <v>39362046.041574642</v>
      </c>
      <c r="H22" s="14">
        <v>40075815.941084832</v>
      </c>
      <c r="I22" s="14">
        <v>38784629.492655277</v>
      </c>
      <c r="J22" s="14">
        <v>40053897.021602973</v>
      </c>
      <c r="K22" s="14">
        <v>40064423.216898933</v>
      </c>
      <c r="L22" s="14">
        <v>43107161.328819811</v>
      </c>
      <c r="M22" s="14">
        <v>48976048.447533891</v>
      </c>
      <c r="N22" s="14">
        <v>43087975.386658192</v>
      </c>
      <c r="O22" s="14">
        <v>44312255.418927431</v>
      </c>
      <c r="P22" s="14">
        <f t="shared" si="0"/>
        <v>558997074.62613475</v>
      </c>
    </row>
    <row r="23" spans="2:18" x14ac:dyDescent="0.2">
      <c r="B23" s="15"/>
      <c r="C23" s="16" t="s">
        <v>20</v>
      </c>
      <c r="D23" s="17">
        <v>24684159.076904535</v>
      </c>
      <c r="E23" s="17">
        <v>2833818.4772949219</v>
      </c>
      <c r="F23" s="17">
        <v>8862668.2897873223</v>
      </c>
      <c r="G23" s="17">
        <v>13823865.442248404</v>
      </c>
      <c r="H23" s="17">
        <v>14317876.135270238</v>
      </c>
      <c r="I23" s="17">
        <v>6755535.4609218836</v>
      </c>
      <c r="J23" s="17">
        <v>14259063.459798202</v>
      </c>
      <c r="K23" s="17">
        <v>16163942.059865117</v>
      </c>
      <c r="L23" s="17">
        <v>15836604.30294466</v>
      </c>
      <c r="M23" s="17">
        <v>15485030.75649786</v>
      </c>
      <c r="N23" s="17">
        <v>18316038.599939585</v>
      </c>
      <c r="O23" s="17">
        <v>17615231.052680731</v>
      </c>
      <c r="P23" s="17">
        <f t="shared" si="0"/>
        <v>168953833.11415344</v>
      </c>
    </row>
    <row r="24" spans="2:18" x14ac:dyDescent="0.2">
      <c r="B24" s="15"/>
      <c r="C24" s="16" t="s">
        <v>21</v>
      </c>
      <c r="D24" s="17">
        <v>24231370.737819672</v>
      </c>
      <c r="E24" s="17">
        <v>26651352.04796505</v>
      </c>
      <c r="F24" s="17">
        <v>21195545.470199585</v>
      </c>
      <c r="G24" s="17">
        <v>8915308.6070166677</v>
      </c>
      <c r="H24" s="17">
        <v>9353570.9553257227</v>
      </c>
      <c r="I24" s="17">
        <v>13920655.06671989</v>
      </c>
      <c r="J24" s="17">
        <v>9792811.8994351625</v>
      </c>
      <c r="K24" s="17">
        <v>7910648.4131041914</v>
      </c>
      <c r="L24" s="17">
        <v>10481743.350300848</v>
      </c>
      <c r="M24" s="17">
        <v>14870055.1980813</v>
      </c>
      <c r="N24" s="17">
        <v>13030464.652274549</v>
      </c>
      <c r="O24" s="17">
        <v>9472772.5702395439</v>
      </c>
      <c r="P24" s="17">
        <f t="shared" si="0"/>
        <v>169826298.9684822</v>
      </c>
    </row>
    <row r="25" spans="2:18" x14ac:dyDescent="0.2">
      <c r="B25" s="15"/>
      <c r="C25" s="16" t="s">
        <v>23</v>
      </c>
      <c r="D25" s="17">
        <v>24505434.530303955</v>
      </c>
      <c r="E25" s="17">
        <v>26565847.421936035</v>
      </c>
      <c r="F25" s="17">
        <v>21642626.278167725</v>
      </c>
      <c r="G25" s="17">
        <v>16622871.99230957</v>
      </c>
      <c r="H25" s="17">
        <v>16404368.850488871</v>
      </c>
      <c r="I25" s="17">
        <v>18108438.965013504</v>
      </c>
      <c r="J25" s="17">
        <v>16002021.662369609</v>
      </c>
      <c r="K25" s="17">
        <v>15989832.743929625</v>
      </c>
      <c r="L25" s="17">
        <v>16788813.675574303</v>
      </c>
      <c r="M25" s="17">
        <v>18620962.492954731</v>
      </c>
      <c r="N25" s="17">
        <v>11741472.134444058</v>
      </c>
      <c r="O25" s="17">
        <v>17224251.796007156</v>
      </c>
      <c r="P25" s="17">
        <f t="shared" si="0"/>
        <v>220216942.54349914</v>
      </c>
    </row>
    <row r="26" spans="2:18" ht="15" x14ac:dyDescent="0.25">
      <c r="B26" s="12" t="s">
        <v>27</v>
      </c>
      <c r="C26" s="13"/>
      <c r="D26" s="14">
        <v>6268083.4429237805</v>
      </c>
      <c r="E26" s="14">
        <v>5295682.8402819633</v>
      </c>
      <c r="F26" s="14">
        <v>5283586.4865264893</v>
      </c>
      <c r="G26" s="14">
        <v>3827579.864587307</v>
      </c>
      <c r="H26" s="14">
        <v>3918086.5740720332</v>
      </c>
      <c r="I26" s="14">
        <v>3916890.4439697266</v>
      </c>
      <c r="J26" s="14">
        <v>4051184.3059234619</v>
      </c>
      <c r="K26" s="14">
        <v>4073716.7359706163</v>
      </c>
      <c r="L26" s="14">
        <v>4414363.4741821289</v>
      </c>
      <c r="M26" s="14">
        <v>5047900.1400604248</v>
      </c>
      <c r="N26" s="14">
        <v>4384969.5165382326</v>
      </c>
      <c r="O26" s="14">
        <v>4354974.4872741699</v>
      </c>
      <c r="P26" s="14">
        <f t="shared" si="0"/>
        <v>54837018.312310338</v>
      </c>
    </row>
    <row r="27" spans="2:18" x14ac:dyDescent="0.2">
      <c r="B27" s="15"/>
      <c r="C27" s="16" t="s">
        <v>20</v>
      </c>
      <c r="D27" s="17">
        <v>6268083.4429237805</v>
      </c>
      <c r="E27" s="17">
        <v>5295682.8402819633</v>
      </c>
      <c r="F27" s="17">
        <v>5283586.4865264893</v>
      </c>
      <c r="G27" s="17">
        <v>3827579.864587307</v>
      </c>
      <c r="H27" s="17">
        <v>3918086.5740720332</v>
      </c>
      <c r="I27" s="17">
        <v>3916890.4439697266</v>
      </c>
      <c r="J27" s="17">
        <v>4051184.3059234619</v>
      </c>
      <c r="K27" s="17">
        <v>4073716.7359706163</v>
      </c>
      <c r="L27" s="17">
        <v>4414363.4741821289</v>
      </c>
      <c r="M27" s="17">
        <v>5047900.1400604248</v>
      </c>
      <c r="N27" s="17">
        <v>4384969.5165382326</v>
      </c>
      <c r="O27" s="17">
        <v>4354974.4872741699</v>
      </c>
      <c r="P27" s="17">
        <f t="shared" si="0"/>
        <v>54837018.312310338</v>
      </c>
      <c r="R27" s="18"/>
    </row>
    <row r="28" spans="2:18" ht="15" x14ac:dyDescent="0.25">
      <c r="B28" s="19" t="s">
        <v>28</v>
      </c>
      <c r="C28" s="20"/>
      <c r="D28" s="11">
        <v>46982474.650194034</v>
      </c>
      <c r="E28" s="11">
        <v>40302367.984452263</v>
      </c>
      <c r="F28" s="11">
        <v>44858352.351352185</v>
      </c>
      <c r="G28" s="11">
        <v>47456837.941995338</v>
      </c>
      <c r="H28" s="11">
        <v>49669576.475937635</v>
      </c>
      <c r="I28" s="11">
        <v>48081063.812987216</v>
      </c>
      <c r="J28" s="11">
        <v>48397665.612301767</v>
      </c>
      <c r="K28" s="11">
        <v>50247124.949088261</v>
      </c>
      <c r="L28" s="11">
        <v>47568641.681655079</v>
      </c>
      <c r="M28" s="11">
        <v>48909435.55836042</v>
      </c>
      <c r="N28" s="11">
        <v>31129631.901243541</v>
      </c>
      <c r="O28" s="11">
        <v>33023140.459732544</v>
      </c>
      <c r="P28" s="11">
        <f t="shared" si="0"/>
        <v>536626313.3793003</v>
      </c>
    </row>
    <row r="29" spans="2:18" ht="15" x14ac:dyDescent="0.25">
      <c r="B29" s="12" t="s">
        <v>29</v>
      </c>
      <c r="C29" s="13"/>
      <c r="D29" s="14">
        <v>2182173.2648368394</v>
      </c>
      <c r="E29" s="14">
        <v>580210.40473568812</v>
      </c>
      <c r="F29" s="14">
        <v>680634.34021233022</v>
      </c>
      <c r="G29" s="14">
        <v>1262072.6182696929</v>
      </c>
      <c r="H29" s="14">
        <v>92115.463112831116</v>
      </c>
      <c r="I29" s="14">
        <v>214026.06127633154</v>
      </c>
      <c r="J29" s="14">
        <v>91407.325217485428</v>
      </c>
      <c r="K29" s="14">
        <v>195489.89790164269</v>
      </c>
      <c r="L29" s="14">
        <v>258601.38225409301</v>
      </c>
      <c r="M29" s="14">
        <v>31688.805825710297</v>
      </c>
      <c r="N29" s="14">
        <v>12160.036163330078</v>
      </c>
      <c r="O29" s="14">
        <v>19247.279303436168</v>
      </c>
      <c r="P29" s="14">
        <f t="shared" si="0"/>
        <v>5619826.8791094115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5850.4819107055664</v>
      </c>
      <c r="H31" s="17">
        <v>0</v>
      </c>
      <c r="I31" s="17">
        <v>13515.220153808594</v>
      </c>
      <c r="J31" s="17">
        <v>0</v>
      </c>
      <c r="K31" s="17">
        <v>7959.4822273254395</v>
      </c>
      <c r="L31" s="17">
        <v>57703.997790295398</v>
      </c>
      <c r="M31" s="17">
        <v>0</v>
      </c>
      <c r="N31" s="17">
        <v>0</v>
      </c>
      <c r="O31" s="17">
        <v>0</v>
      </c>
      <c r="P31" s="17">
        <f t="shared" si="0"/>
        <v>85029.182082134997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85324.273712158203</v>
      </c>
      <c r="H32" s="17">
        <v>0</v>
      </c>
      <c r="I32" s="17">
        <v>0</v>
      </c>
      <c r="J32" s="17">
        <v>0</v>
      </c>
      <c r="K32" s="17">
        <v>63889.132652282715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149213.40636444092</v>
      </c>
    </row>
    <row r="33" spans="2:16" x14ac:dyDescent="0.2">
      <c r="B33" s="15"/>
      <c r="C33" s="16" t="s">
        <v>33</v>
      </c>
      <c r="D33" s="17">
        <v>177489.41865968704</v>
      </c>
      <c r="E33" s="17">
        <v>106894.6432428658</v>
      </c>
      <c r="F33" s="17">
        <v>0</v>
      </c>
      <c r="G33" s="17">
        <v>30052.346928043869</v>
      </c>
      <c r="H33" s="17">
        <v>0</v>
      </c>
      <c r="I33" s="17">
        <v>0</v>
      </c>
      <c r="J33" s="17">
        <v>0</v>
      </c>
      <c r="K33" s="17">
        <v>13399.326799500352</v>
      </c>
      <c r="L33" s="17">
        <v>152468.57430745225</v>
      </c>
      <c r="M33" s="17">
        <v>0</v>
      </c>
      <c r="N33" s="17">
        <v>0</v>
      </c>
      <c r="O33" s="17">
        <v>0</v>
      </c>
      <c r="P33" s="17">
        <f t="shared" si="0"/>
        <v>480304.30993754929</v>
      </c>
    </row>
    <row r="34" spans="2:16" x14ac:dyDescent="0.2">
      <c r="B34" s="15"/>
      <c r="C34" s="16" t="s">
        <v>34</v>
      </c>
      <c r="D34" s="17">
        <v>1019096.5073421464</v>
      </c>
      <c r="E34" s="17">
        <v>297188.56003338471</v>
      </c>
      <c r="F34" s="17">
        <v>315327.51656919718</v>
      </c>
      <c r="G34" s="17">
        <v>497310.2080783844</v>
      </c>
      <c r="H34" s="17">
        <v>55111.167041778564</v>
      </c>
      <c r="I34" s="17">
        <v>104902.97405287623</v>
      </c>
      <c r="J34" s="17">
        <v>42256.102615356445</v>
      </c>
      <c r="K34" s="17">
        <v>56608.630756378174</v>
      </c>
      <c r="L34" s="17">
        <v>47840.178431987762</v>
      </c>
      <c r="M34" s="17">
        <v>16724.926430225372</v>
      </c>
      <c r="N34" s="17">
        <v>6058.5363082885742</v>
      </c>
      <c r="O34" s="17">
        <v>9727.9866246031597</v>
      </c>
      <c r="P34" s="17">
        <f t="shared" si="0"/>
        <v>2468153.2942846068</v>
      </c>
    </row>
    <row r="35" spans="2:16" x14ac:dyDescent="0.2">
      <c r="B35" s="15"/>
      <c r="C35" s="16" t="s">
        <v>35</v>
      </c>
      <c r="D35" s="17">
        <v>985587.33883500588</v>
      </c>
      <c r="E35" s="17">
        <v>176127.20145943761</v>
      </c>
      <c r="F35" s="17">
        <v>365306.82364313304</v>
      </c>
      <c r="G35" s="17">
        <v>643535.30764040083</v>
      </c>
      <c r="H35" s="17">
        <v>37004.296071052551</v>
      </c>
      <c r="I35" s="17">
        <v>95607.867069646716</v>
      </c>
      <c r="J35" s="17">
        <v>49151.222602128983</v>
      </c>
      <c r="K35" s="17">
        <v>53633.325466156006</v>
      </c>
      <c r="L35" s="17">
        <v>588.63172435760498</v>
      </c>
      <c r="M35" s="17">
        <v>14963.879395484924</v>
      </c>
      <c r="N35" s="17">
        <v>6101.4998550415039</v>
      </c>
      <c r="O35" s="17">
        <v>9519.2926788330078</v>
      </c>
      <c r="P35" s="17">
        <f t="shared" si="0"/>
        <v>2437126.6864406788</v>
      </c>
    </row>
    <row r="36" spans="2:16" ht="15" x14ac:dyDescent="0.25">
      <c r="B36" s="12" t="s">
        <v>36</v>
      </c>
      <c r="C36" s="13"/>
      <c r="D36" s="14">
        <v>1270854.6157256924</v>
      </c>
      <c r="E36" s="14">
        <v>1105798.1041573286</v>
      </c>
      <c r="F36" s="14">
        <v>796983.61309458315</v>
      </c>
      <c r="G36" s="14">
        <v>528355.38181185722</v>
      </c>
      <c r="H36" s="14">
        <v>190251.29202651978</v>
      </c>
      <c r="I36" s="14">
        <v>216867.53038510797</v>
      </c>
      <c r="J36" s="14">
        <v>150014.17958068848</v>
      </c>
      <c r="K36" s="14">
        <v>62972.774791717529</v>
      </c>
      <c r="L36" s="14">
        <v>72796.039355278015</v>
      </c>
      <c r="M36" s="14">
        <v>0</v>
      </c>
      <c r="N36" s="14">
        <v>54085.257026672363</v>
      </c>
      <c r="O36" s="14">
        <v>35138.67086315155</v>
      </c>
      <c r="P36" s="14">
        <f t="shared" si="0"/>
        <v>4484117.4588185968</v>
      </c>
    </row>
    <row r="37" spans="2:16" x14ac:dyDescent="0.2">
      <c r="B37" s="15"/>
      <c r="C37" s="16" t="s">
        <v>37</v>
      </c>
      <c r="D37" s="17">
        <v>0</v>
      </c>
      <c r="E37" s="17">
        <v>0</v>
      </c>
      <c r="F37" s="17">
        <v>20523.606096044183</v>
      </c>
      <c r="G37" s="17">
        <v>130657.97043991089</v>
      </c>
      <c r="H37" s="17">
        <v>13494.015014648438</v>
      </c>
      <c r="I37" s="17">
        <v>51626.697686047526</v>
      </c>
      <c r="J37" s="17">
        <v>0</v>
      </c>
      <c r="K37" s="17">
        <v>0</v>
      </c>
      <c r="L37" s="17">
        <v>0</v>
      </c>
      <c r="M37" s="17">
        <v>0</v>
      </c>
      <c r="N37" s="17">
        <v>15784.685333251953</v>
      </c>
      <c r="O37" s="17">
        <v>14191.106601715088</v>
      </c>
      <c r="P37" s="17">
        <f t="shared" si="0"/>
        <v>246278.08117161808</v>
      </c>
    </row>
    <row r="38" spans="2:16" x14ac:dyDescent="0.2">
      <c r="B38" s="15"/>
      <c r="C38" s="16" t="s">
        <v>38</v>
      </c>
      <c r="D38" s="17">
        <v>82240.576231654733</v>
      </c>
      <c r="E38" s="17">
        <v>527011.66367423534</v>
      </c>
      <c r="F38" s="17">
        <v>160760.49920654297</v>
      </c>
      <c r="G38" s="17">
        <v>213708.84478926659</v>
      </c>
      <c r="H38" s="17">
        <v>85473.896083831787</v>
      </c>
      <c r="I38" s="17">
        <v>97027.318462371826</v>
      </c>
      <c r="J38" s="17">
        <v>73496.967338562012</v>
      </c>
      <c r="K38" s="17">
        <v>32014.827278137207</v>
      </c>
      <c r="L38" s="17">
        <v>13864.707354545593</v>
      </c>
      <c r="M38" s="17">
        <v>0</v>
      </c>
      <c r="N38" s="17">
        <v>0</v>
      </c>
      <c r="O38" s="17">
        <v>5925.9079132080078</v>
      </c>
      <c r="P38" s="17">
        <f t="shared" si="0"/>
        <v>1291525.2083323561</v>
      </c>
    </row>
    <row r="39" spans="2:16" x14ac:dyDescent="0.2">
      <c r="B39" s="15"/>
      <c r="C39" s="16" t="s">
        <v>39</v>
      </c>
      <c r="D39" s="17">
        <v>1188614.0394940376</v>
      </c>
      <c r="E39" s="17">
        <v>578786.44048309326</v>
      </c>
      <c r="F39" s="17">
        <v>615699.507791996</v>
      </c>
      <c r="G39" s="17">
        <v>183988.56658267975</v>
      </c>
      <c r="H39" s="17">
        <v>91283.380928039551</v>
      </c>
      <c r="I39" s="17">
        <v>68213.514236688614</v>
      </c>
      <c r="J39" s="17">
        <v>76517.212242126465</v>
      </c>
      <c r="K39" s="17">
        <v>30957.947513580322</v>
      </c>
      <c r="L39" s="17">
        <v>58931.332000732422</v>
      </c>
      <c r="M39" s="17">
        <v>0</v>
      </c>
      <c r="N39" s="17">
        <v>38300.57169342041</v>
      </c>
      <c r="O39" s="17">
        <v>15021.656348228455</v>
      </c>
      <c r="P39" s="17">
        <f t="shared" si="0"/>
        <v>2946314.1693146229</v>
      </c>
    </row>
    <row r="40" spans="2:16" ht="15" x14ac:dyDescent="0.25">
      <c r="B40" s="12" t="s">
        <v>40</v>
      </c>
      <c r="C40" s="13"/>
      <c r="D40" s="17">
        <v>43529446.769631505</v>
      </c>
      <c r="E40" s="17">
        <v>38616359.475559242</v>
      </c>
      <c r="F40" s="17">
        <v>43380734.398045272</v>
      </c>
      <c r="G40" s="17">
        <v>45666409.941913791</v>
      </c>
      <c r="H40" s="17">
        <v>49387209.720798284</v>
      </c>
      <c r="I40" s="17">
        <v>47650170.221325777</v>
      </c>
      <c r="J40" s="17">
        <v>48156244.107503593</v>
      </c>
      <c r="K40" s="17">
        <v>49988662.276394904</v>
      </c>
      <c r="L40" s="17">
        <v>47237244.260045707</v>
      </c>
      <c r="M40" s="17">
        <v>48877746.75253471</v>
      </c>
      <c r="N40" s="17">
        <v>31063386.608053539</v>
      </c>
      <c r="O40" s="17">
        <v>32968754.509565957</v>
      </c>
      <c r="P40" s="17">
        <f t="shared" si="0"/>
        <v>526522369.04137224</v>
      </c>
    </row>
    <row r="41" spans="2:16" x14ac:dyDescent="0.2">
      <c r="B41" s="15"/>
      <c r="C41" s="16" t="s">
        <v>41</v>
      </c>
      <c r="D41" s="17">
        <v>21970096.643697497</v>
      </c>
      <c r="E41" s="17">
        <v>18739940.761687897</v>
      </c>
      <c r="F41" s="17">
        <v>22602100.892820124</v>
      </c>
      <c r="G41" s="17">
        <v>23136871.659855075</v>
      </c>
      <c r="H41" s="17">
        <v>25143988.814700875</v>
      </c>
      <c r="I41" s="17">
        <v>24189755.48023691</v>
      </c>
      <c r="J41" s="17">
        <v>24702860.437005699</v>
      </c>
      <c r="K41" s="17">
        <v>24941854.203655243</v>
      </c>
      <c r="L41" s="17">
        <v>24433428.126430616</v>
      </c>
      <c r="M41" s="17">
        <v>24759213.675561748</v>
      </c>
      <c r="N41" s="17">
        <v>24736435.921875</v>
      </c>
      <c r="O41" s="17">
        <v>24216498.472514585</v>
      </c>
      <c r="P41" s="17">
        <f t="shared" ref="P41:P43" si="1">SUM(D41:O41)</f>
        <v>283573045.09004128</v>
      </c>
    </row>
    <row r="42" spans="2:16" x14ac:dyDescent="0.2">
      <c r="B42" s="15"/>
      <c r="C42" s="16" t="s">
        <v>42</v>
      </c>
      <c r="D42" s="17">
        <v>21559350.125934005</v>
      </c>
      <c r="E42" s="17">
        <v>19876418.713871345</v>
      </c>
      <c r="F42" s="17">
        <v>20778633.505225152</v>
      </c>
      <c r="G42" s="17">
        <v>22529538.282058716</v>
      </c>
      <c r="H42" s="17">
        <v>24243220.906097412</v>
      </c>
      <c r="I42" s="17">
        <v>23460414.741088867</v>
      </c>
      <c r="J42" s="17">
        <v>23453383.670497894</v>
      </c>
      <c r="K42" s="17">
        <v>25046808.072739661</v>
      </c>
      <c r="L42" s="17">
        <v>22803816.133615088</v>
      </c>
      <c r="M42" s="17">
        <v>24118533.076972961</v>
      </c>
      <c r="N42" s="17">
        <v>6326950.6861785389</v>
      </c>
      <c r="O42" s="17">
        <v>8752256.0370513704</v>
      </c>
      <c r="P42" s="17">
        <f t="shared" si="1"/>
        <v>242949323.95133099</v>
      </c>
    </row>
    <row r="43" spans="2:16" ht="15" x14ac:dyDescent="0.25">
      <c r="B43" s="19" t="s">
        <v>43</v>
      </c>
      <c r="C43" s="20"/>
      <c r="D43" s="11">
        <v>139614323.11173999</v>
      </c>
      <c r="E43" s="11">
        <v>111834380.91776007</v>
      </c>
      <c r="F43" s="11">
        <v>114952285.87953714</v>
      </c>
      <c r="G43" s="11">
        <v>102064008.15912887</v>
      </c>
      <c r="H43" s="11">
        <v>105343194.43614605</v>
      </c>
      <c r="I43" s="11">
        <v>102121934.65959845</v>
      </c>
      <c r="J43" s="11">
        <v>104298825.79757747</v>
      </c>
      <c r="K43" s="11">
        <v>106171217.88284083</v>
      </c>
      <c r="L43" s="11">
        <v>107404135.78997657</v>
      </c>
      <c r="M43" s="11">
        <v>114824908.7812176</v>
      </c>
      <c r="N43" s="11">
        <v>90400775.202938661</v>
      </c>
      <c r="O43" s="11">
        <v>93910996.847798362</v>
      </c>
      <c r="P43" s="11">
        <f t="shared" si="1"/>
        <v>1292940987.4662602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6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48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57904124.700985461</v>
      </c>
      <c r="E7" s="11">
        <v>49510627.800519928</v>
      </c>
      <c r="F7" s="11">
        <v>82577119.852840066</v>
      </c>
      <c r="G7" s="11">
        <v>61576946.123826377</v>
      </c>
      <c r="H7" s="11">
        <v>61730.865619165183</v>
      </c>
      <c r="I7" s="11">
        <v>59518001.623361394</v>
      </c>
      <c r="J7" s="11">
        <v>61388877.081277803</v>
      </c>
      <c r="K7" s="11">
        <v>61399824.274306484</v>
      </c>
      <c r="L7" s="11">
        <v>59262805.640411109</v>
      </c>
      <c r="M7" s="11">
        <v>60876974.76186344</v>
      </c>
      <c r="N7" s="11">
        <v>58495878.960458606</v>
      </c>
      <c r="O7" s="11">
        <v>60669578.096945405</v>
      </c>
      <c r="P7" s="11">
        <f t="shared" ref="P7:P40" si="0">SUM(D7:O7)</f>
        <v>673242489.78241527</v>
      </c>
    </row>
    <row r="8" spans="1:16" ht="15" x14ac:dyDescent="0.25">
      <c r="B8" s="12" t="s">
        <v>19</v>
      </c>
      <c r="C8" s="13"/>
      <c r="D8" s="14">
        <v>1105527.8897473048</v>
      </c>
      <c r="E8" s="14">
        <v>1003610.5654096603</v>
      </c>
      <c r="F8" s="14">
        <v>1166607.6776237488</v>
      </c>
      <c r="G8" s="14">
        <v>1176705.2467250824</v>
      </c>
      <c r="H8" s="14">
        <v>1208.6681726305885</v>
      </c>
      <c r="I8" s="14">
        <v>1166663.25719136</v>
      </c>
      <c r="J8" s="14">
        <v>1198492.5403110534</v>
      </c>
      <c r="K8" s="14">
        <v>1174764.772605896</v>
      </c>
      <c r="L8" s="14">
        <v>1146918.2189064026</v>
      </c>
      <c r="M8" s="14">
        <v>1149708.9437961578</v>
      </c>
      <c r="N8" s="14">
        <v>1124619.4129614448</v>
      </c>
      <c r="O8" s="14">
        <v>1168986.7316932678</v>
      </c>
      <c r="P8" s="14">
        <f t="shared" si="0"/>
        <v>12583813.925144009</v>
      </c>
    </row>
    <row r="9" spans="1:16" x14ac:dyDescent="0.2">
      <c r="B9" s="15"/>
      <c r="C9" s="16" t="s">
        <v>20</v>
      </c>
      <c r="D9" s="17">
        <v>553840.17486159317</v>
      </c>
      <c r="E9" s="17">
        <v>501995.6814622879</v>
      </c>
      <c r="F9" s="17">
        <v>590492.06330013275</v>
      </c>
      <c r="G9" s="17">
        <v>591295.59353637695</v>
      </c>
      <c r="H9" s="17">
        <v>610.47193014526363</v>
      </c>
      <c r="I9" s="17">
        <v>586333.53389167786</v>
      </c>
      <c r="J9" s="17">
        <v>603373.44423639774</v>
      </c>
      <c r="K9" s="17">
        <v>591443.19050598145</v>
      </c>
      <c r="L9" s="17">
        <v>581159.45579528809</v>
      </c>
      <c r="M9" s="17">
        <v>578277.64289855957</v>
      </c>
      <c r="N9" s="17">
        <v>562264.62967681885</v>
      </c>
      <c r="O9" s="17">
        <v>594671.28722190857</v>
      </c>
      <c r="P9" s="17">
        <f t="shared" si="0"/>
        <v>6335757.1693171682</v>
      </c>
    </row>
    <row r="10" spans="1:16" x14ac:dyDescent="0.2">
      <c r="B10" s="15"/>
      <c r="C10" s="16" t="s">
        <v>21</v>
      </c>
      <c r="D10" s="17">
        <v>551687.71488571167</v>
      </c>
      <c r="E10" s="17">
        <v>501614.88394737244</v>
      </c>
      <c r="F10" s="17">
        <v>576115.61432361603</v>
      </c>
      <c r="G10" s="17">
        <v>585409.65318870544</v>
      </c>
      <c r="H10" s="17">
        <v>598.19624248532489</v>
      </c>
      <c r="I10" s="17">
        <v>580329.72329968214</v>
      </c>
      <c r="J10" s="17">
        <v>595119.09607465565</v>
      </c>
      <c r="K10" s="17">
        <v>583321.58209991455</v>
      </c>
      <c r="L10" s="17">
        <v>565758.7631111145</v>
      </c>
      <c r="M10" s="17">
        <v>571431.30089759827</v>
      </c>
      <c r="N10" s="17">
        <v>562354.78328462597</v>
      </c>
      <c r="O10" s="17">
        <v>574315.44447135925</v>
      </c>
      <c r="P10" s="17">
        <f t="shared" si="0"/>
        <v>6248056.7558268411</v>
      </c>
    </row>
    <row r="11" spans="1:16" ht="15" x14ac:dyDescent="0.25">
      <c r="B11" s="12" t="s">
        <v>22</v>
      </c>
      <c r="C11" s="13"/>
      <c r="D11" s="14">
        <v>427165.79919102788</v>
      </c>
      <c r="E11" s="14">
        <v>377132.50093684392</v>
      </c>
      <c r="F11" s="14">
        <v>410195.20790010691</v>
      </c>
      <c r="G11" s="14">
        <v>400843.20186722279</v>
      </c>
      <c r="H11" s="14">
        <v>416.54634586551788</v>
      </c>
      <c r="I11" s="14">
        <v>403665.6910700798</v>
      </c>
      <c r="J11" s="14">
        <v>406669.97948289476</v>
      </c>
      <c r="K11" s="14">
        <v>384024.78833341599</v>
      </c>
      <c r="L11" s="14">
        <v>411434.68855135143</v>
      </c>
      <c r="M11" s="14">
        <v>421623.34771894477</v>
      </c>
      <c r="N11" s="14">
        <v>393148.94546768442</v>
      </c>
      <c r="O11" s="14">
        <v>415888.4233455658</v>
      </c>
      <c r="P11" s="14">
        <f t="shared" si="0"/>
        <v>4452209.1202110043</v>
      </c>
    </row>
    <row r="12" spans="1:16" x14ac:dyDescent="0.2">
      <c r="B12" s="15"/>
      <c r="C12" s="16" t="s">
        <v>20</v>
      </c>
      <c r="D12" s="17">
        <v>134149.60833027959</v>
      </c>
      <c r="E12" s="17">
        <v>119584.34629092412</v>
      </c>
      <c r="F12" s="17">
        <v>130416.38933759928</v>
      </c>
      <c r="G12" s="17">
        <v>129285.93709671497</v>
      </c>
      <c r="H12" s="17">
        <v>133.77270910382271</v>
      </c>
      <c r="I12" s="17">
        <v>128335.19210386276</v>
      </c>
      <c r="J12" s="17">
        <v>126005.60084373318</v>
      </c>
      <c r="K12" s="17">
        <v>125241.93812417984</v>
      </c>
      <c r="L12" s="17">
        <v>130597.56757354736</v>
      </c>
      <c r="M12" s="17">
        <v>131419.66157817841</v>
      </c>
      <c r="N12" s="17">
        <v>127911.27929034084</v>
      </c>
      <c r="O12" s="17">
        <v>132783.3853187561</v>
      </c>
      <c r="P12" s="17">
        <f t="shared" si="0"/>
        <v>1415864.6785972202</v>
      </c>
    </row>
    <row r="13" spans="1:16" x14ac:dyDescent="0.2">
      <c r="B13" s="15"/>
      <c r="C13" s="16" t="s">
        <v>21</v>
      </c>
      <c r="D13" s="17">
        <v>142152.27778148651</v>
      </c>
      <c r="E13" s="17">
        <v>126418.39133071899</v>
      </c>
      <c r="F13" s="17">
        <v>135254.32298946381</v>
      </c>
      <c r="G13" s="17">
        <v>130049.56084632874</v>
      </c>
      <c r="H13" s="17">
        <v>133.52564180850982</v>
      </c>
      <c r="I13" s="17">
        <v>131116.53788948059</v>
      </c>
      <c r="J13" s="17">
        <v>134965.33131122589</v>
      </c>
      <c r="K13" s="17">
        <v>138906.77224349976</v>
      </c>
      <c r="L13" s="17">
        <v>133175.5294174403</v>
      </c>
      <c r="M13" s="17">
        <v>139876.34464906715</v>
      </c>
      <c r="N13" s="17">
        <v>121608.45536858961</v>
      </c>
      <c r="O13" s="17">
        <v>136300.46350860596</v>
      </c>
      <c r="P13" s="17">
        <f t="shared" si="0"/>
        <v>1469957.5129777158</v>
      </c>
    </row>
    <row r="14" spans="1:16" x14ac:dyDescent="0.2">
      <c r="B14" s="15"/>
      <c r="C14" s="16" t="s">
        <v>23</v>
      </c>
      <c r="D14" s="17">
        <v>150863.91307926178</v>
      </c>
      <c r="E14" s="17">
        <v>131129.76331520081</v>
      </c>
      <c r="F14" s="17">
        <v>144524.49557304382</v>
      </c>
      <c r="G14" s="17">
        <v>141507.70392417908</v>
      </c>
      <c r="H14" s="17">
        <v>149.24799495318533</v>
      </c>
      <c r="I14" s="17">
        <v>144213.96107673645</v>
      </c>
      <c r="J14" s="17">
        <v>145699.0473279357</v>
      </c>
      <c r="K14" s="17">
        <v>119876.07796573639</v>
      </c>
      <c r="L14" s="17">
        <v>147661.59156036377</v>
      </c>
      <c r="M14" s="17">
        <v>150327.34149169922</v>
      </c>
      <c r="N14" s="17">
        <v>143629.21080875397</v>
      </c>
      <c r="O14" s="17">
        <v>146804.57451820374</v>
      </c>
      <c r="P14" s="17">
        <f t="shared" si="0"/>
        <v>1566386.928636068</v>
      </c>
    </row>
    <row r="15" spans="1:16" ht="15" x14ac:dyDescent="0.25">
      <c r="B15" s="12" t="s">
        <v>24</v>
      </c>
      <c r="C15" s="13"/>
      <c r="D15" s="14">
        <v>3349988.2516784668</v>
      </c>
      <c r="E15" s="14">
        <v>2825078.1262073517</v>
      </c>
      <c r="F15" s="14">
        <v>3223116.1527996063</v>
      </c>
      <c r="G15" s="14">
        <v>3266167.4985650778</v>
      </c>
      <c r="H15" s="14">
        <v>3312.1084911794142</v>
      </c>
      <c r="I15" s="14">
        <v>3169923.4808094483</v>
      </c>
      <c r="J15" s="14">
        <v>3170050.3579165819</v>
      </c>
      <c r="K15" s="14">
        <v>3341347.9944076538</v>
      </c>
      <c r="L15" s="14">
        <v>3219573.8123779297</v>
      </c>
      <c r="M15" s="14">
        <v>3323893.8144836426</v>
      </c>
      <c r="N15" s="14">
        <v>2409502.5884563923</v>
      </c>
      <c r="O15" s="14">
        <v>2515461.8265559673</v>
      </c>
      <c r="P15" s="14">
        <f t="shared" si="0"/>
        <v>33817416.012749299</v>
      </c>
    </row>
    <row r="16" spans="1:16" x14ac:dyDescent="0.2">
      <c r="B16" s="15"/>
      <c r="C16" s="16" t="s">
        <v>20</v>
      </c>
      <c r="D16" s="17">
        <v>1678131.2016906738</v>
      </c>
      <c r="E16" s="17">
        <v>1412407.9379558563</v>
      </c>
      <c r="F16" s="17">
        <v>1553547.7726573944</v>
      </c>
      <c r="G16" s="17">
        <v>1615894.0580673218</v>
      </c>
      <c r="H16" s="17">
        <v>1611.4558723325729</v>
      </c>
      <c r="I16" s="17">
        <v>1567994.1475830078</v>
      </c>
      <c r="J16" s="17">
        <v>1575174.0407776833</v>
      </c>
      <c r="K16" s="17">
        <v>1635422.4677124023</v>
      </c>
      <c r="L16" s="17">
        <v>1556735.0052642822</v>
      </c>
      <c r="M16" s="17">
        <v>1612031.156463623</v>
      </c>
      <c r="N16" s="17">
        <v>1569447.9688198566</v>
      </c>
      <c r="O16" s="17">
        <v>889782.51750826836</v>
      </c>
      <c r="P16" s="17">
        <f t="shared" si="0"/>
        <v>16668179.730372703</v>
      </c>
    </row>
    <row r="17" spans="2:18" x14ac:dyDescent="0.2">
      <c r="B17" s="15"/>
      <c r="C17" s="16" t="s">
        <v>21</v>
      </c>
      <c r="D17" s="17">
        <v>1671857.049987793</v>
      </c>
      <c r="E17" s="17">
        <v>1412670.1882514954</v>
      </c>
      <c r="F17" s="17">
        <v>1669568.3801422119</v>
      </c>
      <c r="G17" s="17">
        <v>1650273.440497756</v>
      </c>
      <c r="H17" s="17">
        <v>1700.6526188468408</v>
      </c>
      <c r="I17" s="17">
        <v>1601929.3332264402</v>
      </c>
      <c r="J17" s="17">
        <v>1594876.3171388987</v>
      </c>
      <c r="K17" s="17">
        <v>1705925.5266952515</v>
      </c>
      <c r="L17" s="17">
        <v>1662838.8071136475</v>
      </c>
      <c r="M17" s="17">
        <v>1711862.6580200195</v>
      </c>
      <c r="N17" s="17">
        <v>840054.61963653564</v>
      </c>
      <c r="O17" s="17">
        <v>1625679.309047699</v>
      </c>
      <c r="P17" s="17">
        <f t="shared" si="0"/>
        <v>17149236.282376595</v>
      </c>
    </row>
    <row r="18" spans="2:18" ht="15" x14ac:dyDescent="0.25">
      <c r="B18" s="12" t="s">
        <v>25</v>
      </c>
      <c r="C18" s="13"/>
      <c r="D18" s="14">
        <v>7147190.6402180418</v>
      </c>
      <c r="E18" s="14">
        <v>5966783.9801631011</v>
      </c>
      <c r="F18" s="14">
        <v>8533297.5483714081</v>
      </c>
      <c r="G18" s="14">
        <v>7769336.2396113425</v>
      </c>
      <c r="H18" s="14">
        <v>7690.8939056956542</v>
      </c>
      <c r="I18" s="14">
        <v>7385448.9309927765</v>
      </c>
      <c r="J18" s="14">
        <v>7588268.0781490291</v>
      </c>
      <c r="K18" s="14">
        <v>7515938.1098927055</v>
      </c>
      <c r="L18" s="14">
        <v>7302779.5126241287</v>
      </c>
      <c r="M18" s="14">
        <v>7204299.273148993</v>
      </c>
      <c r="N18" s="14">
        <v>7187023.6840181015</v>
      </c>
      <c r="O18" s="14">
        <v>7584323.1022797776</v>
      </c>
      <c r="P18" s="14">
        <f t="shared" si="0"/>
        <v>81192379.993375108</v>
      </c>
    </row>
    <row r="19" spans="2:18" x14ac:dyDescent="0.2">
      <c r="B19" s="15"/>
      <c r="C19" s="16" t="s">
        <v>20</v>
      </c>
      <c r="D19" s="17">
        <v>1150413.6205189452</v>
      </c>
      <c r="E19" s="17">
        <v>1401757.5970783122</v>
      </c>
      <c r="F19" s="17">
        <v>3558713.350669357</v>
      </c>
      <c r="G19" s="17">
        <v>2582024.2959140539</v>
      </c>
      <c r="H19" s="17">
        <v>2488.3127918519599</v>
      </c>
      <c r="I19" s="17">
        <v>2943565.161942482</v>
      </c>
      <c r="J19" s="17">
        <v>2911968.5209388733</v>
      </c>
      <c r="K19" s="17">
        <v>2844668.7232792489</v>
      </c>
      <c r="L19" s="17">
        <v>3041466.7410888672</v>
      </c>
      <c r="M19" s="17">
        <v>3089381.5971221924</v>
      </c>
      <c r="N19" s="17">
        <v>3001130.4640197754</v>
      </c>
      <c r="O19" s="17">
        <v>3237403.6136932373</v>
      </c>
      <c r="P19" s="17">
        <f t="shared" si="0"/>
        <v>29764981.999057196</v>
      </c>
    </row>
    <row r="20" spans="2:18" x14ac:dyDescent="0.2">
      <c r="B20" s="15"/>
      <c r="C20" s="16" t="s">
        <v>21</v>
      </c>
      <c r="D20" s="17">
        <v>2939455.8386383057</v>
      </c>
      <c r="E20" s="17">
        <v>2083139.015922904</v>
      </c>
      <c r="F20" s="17">
        <v>2741900.1858692169</v>
      </c>
      <c r="G20" s="17">
        <v>2582422.3466208726</v>
      </c>
      <c r="H20" s="17">
        <v>2607.526515229702</v>
      </c>
      <c r="I20" s="17">
        <v>1567466.7832521144</v>
      </c>
      <c r="J20" s="17">
        <v>1740582.3681499446</v>
      </c>
      <c r="K20" s="17">
        <v>1804348.8614517138</v>
      </c>
      <c r="L20" s="17">
        <v>1193596.028195723</v>
      </c>
      <c r="M20" s="17">
        <v>1050747.5428223256</v>
      </c>
      <c r="N20" s="17">
        <v>1150115.1330842637</v>
      </c>
      <c r="O20" s="17">
        <v>1203956.6743374383</v>
      </c>
      <c r="P20" s="17">
        <f t="shared" si="0"/>
        <v>20060338.304860052</v>
      </c>
    </row>
    <row r="21" spans="2:18" x14ac:dyDescent="0.2">
      <c r="B21" s="15"/>
      <c r="C21" s="16" t="s">
        <v>23</v>
      </c>
      <c r="D21" s="17">
        <v>3057321.181060791</v>
      </c>
      <c r="E21" s="17">
        <v>2481887.3671618849</v>
      </c>
      <c r="F21" s="17">
        <v>2232684.0118328333</v>
      </c>
      <c r="G21" s="17">
        <v>2604889.597076416</v>
      </c>
      <c r="H21" s="17">
        <v>2595.0545986139923</v>
      </c>
      <c r="I21" s="17">
        <v>2874416.9857981801</v>
      </c>
      <c r="J21" s="17">
        <v>2935717.1890602112</v>
      </c>
      <c r="K21" s="17">
        <v>2866920.5251617432</v>
      </c>
      <c r="L21" s="17">
        <v>3067716.7433395386</v>
      </c>
      <c r="M21" s="17">
        <v>3064170.133204475</v>
      </c>
      <c r="N21" s="17">
        <v>3035778.0869140625</v>
      </c>
      <c r="O21" s="17">
        <v>3142962.814249102</v>
      </c>
      <c r="P21" s="17">
        <f t="shared" si="0"/>
        <v>31367059.689457852</v>
      </c>
    </row>
    <row r="22" spans="2:18" ht="15" x14ac:dyDescent="0.25">
      <c r="B22" s="12" t="s">
        <v>26</v>
      </c>
      <c r="C22" s="13"/>
      <c r="D22" s="14">
        <v>41807490.688243441</v>
      </c>
      <c r="E22" s="14">
        <v>36195085.177210934</v>
      </c>
      <c r="F22" s="14">
        <v>64052863.283140123</v>
      </c>
      <c r="G22" s="14">
        <v>44365359.786102451</v>
      </c>
      <c r="H22" s="14">
        <v>44503.6206350379</v>
      </c>
      <c r="I22" s="14">
        <v>43096951.691213727</v>
      </c>
      <c r="J22" s="14">
        <v>44524197.210687697</v>
      </c>
      <c r="K22" s="14">
        <v>44554455.859913677</v>
      </c>
      <c r="L22" s="14">
        <v>43127462.910672963</v>
      </c>
      <c r="M22" s="14">
        <v>44536172.284589231</v>
      </c>
      <c r="N22" s="14">
        <v>43102147.012843549</v>
      </c>
      <c r="O22" s="14">
        <v>44535209.489450216</v>
      </c>
      <c r="P22" s="14">
        <f t="shared" si="0"/>
        <v>493941899.01470309</v>
      </c>
    </row>
    <row r="23" spans="2:18" x14ac:dyDescent="0.2">
      <c r="B23" s="15"/>
      <c r="C23" s="16" t="s">
        <v>20</v>
      </c>
      <c r="D23" s="17">
        <v>19402049.762338877</v>
      </c>
      <c r="E23" s="17">
        <v>14198111.241129637</v>
      </c>
      <c r="F23" s="17">
        <v>24980989.324707031</v>
      </c>
      <c r="G23" s="17">
        <v>20154201.412780762</v>
      </c>
      <c r="H23" s="17">
        <v>16980.553547501804</v>
      </c>
      <c r="I23" s="17">
        <v>16029146.563519001</v>
      </c>
      <c r="J23" s="17">
        <v>19548822.558349609</v>
      </c>
      <c r="K23" s="17">
        <v>8731611.3158958815</v>
      </c>
      <c r="L23" s="17">
        <v>15829808.956500228</v>
      </c>
      <c r="M23" s="17">
        <v>19423912.156768799</v>
      </c>
      <c r="N23" s="17">
        <v>14962683.140986146</v>
      </c>
      <c r="O23" s="17">
        <v>9150204.2595176697</v>
      </c>
      <c r="P23" s="17">
        <f t="shared" si="0"/>
        <v>182428521.24604115</v>
      </c>
    </row>
    <row r="24" spans="2:18" x14ac:dyDescent="0.2">
      <c r="B24" s="15"/>
      <c r="C24" s="16" t="s">
        <v>21</v>
      </c>
      <c r="D24" s="17">
        <v>14428866.328138769</v>
      </c>
      <c r="E24" s="17">
        <v>9392061.5791257676</v>
      </c>
      <c r="F24" s="17">
        <v>19506373.515985429</v>
      </c>
      <c r="G24" s="17">
        <v>9987804.7503913119</v>
      </c>
      <c r="H24" s="17">
        <v>13384.37878999257</v>
      </c>
      <c r="I24" s="17">
        <v>8918622.9603509903</v>
      </c>
      <c r="J24" s="17">
        <v>17618871.824479342</v>
      </c>
      <c r="K24" s="17">
        <v>19495783.678178787</v>
      </c>
      <c r="L24" s="17">
        <v>18371505.464926243</v>
      </c>
      <c r="M24" s="17">
        <v>19423091.493896484</v>
      </c>
      <c r="N24" s="17">
        <v>16715059.857792139</v>
      </c>
      <c r="O24" s="17">
        <v>17713690.622688055</v>
      </c>
      <c r="P24" s="17">
        <f t="shared" si="0"/>
        <v>171585116.45474333</v>
      </c>
    </row>
    <row r="25" spans="2:18" x14ac:dyDescent="0.2">
      <c r="B25" s="15"/>
      <c r="C25" s="16" t="s">
        <v>23</v>
      </c>
      <c r="D25" s="17">
        <v>7976574.5977657959</v>
      </c>
      <c r="E25" s="17">
        <v>12604912.356955528</v>
      </c>
      <c r="F25" s="17">
        <v>19565500.442447662</v>
      </c>
      <c r="G25" s="17">
        <v>14223353.622930378</v>
      </c>
      <c r="H25" s="17">
        <v>14138.688297543526</v>
      </c>
      <c r="I25" s="17">
        <v>18149182.167343736</v>
      </c>
      <c r="J25" s="17">
        <v>7356502.8278587461</v>
      </c>
      <c r="K25" s="17">
        <v>16327060.865839005</v>
      </c>
      <c r="L25" s="17">
        <v>8926148.4892464876</v>
      </c>
      <c r="M25" s="17">
        <v>5689168.6339239478</v>
      </c>
      <c r="N25" s="17">
        <v>11424404.014065266</v>
      </c>
      <c r="O25" s="17">
        <v>17671314.607244492</v>
      </c>
      <c r="P25" s="17">
        <f t="shared" si="0"/>
        <v>139928261.31391859</v>
      </c>
    </row>
    <row r="26" spans="2:18" ht="15" x14ac:dyDescent="0.25">
      <c r="B26" s="12" t="s">
        <v>27</v>
      </c>
      <c r="C26" s="13"/>
      <c r="D26" s="14">
        <v>4066761.431907177</v>
      </c>
      <c r="E26" s="14">
        <v>3142937.450592041</v>
      </c>
      <c r="F26" s="14">
        <v>5191039.9830050822</v>
      </c>
      <c r="G26" s="14">
        <v>4598534.1509552002</v>
      </c>
      <c r="H26" s="14">
        <v>4599.0280687561035</v>
      </c>
      <c r="I26" s="14">
        <v>4295348.5720840096</v>
      </c>
      <c r="J26" s="14">
        <v>4501198.9147305498</v>
      </c>
      <c r="K26" s="14">
        <v>4429292.7491531372</v>
      </c>
      <c r="L26" s="14">
        <v>4054636.4972783327</v>
      </c>
      <c r="M26" s="14">
        <v>4241277.098126471</v>
      </c>
      <c r="N26" s="14">
        <v>4279437.3167114258</v>
      </c>
      <c r="O26" s="14">
        <v>4449708.5236206055</v>
      </c>
      <c r="P26" s="14">
        <f t="shared" si="0"/>
        <v>47254771.716232792</v>
      </c>
    </row>
    <row r="27" spans="2:18" x14ac:dyDescent="0.2">
      <c r="B27" s="15"/>
      <c r="C27" s="16" t="s">
        <v>20</v>
      </c>
      <c r="D27" s="17">
        <v>4066761.431907177</v>
      </c>
      <c r="E27" s="17">
        <v>3142937.450592041</v>
      </c>
      <c r="F27" s="17">
        <v>5191039.9830050822</v>
      </c>
      <c r="G27" s="17">
        <v>4598534.1509552002</v>
      </c>
      <c r="H27" s="17">
        <v>4599.0280687561035</v>
      </c>
      <c r="I27" s="17">
        <v>4295348.5720840096</v>
      </c>
      <c r="J27" s="17">
        <v>4501198.9147305498</v>
      </c>
      <c r="K27" s="17">
        <v>4429292.7491531372</v>
      </c>
      <c r="L27" s="17">
        <v>4054636.4972783327</v>
      </c>
      <c r="M27" s="17">
        <v>4241277.098126471</v>
      </c>
      <c r="N27" s="17">
        <v>4279437.3167114258</v>
      </c>
      <c r="O27" s="17">
        <v>4449708.5236206055</v>
      </c>
      <c r="P27" s="17">
        <f t="shared" si="0"/>
        <v>47254771.716232792</v>
      </c>
      <c r="R27" s="18"/>
    </row>
    <row r="28" spans="2:18" ht="15" x14ac:dyDescent="0.25">
      <c r="B28" s="19" t="s">
        <v>28</v>
      </c>
      <c r="C28" s="20"/>
      <c r="D28" s="11">
        <v>36064339.888200887</v>
      </c>
      <c r="E28" s="11">
        <v>26037899.8600768</v>
      </c>
      <c r="F28" s="11">
        <v>42545923.301263809</v>
      </c>
      <c r="G28" s="11">
        <v>38194300.822141446</v>
      </c>
      <c r="H28" s="11">
        <v>42679.095973617019</v>
      </c>
      <c r="I28" s="11">
        <v>47981543.066930026</v>
      </c>
      <c r="J28" s="11">
        <v>51977850.699063301</v>
      </c>
      <c r="K28" s="11">
        <v>52116906.859895103</v>
      </c>
      <c r="L28" s="11">
        <v>46010647.767673932</v>
      </c>
      <c r="M28" s="11">
        <v>55352224.104102515</v>
      </c>
      <c r="N28" s="11">
        <v>50990749.154825941</v>
      </c>
      <c r="O28" s="11">
        <v>49364376.329126656</v>
      </c>
      <c r="P28" s="11">
        <f t="shared" si="0"/>
        <v>496679440.94927394</v>
      </c>
    </row>
    <row r="29" spans="2:18" ht="15" x14ac:dyDescent="0.25">
      <c r="B29" s="12" t="s">
        <v>29</v>
      </c>
      <c r="C29" s="13"/>
      <c r="D29" s="14">
        <v>4238.1626892089844</v>
      </c>
      <c r="E29" s="14">
        <v>247571.30932295322</v>
      </c>
      <c r="F29" s="14">
        <v>125629.0215921402</v>
      </c>
      <c r="G29" s="14">
        <v>230758.36864578724</v>
      </c>
      <c r="H29" s="14">
        <v>323.06495850425961</v>
      </c>
      <c r="I29" s="14">
        <v>16597.570284843445</v>
      </c>
      <c r="J29" s="14">
        <v>85311.59786272049</v>
      </c>
      <c r="K29" s="14">
        <v>577436.4867223734</v>
      </c>
      <c r="L29" s="14">
        <v>1815044.0588149042</v>
      </c>
      <c r="M29" s="14">
        <v>1447815.4738232736</v>
      </c>
      <c r="N29" s="14">
        <v>689632.01393842697</v>
      </c>
      <c r="O29" s="14">
        <v>1579081.8650532197</v>
      </c>
      <c r="P29" s="14">
        <f t="shared" si="0"/>
        <v>6819438.9937083554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f t="shared" si="0"/>
        <v>0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0</v>
      </c>
    </row>
    <row r="33" spans="2:16" x14ac:dyDescent="0.2">
      <c r="B33" s="15"/>
      <c r="C33" s="16" t="s">
        <v>33</v>
      </c>
      <c r="D33" s="17">
        <v>0</v>
      </c>
      <c r="E33" s="17">
        <v>117890.38485014439</v>
      </c>
      <c r="F33" s="17">
        <v>0</v>
      </c>
      <c r="G33" s="17">
        <v>110837.63789474964</v>
      </c>
      <c r="H33" s="17">
        <v>7.3825307312011716</v>
      </c>
      <c r="I33" s="17">
        <v>0</v>
      </c>
      <c r="J33" s="17">
        <v>0</v>
      </c>
      <c r="K33" s="17">
        <v>0</v>
      </c>
      <c r="L33" s="17">
        <v>611769.13805004244</v>
      </c>
      <c r="M33" s="17">
        <v>0</v>
      </c>
      <c r="N33" s="17">
        <v>0</v>
      </c>
      <c r="O33" s="17">
        <v>0</v>
      </c>
      <c r="P33" s="17">
        <f t="shared" si="0"/>
        <v>840504.54332566774</v>
      </c>
    </row>
    <row r="34" spans="2:16" x14ac:dyDescent="0.2">
      <c r="B34" s="15"/>
      <c r="C34" s="16" t="s">
        <v>34</v>
      </c>
      <c r="D34" s="17">
        <v>4238.1626892089844</v>
      </c>
      <c r="E34" s="17">
        <v>63755.729479789734</v>
      </c>
      <c r="F34" s="17">
        <v>62543.943781375885</v>
      </c>
      <c r="G34" s="17">
        <v>59145.835662841797</v>
      </c>
      <c r="H34" s="17">
        <v>160.53480137044193</v>
      </c>
      <c r="I34" s="17">
        <v>7508.456449508667</v>
      </c>
      <c r="J34" s="17">
        <v>5688.5400121212006</v>
      </c>
      <c r="K34" s="17">
        <v>263067.39583160821</v>
      </c>
      <c r="L34" s="17">
        <v>591670.11069472134</v>
      </c>
      <c r="M34" s="17">
        <v>655929.28543195873</v>
      </c>
      <c r="N34" s="17">
        <v>252494.85815429688</v>
      </c>
      <c r="O34" s="17">
        <v>770151.99180942774</v>
      </c>
      <c r="P34" s="17">
        <f t="shared" si="0"/>
        <v>2736354.8447982296</v>
      </c>
    </row>
    <row r="35" spans="2:16" x14ac:dyDescent="0.2">
      <c r="B35" s="15"/>
      <c r="C35" s="16" t="s">
        <v>35</v>
      </c>
      <c r="D35" s="17">
        <v>0</v>
      </c>
      <c r="E35" s="17">
        <v>65925.194993019104</v>
      </c>
      <c r="F35" s="17">
        <v>63085.077810764313</v>
      </c>
      <c r="G35" s="17">
        <v>60774.895088195801</v>
      </c>
      <c r="H35" s="17">
        <v>155.14762640261651</v>
      </c>
      <c r="I35" s="17">
        <v>9089.1138353347778</v>
      </c>
      <c r="J35" s="17">
        <v>79623.057850599289</v>
      </c>
      <c r="K35" s="17">
        <v>314369.09089076519</v>
      </c>
      <c r="L35" s="17">
        <v>611604.81007014029</v>
      </c>
      <c r="M35" s="17">
        <v>791886.18839131482</v>
      </c>
      <c r="N35" s="17">
        <v>437137.1557841301</v>
      </c>
      <c r="O35" s="17">
        <v>808929.87324379198</v>
      </c>
      <c r="P35" s="17">
        <f t="shared" si="0"/>
        <v>3242579.6055844584</v>
      </c>
    </row>
    <row r="36" spans="2:16" ht="15" x14ac:dyDescent="0.25">
      <c r="B36" s="12" t="s">
        <v>36</v>
      </c>
      <c r="C36" s="13"/>
      <c r="D36" s="14">
        <v>0</v>
      </c>
      <c r="E36" s="14">
        <v>134134.01161265373</v>
      </c>
      <c r="F36" s="14">
        <v>172106.44997119904</v>
      </c>
      <c r="G36" s="14">
        <v>134503.04381770658</v>
      </c>
      <c r="H36" s="14">
        <v>606.3147397480011</v>
      </c>
      <c r="I36" s="14">
        <v>502632.0860786438</v>
      </c>
      <c r="J36" s="14">
        <v>341058.74908971786</v>
      </c>
      <c r="K36" s="14">
        <v>721148.45460888743</v>
      </c>
      <c r="L36" s="14">
        <v>1808294.209759295</v>
      </c>
      <c r="M36" s="14">
        <v>2291654.5579678416</v>
      </c>
      <c r="N36" s="14">
        <v>1077477.6275235191</v>
      </c>
      <c r="O36" s="14">
        <v>293895.3008387211</v>
      </c>
      <c r="P36" s="14">
        <f t="shared" si="0"/>
        <v>7477510.8060079329</v>
      </c>
    </row>
    <row r="37" spans="2:16" x14ac:dyDescent="0.2">
      <c r="B37" s="15"/>
      <c r="C37" s="16" t="s">
        <v>37</v>
      </c>
      <c r="D37" s="17">
        <v>0</v>
      </c>
      <c r="E37" s="17">
        <v>22902.060176849365</v>
      </c>
      <c r="F37" s="17">
        <v>0</v>
      </c>
      <c r="G37" s="17">
        <v>85045.277762234211</v>
      </c>
      <c r="H37" s="17">
        <v>219.89394174194337</v>
      </c>
      <c r="I37" s="17">
        <v>148081.23093795776</v>
      </c>
      <c r="J37" s="17">
        <v>101945.27665710449</v>
      </c>
      <c r="K37" s="17">
        <v>137422.80862566829</v>
      </c>
      <c r="L37" s="17">
        <v>0</v>
      </c>
      <c r="M37" s="17">
        <v>394538.0295791626</v>
      </c>
      <c r="N37" s="17">
        <v>291047.606300354</v>
      </c>
      <c r="O37" s="17">
        <v>112485.61508798599</v>
      </c>
      <c r="P37" s="17">
        <f t="shared" si="0"/>
        <v>1293687.7990690586</v>
      </c>
    </row>
    <row r="38" spans="2:16" x14ac:dyDescent="0.2">
      <c r="B38" s="15"/>
      <c r="C38" s="16" t="s">
        <v>38</v>
      </c>
      <c r="D38" s="17">
        <v>0</v>
      </c>
      <c r="E38" s="17">
        <v>0</v>
      </c>
      <c r="F38" s="17">
        <v>0</v>
      </c>
      <c r="G38" s="17">
        <v>0</v>
      </c>
      <c r="H38" s="17">
        <v>84.517347481727597</v>
      </c>
      <c r="I38" s="17">
        <v>176790.99263381958</v>
      </c>
      <c r="J38" s="17">
        <v>101259.34780883789</v>
      </c>
      <c r="K38" s="17">
        <v>291908.09875297546</v>
      </c>
      <c r="L38" s="17">
        <v>805838.9345793128</v>
      </c>
      <c r="M38" s="17">
        <v>1147097.7183294296</v>
      </c>
      <c r="N38" s="17">
        <v>424026.45987795223</v>
      </c>
      <c r="O38" s="17">
        <v>102231.6899697903</v>
      </c>
      <c r="P38" s="17">
        <f t="shared" si="0"/>
        <v>3049237.7592995996</v>
      </c>
    </row>
    <row r="39" spans="2:16" x14ac:dyDescent="0.2">
      <c r="B39" s="15"/>
      <c r="C39" s="16" t="s">
        <v>39</v>
      </c>
      <c r="D39" s="17">
        <v>0</v>
      </c>
      <c r="E39" s="17">
        <v>111231.95143580437</v>
      </c>
      <c r="F39" s="17">
        <v>172106.44997119904</v>
      </c>
      <c r="G39" s="17">
        <v>49457.76605547237</v>
      </c>
      <c r="H39" s="17">
        <v>301.90345052433014</v>
      </c>
      <c r="I39" s="17">
        <v>177759.86250686646</v>
      </c>
      <c r="J39" s="17">
        <v>137854.12462377548</v>
      </c>
      <c r="K39" s="17">
        <v>291817.54723024368</v>
      </c>
      <c r="L39" s="17">
        <v>1002455.2751799822</v>
      </c>
      <c r="M39" s="17">
        <v>750018.8100592494</v>
      </c>
      <c r="N39" s="17">
        <v>362403.56134521286</v>
      </c>
      <c r="O39" s="17">
        <v>79177.995780944824</v>
      </c>
      <c r="P39" s="17">
        <f t="shared" si="0"/>
        <v>3134585.2476392752</v>
      </c>
    </row>
    <row r="40" spans="2:16" ht="15" x14ac:dyDescent="0.25">
      <c r="B40" s="12" t="s">
        <v>40</v>
      </c>
      <c r="C40" s="13"/>
      <c r="D40" s="17">
        <v>36060101.725511678</v>
      </c>
      <c r="E40" s="17">
        <v>25656194.539141193</v>
      </c>
      <c r="F40" s="17">
        <v>42248187.82970047</v>
      </c>
      <c r="G40" s="17">
        <v>37829039.409677953</v>
      </c>
      <c r="H40" s="17">
        <v>41749.716275364757</v>
      </c>
      <c r="I40" s="17">
        <v>47462313.410566539</v>
      </c>
      <c r="J40" s="17">
        <v>51551480.352110863</v>
      </c>
      <c r="K40" s="17">
        <v>50818321.918563843</v>
      </c>
      <c r="L40" s="17">
        <v>42387309.499099731</v>
      </c>
      <c r="M40" s="17">
        <v>51612754.072311401</v>
      </c>
      <c r="N40" s="17">
        <v>49223639.513363995</v>
      </c>
      <c r="O40" s="17">
        <v>47491399.163234711</v>
      </c>
      <c r="P40" s="17">
        <f t="shared" si="0"/>
        <v>482382491.14955777</v>
      </c>
    </row>
    <row r="41" spans="2:16" x14ac:dyDescent="0.2">
      <c r="B41" s="15"/>
      <c r="C41" s="16" t="s">
        <v>41</v>
      </c>
      <c r="D41" s="17">
        <v>22988622.640470631</v>
      </c>
      <c r="E41" s="17">
        <v>5970833.3081097752</v>
      </c>
      <c r="F41" s="17">
        <v>21788562.347835541</v>
      </c>
      <c r="G41" s="17">
        <v>19360259.828819722</v>
      </c>
      <c r="H41" s="17">
        <v>20441.341811941624</v>
      </c>
      <c r="I41" s="17">
        <v>23868926.085972037</v>
      </c>
      <c r="J41" s="17">
        <v>25639291.094107628</v>
      </c>
      <c r="K41" s="17">
        <v>25600794.951538086</v>
      </c>
      <c r="L41" s="17">
        <v>21586670.058929443</v>
      </c>
      <c r="M41" s="17">
        <v>25734161.550628662</v>
      </c>
      <c r="N41" s="17">
        <v>24758211.849609375</v>
      </c>
      <c r="O41" s="17">
        <v>23640899.233703613</v>
      </c>
      <c r="P41" s="17">
        <f t="shared" ref="P41:P43" si="1">SUM(D41:O41)</f>
        <v>240957674.29153645</v>
      </c>
    </row>
    <row r="42" spans="2:16" x14ac:dyDescent="0.2">
      <c r="B42" s="15"/>
      <c r="C42" s="16" t="s">
        <v>42</v>
      </c>
      <c r="D42" s="17">
        <v>13071479.085041046</v>
      </c>
      <c r="E42" s="17">
        <v>19685361.231031418</v>
      </c>
      <c r="F42" s="17">
        <v>20459625.481864929</v>
      </c>
      <c r="G42" s="17">
        <v>18468779.580858231</v>
      </c>
      <c r="H42" s="17">
        <v>21308.374463423133</v>
      </c>
      <c r="I42" s="17">
        <v>23593387.324594498</v>
      </c>
      <c r="J42" s="17">
        <v>25912189.258003235</v>
      </c>
      <c r="K42" s="17">
        <v>25217526.967025757</v>
      </c>
      <c r="L42" s="17">
        <v>20800639.440170288</v>
      </c>
      <c r="M42" s="17">
        <v>25878592.521682739</v>
      </c>
      <c r="N42" s="17">
        <v>24465427.66375462</v>
      </c>
      <c r="O42" s="17">
        <v>23850499.929531097</v>
      </c>
      <c r="P42" s="17">
        <f t="shared" si="1"/>
        <v>241424816.85802129</v>
      </c>
    </row>
    <row r="43" spans="2:16" ht="15" x14ac:dyDescent="0.25">
      <c r="B43" s="19" t="s">
        <v>43</v>
      </c>
      <c r="C43" s="20"/>
      <c r="D43" s="11">
        <v>93968464.589186341</v>
      </c>
      <c r="E43" s="11">
        <v>75548527.660596728</v>
      </c>
      <c r="F43" s="11">
        <v>125123043.15410388</v>
      </c>
      <c r="G43" s="11">
        <v>99771246.945967823</v>
      </c>
      <c r="H43" s="11">
        <v>104409.9615927822</v>
      </c>
      <c r="I43" s="11">
        <v>107499544.69029142</v>
      </c>
      <c r="J43" s="11">
        <v>113366727.7803411</v>
      </c>
      <c r="K43" s="11">
        <v>113516731.13420159</v>
      </c>
      <c r="L43" s="11">
        <v>105273453.40808503</v>
      </c>
      <c r="M43" s="11">
        <v>116229198.86596596</v>
      </c>
      <c r="N43" s="11">
        <v>109486628.11528453</v>
      </c>
      <c r="O43" s="11">
        <v>110033954.42607206</v>
      </c>
      <c r="P43" s="11">
        <f t="shared" si="1"/>
        <v>1169921930.7316892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7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49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61567066.50412634</v>
      </c>
      <c r="E7" s="11">
        <v>66408160.214047581</v>
      </c>
      <c r="F7" s="11">
        <v>62199981.954332739</v>
      </c>
      <c r="G7" s="11">
        <v>59417910.550665319</v>
      </c>
      <c r="H7" s="11">
        <v>61089623.960136436</v>
      </c>
      <c r="I7" s="11">
        <v>59430511.744705901</v>
      </c>
      <c r="J7" s="11">
        <v>61383133.368061863</v>
      </c>
      <c r="K7" s="11">
        <v>61280807.284408785</v>
      </c>
      <c r="L7" s="11">
        <v>64747479.857348084</v>
      </c>
      <c r="M7" s="11">
        <v>66867797.694016941</v>
      </c>
      <c r="N7" s="11">
        <v>64071134.155263454</v>
      </c>
      <c r="O7" s="11">
        <v>64030330.263130188</v>
      </c>
      <c r="P7" s="11">
        <f t="shared" ref="P7:P40" si="0">SUM(D7:O7)</f>
        <v>752493937.55024362</v>
      </c>
    </row>
    <row r="8" spans="1:16" ht="15" x14ac:dyDescent="0.25">
      <c r="B8" s="12" t="s">
        <v>19</v>
      </c>
      <c r="C8" s="13"/>
      <c r="D8" s="14">
        <v>1200312.704513073</v>
      </c>
      <c r="E8" s="14">
        <v>595627.65822505951</v>
      </c>
      <c r="F8" s="14">
        <v>1109246.7762002945</v>
      </c>
      <c r="G8" s="14">
        <v>1127181.5622558594</v>
      </c>
      <c r="H8" s="14">
        <v>1133309.5507035851</v>
      </c>
      <c r="I8" s="14">
        <v>1135682.0825748444</v>
      </c>
      <c r="J8" s="14">
        <v>1181781.6621814668</v>
      </c>
      <c r="K8" s="14">
        <v>1185200.271194458</v>
      </c>
      <c r="L8" s="14">
        <v>1181473.9502506256</v>
      </c>
      <c r="M8" s="14">
        <v>1245883.7871708823</v>
      </c>
      <c r="N8" s="14">
        <v>1178932.8245644569</v>
      </c>
      <c r="O8" s="14">
        <v>1245646.5469417572</v>
      </c>
      <c r="P8" s="14">
        <f t="shared" si="0"/>
        <v>13520279.376776364</v>
      </c>
    </row>
    <row r="9" spans="1:16" x14ac:dyDescent="0.2">
      <c r="B9" s="15"/>
      <c r="C9" s="16" t="s">
        <v>20</v>
      </c>
      <c r="D9" s="17">
        <v>603014.87255430222</v>
      </c>
      <c r="E9" s="17">
        <v>588657.69343566895</v>
      </c>
      <c r="F9" s="17">
        <v>565713.04708480835</v>
      </c>
      <c r="G9" s="17">
        <v>563554.24073791504</v>
      </c>
      <c r="H9" s="17">
        <v>565058.8962020874</v>
      </c>
      <c r="I9" s="17">
        <v>566965.12670898438</v>
      </c>
      <c r="J9" s="17">
        <v>596471.56697902083</v>
      </c>
      <c r="K9" s="17">
        <v>589615.46691894531</v>
      </c>
      <c r="L9" s="17">
        <v>592046.60597038269</v>
      </c>
      <c r="M9" s="17">
        <v>628504.66882180702</v>
      </c>
      <c r="N9" s="17">
        <v>602909.1493973732</v>
      </c>
      <c r="O9" s="17">
        <v>624039.8028793335</v>
      </c>
      <c r="P9" s="17">
        <f t="shared" si="0"/>
        <v>7086551.1376906289</v>
      </c>
    </row>
    <row r="10" spans="1:16" x14ac:dyDescent="0.2">
      <c r="B10" s="15"/>
      <c r="C10" s="16" t="s">
        <v>21</v>
      </c>
      <c r="D10" s="17">
        <v>597297.83195877075</v>
      </c>
      <c r="E10" s="17">
        <v>6969.964789390564</v>
      </c>
      <c r="F10" s="17">
        <v>543533.72911548615</v>
      </c>
      <c r="G10" s="17">
        <v>563627.32151794434</v>
      </c>
      <c r="H10" s="17">
        <v>568250.65450149775</v>
      </c>
      <c r="I10" s="17">
        <v>568716.95586585999</v>
      </c>
      <c r="J10" s="17">
        <v>585310.09520244598</v>
      </c>
      <c r="K10" s="17">
        <v>595584.8042755127</v>
      </c>
      <c r="L10" s="17">
        <v>589427.34428024292</v>
      </c>
      <c r="M10" s="17">
        <v>617379.11834907532</v>
      </c>
      <c r="N10" s="17">
        <v>576023.67516708374</v>
      </c>
      <c r="O10" s="17">
        <v>621606.74406242371</v>
      </c>
      <c r="P10" s="17">
        <f t="shared" si="0"/>
        <v>6433728.2390857339</v>
      </c>
    </row>
    <row r="11" spans="1:16" ht="15" x14ac:dyDescent="0.25">
      <c r="B11" s="12" t="s">
        <v>22</v>
      </c>
      <c r="C11" s="13"/>
      <c r="D11" s="14">
        <v>417606.20035934448</v>
      </c>
      <c r="E11" s="14">
        <v>355836.37687129132</v>
      </c>
      <c r="F11" s="14">
        <v>413046.21670469642</v>
      </c>
      <c r="G11" s="14">
        <v>403447.00989043713</v>
      </c>
      <c r="H11" s="14">
        <v>410373.14902994037</v>
      </c>
      <c r="I11" s="14">
        <v>394817.5107550621</v>
      </c>
      <c r="J11" s="14">
        <v>287228.52809858322</v>
      </c>
      <c r="K11" s="14">
        <v>401310.70727905631</v>
      </c>
      <c r="L11" s="14">
        <v>411916.17314910889</v>
      </c>
      <c r="M11" s="14">
        <v>423469.07468473911</v>
      </c>
      <c r="N11" s="14">
        <v>403900.82934868336</v>
      </c>
      <c r="O11" s="14">
        <v>420588.86263489723</v>
      </c>
      <c r="P11" s="14">
        <f t="shared" si="0"/>
        <v>4743540.6388058402</v>
      </c>
    </row>
    <row r="12" spans="1:16" x14ac:dyDescent="0.2">
      <c r="B12" s="15"/>
      <c r="C12" s="16" t="s">
        <v>20</v>
      </c>
      <c r="D12" s="17">
        <v>134404.18310165405</v>
      </c>
      <c r="E12" s="17">
        <v>105204.8679587245</v>
      </c>
      <c r="F12" s="17">
        <v>130213.01215216517</v>
      </c>
      <c r="G12" s="17">
        <v>127221.91642796993</v>
      </c>
      <c r="H12" s="17">
        <v>125625.39952680469</v>
      </c>
      <c r="I12" s="17">
        <v>115595.43559217453</v>
      </c>
      <c r="J12" s="17">
        <v>0</v>
      </c>
      <c r="K12" s="17">
        <v>114226.93053326011</v>
      </c>
      <c r="L12" s="17">
        <v>133600.06378555298</v>
      </c>
      <c r="M12" s="17">
        <v>137400.73250877857</v>
      </c>
      <c r="N12" s="17">
        <v>128019.78713703156</v>
      </c>
      <c r="O12" s="17">
        <v>134404.34064269066</v>
      </c>
      <c r="P12" s="17">
        <f t="shared" si="0"/>
        <v>1385916.6693668067</v>
      </c>
    </row>
    <row r="13" spans="1:16" x14ac:dyDescent="0.2">
      <c r="B13" s="15"/>
      <c r="C13" s="16" t="s">
        <v>21</v>
      </c>
      <c r="D13" s="17">
        <v>135333.09596252441</v>
      </c>
      <c r="E13" s="17">
        <v>119097.62823137641</v>
      </c>
      <c r="F13" s="17">
        <v>134879.84292304516</v>
      </c>
      <c r="G13" s="17">
        <v>132927.10846757889</v>
      </c>
      <c r="H13" s="17">
        <v>139980.45553779602</v>
      </c>
      <c r="I13" s="17">
        <v>135948.50678634644</v>
      </c>
      <c r="J13" s="17">
        <v>138864.86478900909</v>
      </c>
      <c r="K13" s="17">
        <v>138062.92359733582</v>
      </c>
      <c r="L13" s="17">
        <v>132904.67712020874</v>
      </c>
      <c r="M13" s="17">
        <v>136626.05755901337</v>
      </c>
      <c r="N13" s="17">
        <v>131296.75983572006</v>
      </c>
      <c r="O13" s="17">
        <v>136326.76516819</v>
      </c>
      <c r="P13" s="17">
        <f t="shared" si="0"/>
        <v>1612248.6859781444</v>
      </c>
    </row>
    <row r="14" spans="1:16" x14ac:dyDescent="0.2">
      <c r="B14" s="15"/>
      <c r="C14" s="16" t="s">
        <v>23</v>
      </c>
      <c r="D14" s="17">
        <v>147868.92129516602</v>
      </c>
      <c r="E14" s="17">
        <v>131533.88068119041</v>
      </c>
      <c r="F14" s="17">
        <v>147953.36162948608</v>
      </c>
      <c r="G14" s="17">
        <v>143297.98499488831</v>
      </c>
      <c r="H14" s="17">
        <v>144767.29396533966</v>
      </c>
      <c r="I14" s="17">
        <v>143273.56837654114</v>
      </c>
      <c r="J14" s="17">
        <v>148363.66330957413</v>
      </c>
      <c r="K14" s="17">
        <v>149020.85314846039</v>
      </c>
      <c r="L14" s="17">
        <v>145411.43224334717</v>
      </c>
      <c r="M14" s="17">
        <v>149442.28461694717</v>
      </c>
      <c r="N14" s="17">
        <v>144584.28237593174</v>
      </c>
      <c r="O14" s="17">
        <v>149857.75682401657</v>
      </c>
      <c r="P14" s="17">
        <f t="shared" si="0"/>
        <v>1745375.2834608888</v>
      </c>
    </row>
    <row r="15" spans="1:16" ht="15" x14ac:dyDescent="0.25">
      <c r="B15" s="12" t="s">
        <v>24</v>
      </c>
      <c r="C15" s="13"/>
      <c r="D15" s="14">
        <v>3348048.2308654785</v>
      </c>
      <c r="E15" s="14">
        <v>2962109.7830429077</v>
      </c>
      <c r="F15" s="14">
        <v>3255686.0609207153</v>
      </c>
      <c r="G15" s="14">
        <v>3265252.5500488281</v>
      </c>
      <c r="H15" s="14">
        <v>3232852.2047691345</v>
      </c>
      <c r="I15" s="14">
        <v>3255714.9261474609</v>
      </c>
      <c r="J15" s="14">
        <v>3359221.7099432945</v>
      </c>
      <c r="K15" s="14">
        <v>3320362.3030738831</v>
      </c>
      <c r="L15" s="14">
        <v>3241107.4496307373</v>
      </c>
      <c r="M15" s="14">
        <v>3349204.7584789991</v>
      </c>
      <c r="N15" s="14">
        <v>3199806.6374282837</v>
      </c>
      <c r="O15" s="14">
        <v>3378462.4736844581</v>
      </c>
      <c r="P15" s="14">
        <f t="shared" si="0"/>
        <v>39167829.088034183</v>
      </c>
    </row>
    <row r="16" spans="1:16" x14ac:dyDescent="0.2">
      <c r="B16" s="15"/>
      <c r="C16" s="16" t="s">
        <v>20</v>
      </c>
      <c r="D16" s="17">
        <v>1637688.9414367676</v>
      </c>
      <c r="E16" s="17">
        <v>1439182.016418457</v>
      </c>
      <c r="F16" s="17">
        <v>1582622.2162780762</v>
      </c>
      <c r="G16" s="17">
        <v>1587484.7600708008</v>
      </c>
      <c r="H16" s="17">
        <v>1580562.6278762817</v>
      </c>
      <c r="I16" s="17">
        <v>1583027.611541748</v>
      </c>
      <c r="J16" s="17">
        <v>1633405.0678839684</v>
      </c>
      <c r="K16" s="17">
        <v>1625815.5188751221</v>
      </c>
      <c r="L16" s="17">
        <v>1577585.5697174072</v>
      </c>
      <c r="M16" s="17">
        <v>1635079.0869702101</v>
      </c>
      <c r="N16" s="17">
        <v>1559539.9226989746</v>
      </c>
      <c r="O16" s="17">
        <v>1643243.9611836951</v>
      </c>
      <c r="P16" s="17">
        <f t="shared" si="0"/>
        <v>19085237.300951511</v>
      </c>
    </row>
    <row r="17" spans="2:18" x14ac:dyDescent="0.2">
      <c r="B17" s="15"/>
      <c r="C17" s="16" t="s">
        <v>21</v>
      </c>
      <c r="D17" s="17">
        <v>1710359.2894287109</v>
      </c>
      <c r="E17" s="17">
        <v>1522927.7666244507</v>
      </c>
      <c r="F17" s="17">
        <v>1673063.8446426392</v>
      </c>
      <c r="G17" s="17">
        <v>1677767.7899780273</v>
      </c>
      <c r="H17" s="17">
        <v>1652289.5768928528</v>
      </c>
      <c r="I17" s="17">
        <v>1672687.3146057129</v>
      </c>
      <c r="J17" s="17">
        <v>1725816.6420593262</v>
      </c>
      <c r="K17" s="17">
        <v>1694546.784198761</v>
      </c>
      <c r="L17" s="17">
        <v>1663521.8799133301</v>
      </c>
      <c r="M17" s="17">
        <v>1714125.6715087891</v>
      </c>
      <c r="N17" s="17">
        <v>1640266.7147293091</v>
      </c>
      <c r="O17" s="17">
        <v>1735218.5125007629</v>
      </c>
      <c r="P17" s="17">
        <f t="shared" si="0"/>
        <v>20082591.787082672</v>
      </c>
    </row>
    <row r="18" spans="2:18" ht="15" x14ac:dyDescent="0.25">
      <c r="B18" s="12" t="s">
        <v>25</v>
      </c>
      <c r="C18" s="13"/>
      <c r="D18" s="14">
        <v>7625759.7588389209</v>
      </c>
      <c r="E18" s="14">
        <v>7253519.8832174428</v>
      </c>
      <c r="F18" s="14">
        <v>7647270.8842620179</v>
      </c>
      <c r="G18" s="14">
        <v>7324990.3239290975</v>
      </c>
      <c r="H18" s="14">
        <v>7284265.3905498153</v>
      </c>
      <c r="I18" s="14">
        <v>7247124.5363644734</v>
      </c>
      <c r="J18" s="14">
        <v>7492954.4432446305</v>
      </c>
      <c r="K18" s="14">
        <v>7411676.4927188084</v>
      </c>
      <c r="L18" s="14">
        <v>7936217.6809570491</v>
      </c>
      <c r="M18" s="14">
        <v>8130644.9609736381</v>
      </c>
      <c r="N18" s="14">
        <v>7772502.2996950746</v>
      </c>
      <c r="O18" s="14">
        <v>7774050.4629574791</v>
      </c>
      <c r="P18" s="14">
        <f t="shared" si="0"/>
        <v>90900977.117708445</v>
      </c>
    </row>
    <row r="19" spans="2:18" x14ac:dyDescent="0.2">
      <c r="B19" s="15"/>
      <c r="C19" s="16" t="s">
        <v>20</v>
      </c>
      <c r="D19" s="17">
        <v>3229455.07421875</v>
      </c>
      <c r="E19" s="17">
        <v>2529082.1751721501</v>
      </c>
      <c r="F19" s="17">
        <v>2775954.238145873</v>
      </c>
      <c r="G19" s="17">
        <v>2958645.1192474365</v>
      </c>
      <c r="H19" s="17">
        <v>3013923.4505860275</v>
      </c>
      <c r="I19" s="17">
        <v>3004899.8893661499</v>
      </c>
      <c r="J19" s="17">
        <v>3071785.4613299146</v>
      </c>
      <c r="K19" s="17">
        <v>3148549.5900268555</v>
      </c>
      <c r="L19" s="17">
        <v>2958858.0036010742</v>
      </c>
      <c r="M19" s="17">
        <v>2964046.8743022773</v>
      </c>
      <c r="N19" s="17">
        <v>2972914.7123300731</v>
      </c>
      <c r="O19" s="17">
        <v>2465699.0664248765</v>
      </c>
      <c r="P19" s="17">
        <f t="shared" si="0"/>
        <v>35093813.654751457</v>
      </c>
    </row>
    <row r="20" spans="2:18" x14ac:dyDescent="0.2">
      <c r="B20" s="15"/>
      <c r="C20" s="16" t="s">
        <v>21</v>
      </c>
      <c r="D20" s="17">
        <v>1275626.3376167109</v>
      </c>
      <c r="E20" s="17">
        <v>1882858.5277156197</v>
      </c>
      <c r="F20" s="17">
        <v>2074681.801869343</v>
      </c>
      <c r="G20" s="17">
        <v>1256988.0632326864</v>
      </c>
      <c r="H20" s="17">
        <v>1137812.9576639831</v>
      </c>
      <c r="I20" s="17">
        <v>1153703.8629330769</v>
      </c>
      <c r="J20" s="17">
        <v>1155621.3193475772</v>
      </c>
      <c r="K20" s="17">
        <v>1130734.2038012668</v>
      </c>
      <c r="L20" s="17">
        <v>1969411.6307556331</v>
      </c>
      <c r="M20" s="17">
        <v>2116941.3690927364</v>
      </c>
      <c r="N20" s="17">
        <v>1736232.3538368642</v>
      </c>
      <c r="O20" s="17">
        <v>2106156.2816038728</v>
      </c>
      <c r="P20" s="17">
        <f t="shared" si="0"/>
        <v>18996768.709469371</v>
      </c>
    </row>
    <row r="21" spans="2:18" x14ac:dyDescent="0.2">
      <c r="B21" s="15"/>
      <c r="C21" s="16" t="s">
        <v>23</v>
      </c>
      <c r="D21" s="17">
        <v>3120678.3470034599</v>
      </c>
      <c r="E21" s="17">
        <v>2841579.180329673</v>
      </c>
      <c r="F21" s="17">
        <v>2796634.8442468024</v>
      </c>
      <c r="G21" s="17">
        <v>3109357.1414489746</v>
      </c>
      <c r="H21" s="17">
        <v>3132528.9822998047</v>
      </c>
      <c r="I21" s="17">
        <v>3088520.7840652466</v>
      </c>
      <c r="J21" s="17">
        <v>3265547.6625671387</v>
      </c>
      <c r="K21" s="17">
        <v>3132392.698890686</v>
      </c>
      <c r="L21" s="17">
        <v>3007948.0466003418</v>
      </c>
      <c r="M21" s="17">
        <v>3049656.7175786244</v>
      </c>
      <c r="N21" s="17">
        <v>3063355.2335281372</v>
      </c>
      <c r="O21" s="17">
        <v>3202195.1149287298</v>
      </c>
      <c r="P21" s="17">
        <f t="shared" si="0"/>
        <v>36810394.753487624</v>
      </c>
    </row>
    <row r="22" spans="2:18" ht="15" x14ac:dyDescent="0.25">
      <c r="B22" s="12" t="s">
        <v>26</v>
      </c>
      <c r="C22" s="13"/>
      <c r="D22" s="14">
        <v>44560970.148367882</v>
      </c>
      <c r="E22" s="14">
        <v>51114302.731578574</v>
      </c>
      <c r="F22" s="14">
        <v>45291948.927784562</v>
      </c>
      <c r="G22" s="14">
        <v>43101630.445880532</v>
      </c>
      <c r="H22" s="14">
        <v>44554949.516009331</v>
      </c>
      <c r="I22" s="14">
        <v>43092401.173754454</v>
      </c>
      <c r="J22" s="14">
        <v>44548849.620083392</v>
      </c>
      <c r="K22" s="14">
        <v>44536922.212062255</v>
      </c>
      <c r="L22" s="14">
        <v>47393735.967602581</v>
      </c>
      <c r="M22" s="14">
        <v>48996121.681845188</v>
      </c>
      <c r="N22" s="14">
        <v>47409620.113084853</v>
      </c>
      <c r="O22" s="14">
        <v>46748368.327386484</v>
      </c>
      <c r="P22" s="14">
        <f t="shared" si="0"/>
        <v>551349820.86544001</v>
      </c>
    </row>
    <row r="23" spans="2:18" x14ac:dyDescent="0.2">
      <c r="B23" s="15"/>
      <c r="C23" s="16" t="s">
        <v>20</v>
      </c>
      <c r="D23" s="17">
        <v>19605147.25189209</v>
      </c>
      <c r="E23" s="17">
        <v>21727179.044677734</v>
      </c>
      <c r="F23" s="17">
        <v>23629530.093154907</v>
      </c>
      <c r="G23" s="17">
        <v>15271499.976959229</v>
      </c>
      <c r="H23" s="17">
        <v>13023982.371142387</v>
      </c>
      <c r="I23" s="17">
        <v>16892137.835479736</v>
      </c>
      <c r="J23" s="17">
        <v>9688282.4230272174</v>
      </c>
      <c r="K23" s="17">
        <v>7241182.7046467857</v>
      </c>
      <c r="L23" s="17">
        <v>19600316.526606798</v>
      </c>
      <c r="M23" s="17">
        <v>16678738.51935482</v>
      </c>
      <c r="N23" s="17">
        <v>13764668.526977539</v>
      </c>
      <c r="O23" s="17">
        <v>16755771.967897415</v>
      </c>
      <c r="P23" s="17">
        <f t="shared" si="0"/>
        <v>193878437.24181664</v>
      </c>
    </row>
    <row r="24" spans="2:18" x14ac:dyDescent="0.2">
      <c r="B24" s="15"/>
      <c r="C24" s="16" t="s">
        <v>21</v>
      </c>
      <c r="D24" s="17">
        <v>13621967.376093388</v>
      </c>
      <c r="E24" s="17">
        <v>14910453.20689784</v>
      </c>
      <c r="F24" s="17">
        <v>6349539.9949777722</v>
      </c>
      <c r="G24" s="17">
        <v>8316297.9399571419</v>
      </c>
      <c r="H24" s="17">
        <v>21164424.142400742</v>
      </c>
      <c r="I24" s="17">
        <v>13197458.028188944</v>
      </c>
      <c r="J24" s="17">
        <v>18738761.549560547</v>
      </c>
      <c r="K24" s="17">
        <v>18457745.222259223</v>
      </c>
      <c r="L24" s="17">
        <v>19570410.467963815</v>
      </c>
      <c r="M24" s="17">
        <v>19797285.920043945</v>
      </c>
      <c r="N24" s="17">
        <v>21302904.70715332</v>
      </c>
      <c r="O24" s="17">
        <v>17116365.852323521</v>
      </c>
      <c r="P24" s="17">
        <f t="shared" si="0"/>
        <v>192543614.40782022</v>
      </c>
    </row>
    <row r="25" spans="2:18" x14ac:dyDescent="0.2">
      <c r="B25" s="15"/>
      <c r="C25" s="16" t="s">
        <v>23</v>
      </c>
      <c r="D25" s="17">
        <v>11333855.520382404</v>
      </c>
      <c r="E25" s="17">
        <v>14476670.480002999</v>
      </c>
      <c r="F25" s="17">
        <v>15312878.839651883</v>
      </c>
      <c r="G25" s="17">
        <v>19513832.528964162</v>
      </c>
      <c r="H25" s="17">
        <v>10366543.002466202</v>
      </c>
      <c r="I25" s="17">
        <v>13002805.310085773</v>
      </c>
      <c r="J25" s="17">
        <v>16121805.647495627</v>
      </c>
      <c r="K25" s="17">
        <v>18837994.28515625</v>
      </c>
      <c r="L25" s="17">
        <v>8223008.9730319679</v>
      </c>
      <c r="M25" s="17">
        <v>12520097.242446423</v>
      </c>
      <c r="N25" s="17">
        <v>12342046.878953993</v>
      </c>
      <c r="O25" s="17">
        <v>12876230.507165551</v>
      </c>
      <c r="P25" s="17">
        <f t="shared" si="0"/>
        <v>164927769.21580324</v>
      </c>
    </row>
    <row r="26" spans="2:18" ht="15" x14ac:dyDescent="0.25">
      <c r="B26" s="12" t="s">
        <v>27</v>
      </c>
      <c r="C26" s="13"/>
      <c r="D26" s="14">
        <v>4414369.4611816406</v>
      </c>
      <c r="E26" s="14">
        <v>4126763.7811123133</v>
      </c>
      <c r="F26" s="14">
        <v>4482783.0884604454</v>
      </c>
      <c r="G26" s="14">
        <v>4195408.6586605646</v>
      </c>
      <c r="H26" s="14">
        <v>4473874.1490746289</v>
      </c>
      <c r="I26" s="14">
        <v>4304771.5151096079</v>
      </c>
      <c r="J26" s="14">
        <v>4513097.404510498</v>
      </c>
      <c r="K26" s="14">
        <v>4425335.2980803251</v>
      </c>
      <c r="L26" s="14">
        <v>4583028.6357579827</v>
      </c>
      <c r="M26" s="14">
        <v>4722473.4308634894</v>
      </c>
      <c r="N26" s="14">
        <v>4106371.4511421062</v>
      </c>
      <c r="O26" s="14">
        <v>4463213.5895251036</v>
      </c>
      <c r="P26" s="14">
        <f t="shared" si="0"/>
        <v>52811490.463478714</v>
      </c>
    </row>
    <row r="27" spans="2:18" x14ac:dyDescent="0.2">
      <c r="B27" s="15"/>
      <c r="C27" s="16" t="s">
        <v>20</v>
      </c>
      <c r="D27" s="17">
        <v>4414369.4611816406</v>
      </c>
      <c r="E27" s="17">
        <v>4126763.7811123133</v>
      </c>
      <c r="F27" s="17">
        <v>4482783.0884604454</v>
      </c>
      <c r="G27" s="17">
        <v>4195408.6586605646</v>
      </c>
      <c r="H27" s="17">
        <v>4473874.1490746289</v>
      </c>
      <c r="I27" s="17">
        <v>4304771.5151096079</v>
      </c>
      <c r="J27" s="17">
        <v>4513097.404510498</v>
      </c>
      <c r="K27" s="17">
        <v>4425335.2980803251</v>
      </c>
      <c r="L27" s="17">
        <v>4583028.6357579827</v>
      </c>
      <c r="M27" s="17">
        <v>4722473.4308634894</v>
      </c>
      <c r="N27" s="17">
        <v>4106371.4511421062</v>
      </c>
      <c r="O27" s="17">
        <v>4463213.5895251036</v>
      </c>
      <c r="P27" s="17">
        <f t="shared" si="0"/>
        <v>52811490.463478714</v>
      </c>
      <c r="R27" s="18"/>
    </row>
    <row r="28" spans="2:18" ht="15" x14ac:dyDescent="0.25">
      <c r="B28" s="19" t="s">
        <v>28</v>
      </c>
      <c r="C28" s="20"/>
      <c r="D28" s="11">
        <v>38626081.715779938</v>
      </c>
      <c r="E28" s="11">
        <v>44840218.248802617</v>
      </c>
      <c r="F28" s="11">
        <v>38130389.823999181</v>
      </c>
      <c r="G28" s="11">
        <v>45617715.600132741</v>
      </c>
      <c r="H28" s="11">
        <v>53266894.562541246</v>
      </c>
      <c r="I28" s="11">
        <v>51484686.660275958</v>
      </c>
      <c r="J28" s="11">
        <v>53426959.630407482</v>
      </c>
      <c r="K28" s="11">
        <v>58315815.533692062</v>
      </c>
      <c r="L28" s="11">
        <v>50800874.566159308</v>
      </c>
      <c r="M28" s="11">
        <v>54336907.44788444</v>
      </c>
      <c r="N28" s="11">
        <v>56720937.567992933</v>
      </c>
      <c r="O28" s="11">
        <v>47566580.240069978</v>
      </c>
      <c r="P28" s="11">
        <f t="shared" si="0"/>
        <v>593134061.59773791</v>
      </c>
    </row>
    <row r="29" spans="2:18" ht="15" x14ac:dyDescent="0.25">
      <c r="B29" s="12" t="s">
        <v>29</v>
      </c>
      <c r="C29" s="13"/>
      <c r="D29" s="14">
        <v>3033207.9785186448</v>
      </c>
      <c r="E29" s="14">
        <v>2170004.7487827111</v>
      </c>
      <c r="F29" s="14">
        <v>412257.84532274824</v>
      </c>
      <c r="G29" s="14">
        <v>289045.04639539123</v>
      </c>
      <c r="H29" s="14">
        <v>1665323.7643768804</v>
      </c>
      <c r="I29" s="14">
        <v>2753175.3801096603</v>
      </c>
      <c r="J29" s="14">
        <v>3165776.92941585</v>
      </c>
      <c r="K29" s="14">
        <v>4587871.0952197313</v>
      </c>
      <c r="L29" s="14">
        <v>4150311.5396481156</v>
      </c>
      <c r="M29" s="14">
        <v>1179184.009163741</v>
      </c>
      <c r="N29" s="14">
        <v>3528379.2942172885</v>
      </c>
      <c r="O29" s="14">
        <v>1063993.4214850441</v>
      </c>
      <c r="P29" s="14">
        <f t="shared" si="0"/>
        <v>27998531.052655805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f t="shared" si="0"/>
        <v>0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0</v>
      </c>
    </row>
    <row r="33" spans="2:16" x14ac:dyDescent="0.2">
      <c r="B33" s="15"/>
      <c r="C33" s="16" t="s">
        <v>33</v>
      </c>
      <c r="D33" s="17">
        <v>134522.45069885254</v>
      </c>
      <c r="E33" s="17">
        <v>54015.014404296875</v>
      </c>
      <c r="F33" s="17">
        <v>72848.698902567441</v>
      </c>
      <c r="G33" s="17">
        <v>48837.975120544434</v>
      </c>
      <c r="H33" s="17">
        <v>52559.225708007813</v>
      </c>
      <c r="I33" s="17">
        <v>0</v>
      </c>
      <c r="J33" s="17">
        <v>54399.13623046875</v>
      </c>
      <c r="K33" s="17">
        <v>0</v>
      </c>
      <c r="L33" s="17">
        <v>0</v>
      </c>
      <c r="M33" s="17">
        <v>57050.832896709442</v>
      </c>
      <c r="N33" s="17">
        <v>28556.539611816406</v>
      </c>
      <c r="O33" s="17">
        <v>0</v>
      </c>
      <c r="P33" s="17">
        <f t="shared" si="0"/>
        <v>502789.8735732637</v>
      </c>
    </row>
    <row r="34" spans="2:16" x14ac:dyDescent="0.2">
      <c r="B34" s="15"/>
      <c r="C34" s="16" t="s">
        <v>34</v>
      </c>
      <c r="D34" s="17">
        <v>1466225.0310244113</v>
      </c>
      <c r="E34" s="17">
        <v>1042384.3625865765</v>
      </c>
      <c r="F34" s="17">
        <v>129103.06833434105</v>
      </c>
      <c r="G34" s="17">
        <v>123717.47205814719</v>
      </c>
      <c r="H34" s="17">
        <v>780731.65796583891</v>
      </c>
      <c r="I34" s="17">
        <v>1280396.9684685394</v>
      </c>
      <c r="J34" s="17">
        <v>1505050.4910088263</v>
      </c>
      <c r="K34" s="17">
        <v>2096182.1152695711</v>
      </c>
      <c r="L34" s="17">
        <v>2033258.2861558199</v>
      </c>
      <c r="M34" s="17">
        <v>553333.55164718628</v>
      </c>
      <c r="N34" s="17">
        <v>1570330.6167666912</v>
      </c>
      <c r="O34" s="17">
        <v>507261.11312780529</v>
      </c>
      <c r="P34" s="17">
        <f t="shared" si="0"/>
        <v>13087974.734413754</v>
      </c>
    </row>
    <row r="35" spans="2:16" x14ac:dyDescent="0.2">
      <c r="B35" s="15"/>
      <c r="C35" s="16" t="s">
        <v>35</v>
      </c>
      <c r="D35" s="17">
        <v>1432460.496795381</v>
      </c>
      <c r="E35" s="17">
        <v>1073605.3717918377</v>
      </c>
      <c r="F35" s="17">
        <v>210306.07808583975</v>
      </c>
      <c r="G35" s="17">
        <v>116489.5992166996</v>
      </c>
      <c r="H35" s="17">
        <v>832032.88070303365</v>
      </c>
      <c r="I35" s="17">
        <v>1472778.4116411209</v>
      </c>
      <c r="J35" s="17">
        <v>1606327.3021765552</v>
      </c>
      <c r="K35" s="17">
        <v>2491688.9799501607</v>
      </c>
      <c r="L35" s="17">
        <v>2117053.2534922957</v>
      </c>
      <c r="M35" s="17">
        <v>568799.6246198453</v>
      </c>
      <c r="N35" s="17">
        <v>1929492.1378387809</v>
      </c>
      <c r="O35" s="17">
        <v>556732.30835723877</v>
      </c>
      <c r="P35" s="17">
        <f t="shared" si="0"/>
        <v>14407766.444668788</v>
      </c>
    </row>
    <row r="36" spans="2:16" ht="15" x14ac:dyDescent="0.25">
      <c r="B36" s="12" t="s">
        <v>36</v>
      </c>
      <c r="C36" s="13"/>
      <c r="D36" s="14">
        <v>4696542.7525200844</v>
      </c>
      <c r="E36" s="14">
        <v>2367845.1050319672</v>
      </c>
      <c r="F36" s="14">
        <v>341364.90774595737</v>
      </c>
      <c r="G36" s="14">
        <v>353191.34563095093</v>
      </c>
      <c r="H36" s="14">
        <v>2436208.2337722778</v>
      </c>
      <c r="I36" s="14">
        <v>2605051.9399553882</v>
      </c>
      <c r="J36" s="14">
        <v>1853893.3575649261</v>
      </c>
      <c r="K36" s="14">
        <v>2984287.0704990029</v>
      </c>
      <c r="L36" s="14">
        <v>1357986.030913353</v>
      </c>
      <c r="M36" s="14">
        <v>391944.81658935547</v>
      </c>
      <c r="N36" s="14">
        <v>4093630.712813681</v>
      </c>
      <c r="O36" s="14">
        <v>1769762.3848691117</v>
      </c>
      <c r="P36" s="14">
        <f t="shared" si="0"/>
        <v>25251708.657906055</v>
      </c>
    </row>
    <row r="37" spans="2:16" x14ac:dyDescent="0.2">
      <c r="B37" s="15"/>
      <c r="C37" s="16" t="s">
        <v>37</v>
      </c>
      <c r="D37" s="17">
        <v>2745015.5743141174</v>
      </c>
      <c r="E37" s="17">
        <v>1215685.0352287292</v>
      </c>
      <c r="F37" s="17">
        <v>263349.69002592564</v>
      </c>
      <c r="G37" s="17">
        <v>172424.17922019958</v>
      </c>
      <c r="H37" s="17">
        <v>863271.10489654541</v>
      </c>
      <c r="I37" s="17">
        <v>1190654.5032548904</v>
      </c>
      <c r="J37" s="17">
        <v>0</v>
      </c>
      <c r="K37" s="17">
        <v>0</v>
      </c>
      <c r="L37" s="17">
        <v>0</v>
      </c>
      <c r="M37" s="17">
        <v>34151.245544433594</v>
      </c>
      <c r="N37" s="17">
        <v>2252949.448307991</v>
      </c>
      <c r="O37" s="17">
        <v>838301.69532251358</v>
      </c>
      <c r="P37" s="17">
        <f t="shared" si="0"/>
        <v>9575802.476115346</v>
      </c>
    </row>
    <row r="38" spans="2:16" x14ac:dyDescent="0.2">
      <c r="B38" s="15"/>
      <c r="C38" s="16" t="s">
        <v>38</v>
      </c>
      <c r="D38" s="17">
        <v>212397.58989953995</v>
      </c>
      <c r="E38" s="17">
        <v>0</v>
      </c>
      <c r="F38" s="17">
        <v>0</v>
      </c>
      <c r="G38" s="17">
        <v>8941.5231249999979</v>
      </c>
      <c r="H38" s="17">
        <v>756908.12337493896</v>
      </c>
      <c r="I38" s="17">
        <v>1040387.951700498</v>
      </c>
      <c r="J38" s="17">
        <v>1853893.3575649261</v>
      </c>
      <c r="K38" s="17">
        <v>2984287.0704990029</v>
      </c>
      <c r="L38" s="17">
        <v>421191.40971374512</v>
      </c>
      <c r="M38" s="17">
        <v>357793.57104492188</v>
      </c>
      <c r="N38" s="17">
        <v>1840681.26450569</v>
      </c>
      <c r="O38" s="17">
        <v>931460.68954659812</v>
      </c>
      <c r="P38" s="17">
        <f t="shared" si="0"/>
        <v>10407942.550974861</v>
      </c>
    </row>
    <row r="39" spans="2:16" x14ac:dyDescent="0.2">
      <c r="B39" s="15"/>
      <c r="C39" s="16" t="s">
        <v>39</v>
      </c>
      <c r="D39" s="17">
        <v>1739129.588306427</v>
      </c>
      <c r="E39" s="17">
        <v>1152160.0698032379</v>
      </c>
      <c r="F39" s="17">
        <v>78015.217720031738</v>
      </c>
      <c r="G39" s="17">
        <v>171825.64328575134</v>
      </c>
      <c r="H39" s="17">
        <v>816029.00550079346</v>
      </c>
      <c r="I39" s="17">
        <v>374009.48499999993</v>
      </c>
      <c r="J39" s="17">
        <v>0</v>
      </c>
      <c r="K39" s="17">
        <v>0</v>
      </c>
      <c r="L39" s="17">
        <v>936794.62119960785</v>
      </c>
      <c r="M39" s="17">
        <v>0</v>
      </c>
      <c r="N39" s="17">
        <v>0</v>
      </c>
      <c r="O39" s="17">
        <v>0</v>
      </c>
      <c r="P39" s="17">
        <f t="shared" si="0"/>
        <v>5267963.6308158496</v>
      </c>
    </row>
    <row r="40" spans="2:16" ht="15" x14ac:dyDescent="0.25">
      <c r="B40" s="12" t="s">
        <v>40</v>
      </c>
      <c r="C40" s="13"/>
      <c r="D40" s="17">
        <v>30896330.984741211</v>
      </c>
      <c r="E40" s="17">
        <v>40302368.394987941</v>
      </c>
      <c r="F40" s="17">
        <v>37376767.070930481</v>
      </c>
      <c r="G40" s="17">
        <v>44975479.208106399</v>
      </c>
      <c r="H40" s="17">
        <v>49165362.56439209</v>
      </c>
      <c r="I40" s="17">
        <v>46126459.340210915</v>
      </c>
      <c r="J40" s="17">
        <v>48407289.343426704</v>
      </c>
      <c r="K40" s="17">
        <v>50743657.367973328</v>
      </c>
      <c r="L40" s="17">
        <v>45292576.995597839</v>
      </c>
      <c r="M40" s="17">
        <v>52765778.622131348</v>
      </c>
      <c r="N40" s="17">
        <v>49098927.560961962</v>
      </c>
      <c r="O40" s="17">
        <v>44732824.43371582</v>
      </c>
      <c r="P40" s="17">
        <f t="shared" si="0"/>
        <v>539883821.88717604</v>
      </c>
    </row>
    <row r="41" spans="2:16" x14ac:dyDescent="0.2">
      <c r="B41" s="15"/>
      <c r="C41" s="16" t="s">
        <v>41</v>
      </c>
      <c r="D41" s="17">
        <v>15695277.116043091</v>
      </c>
      <c r="E41" s="17">
        <v>21482726.01873672</v>
      </c>
      <c r="F41" s="17">
        <v>20347647.690620422</v>
      </c>
      <c r="G41" s="17">
        <v>22822298.066001892</v>
      </c>
      <c r="H41" s="17">
        <v>24774770.727844238</v>
      </c>
      <c r="I41" s="17">
        <v>22819532.852733612</v>
      </c>
      <c r="J41" s="17">
        <v>23715845.284588814</v>
      </c>
      <c r="K41" s="17">
        <v>26548410.036132813</v>
      </c>
      <c r="L41" s="17">
        <v>25661623.149627686</v>
      </c>
      <c r="M41" s="17">
        <v>26466599.531677246</v>
      </c>
      <c r="N41" s="17">
        <v>24848722.083129883</v>
      </c>
      <c r="O41" s="17">
        <v>20093581.255615234</v>
      </c>
      <c r="P41" s="17">
        <f t="shared" ref="P41:P43" si="1">SUM(D41:O41)</f>
        <v>275277033.81275165</v>
      </c>
    </row>
    <row r="42" spans="2:16" x14ac:dyDescent="0.2">
      <c r="B42" s="15"/>
      <c r="C42" s="16" t="s">
        <v>42</v>
      </c>
      <c r="D42" s="17">
        <v>15201053.86869812</v>
      </c>
      <c r="E42" s="17">
        <v>18819642.376251221</v>
      </c>
      <c r="F42" s="17">
        <v>17029119.380310059</v>
      </c>
      <c r="G42" s="17">
        <v>22153181.142104506</v>
      </c>
      <c r="H42" s="17">
        <v>24390591.836547852</v>
      </c>
      <c r="I42" s="17">
        <v>23306926.487477303</v>
      </c>
      <c r="J42" s="17">
        <v>24691444.058837891</v>
      </c>
      <c r="K42" s="17">
        <v>24195247.331840515</v>
      </c>
      <c r="L42" s="17">
        <v>19630953.845970154</v>
      </c>
      <c r="M42" s="17">
        <v>26299179.090454102</v>
      </c>
      <c r="N42" s="17">
        <v>24250205.477832079</v>
      </c>
      <c r="O42" s="17">
        <v>24639243.178100586</v>
      </c>
      <c r="P42" s="17">
        <f t="shared" si="1"/>
        <v>264606788.07442439</v>
      </c>
    </row>
    <row r="43" spans="2:16" ht="15" x14ac:dyDescent="0.25">
      <c r="B43" s="19" t="s">
        <v>43</v>
      </c>
      <c r="C43" s="20"/>
      <c r="D43" s="11">
        <v>100193148.21990627</v>
      </c>
      <c r="E43" s="11">
        <v>111248378.4628502</v>
      </c>
      <c r="F43" s="11">
        <v>100330371.77833192</v>
      </c>
      <c r="G43" s="11">
        <v>105035626.15079807</v>
      </c>
      <c r="H43" s="11">
        <v>114356518.52267767</v>
      </c>
      <c r="I43" s="11">
        <v>110915198.40498185</v>
      </c>
      <c r="J43" s="11">
        <v>114810092.99846935</v>
      </c>
      <c r="K43" s="11">
        <v>119596622.81810084</v>
      </c>
      <c r="L43" s="11">
        <v>115548354.42350739</v>
      </c>
      <c r="M43" s="11">
        <v>121204705.14190137</v>
      </c>
      <c r="N43" s="11">
        <v>120792071.72325638</v>
      </c>
      <c r="O43" s="11">
        <v>111596910.50320014</v>
      </c>
      <c r="P43" s="11">
        <f t="shared" si="1"/>
        <v>1345627999.1479814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8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50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61142282.919574097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f t="shared" ref="P7:P40" si="0">SUM(D7:O7)</f>
        <v>61142282.919574097</v>
      </c>
    </row>
    <row r="8" spans="1:16" ht="15" x14ac:dyDescent="0.25">
      <c r="B8" s="12" t="s">
        <v>19</v>
      </c>
      <c r="C8" s="13"/>
      <c r="D8" s="14">
        <v>1131697.1148209115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f t="shared" si="0"/>
        <v>1131697.1148209115</v>
      </c>
    </row>
    <row r="9" spans="1:16" x14ac:dyDescent="0.2">
      <c r="B9" s="15"/>
      <c r="C9" s="16" t="s">
        <v>20</v>
      </c>
      <c r="D9" s="17">
        <v>573723.64108528011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f t="shared" si="0"/>
        <v>573723.64108528011</v>
      </c>
    </row>
    <row r="10" spans="1:16" x14ac:dyDescent="0.2">
      <c r="B10" s="15"/>
      <c r="C10" s="16" t="s">
        <v>21</v>
      </c>
      <c r="D10" s="17">
        <v>557973.47373563156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f t="shared" si="0"/>
        <v>557973.47373563156</v>
      </c>
    </row>
    <row r="11" spans="1:16" ht="15" x14ac:dyDescent="0.25">
      <c r="B11" s="12" t="s">
        <v>22</v>
      </c>
      <c r="C11" s="13"/>
      <c r="D11" s="14">
        <v>404734.52246221201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f t="shared" si="0"/>
        <v>404734.52246221201</v>
      </c>
    </row>
    <row r="12" spans="1:16" x14ac:dyDescent="0.2">
      <c r="B12" s="15"/>
      <c r="C12" s="16" t="s">
        <v>20</v>
      </c>
      <c r="D12" s="17">
        <v>130835.18427365318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f t="shared" si="0"/>
        <v>130835.18427365318</v>
      </c>
    </row>
    <row r="13" spans="1:16" x14ac:dyDescent="0.2">
      <c r="B13" s="15"/>
      <c r="C13" s="16" t="s">
        <v>21</v>
      </c>
      <c r="D13" s="17">
        <v>131096.7783433795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f t="shared" si="0"/>
        <v>131096.7783433795</v>
      </c>
    </row>
    <row r="14" spans="1:16" x14ac:dyDescent="0.2">
      <c r="B14" s="15"/>
      <c r="C14" s="16" t="s">
        <v>23</v>
      </c>
      <c r="D14" s="17">
        <v>142802.55984517932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f t="shared" si="0"/>
        <v>142802.55984517932</v>
      </c>
    </row>
    <row r="15" spans="1:16" ht="15" x14ac:dyDescent="0.25">
      <c r="B15" s="12" t="s">
        <v>24</v>
      </c>
      <c r="C15" s="13"/>
      <c r="D15" s="14">
        <v>3164352.1362183094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f t="shared" si="0"/>
        <v>3164352.1362183094</v>
      </c>
    </row>
    <row r="16" spans="1:16" x14ac:dyDescent="0.2">
      <c r="B16" s="15"/>
      <c r="C16" s="16" t="s">
        <v>20</v>
      </c>
      <c r="D16" s="17">
        <v>1531405.5677158833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f t="shared" si="0"/>
        <v>1531405.5677158833</v>
      </c>
    </row>
    <row r="17" spans="2:18" x14ac:dyDescent="0.2">
      <c r="B17" s="15"/>
      <c r="C17" s="16" t="s">
        <v>21</v>
      </c>
      <c r="D17" s="17">
        <v>1632946.5685024261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f t="shared" si="0"/>
        <v>1632946.5685024261</v>
      </c>
    </row>
    <row r="18" spans="2:18" ht="15" x14ac:dyDescent="0.25">
      <c r="B18" s="12" t="s">
        <v>25</v>
      </c>
      <c r="C18" s="13"/>
      <c r="D18" s="14">
        <v>7358159.6698372411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f t="shared" si="0"/>
        <v>7358159.6698372411</v>
      </c>
    </row>
    <row r="19" spans="2:18" x14ac:dyDescent="0.2">
      <c r="B19" s="15"/>
      <c r="C19" s="16" t="s">
        <v>20</v>
      </c>
      <c r="D19" s="17">
        <v>2880552.1267516911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f t="shared" si="0"/>
        <v>2880552.1267516911</v>
      </c>
    </row>
    <row r="20" spans="2:18" x14ac:dyDescent="0.2">
      <c r="B20" s="15"/>
      <c r="C20" s="16" t="s">
        <v>21</v>
      </c>
      <c r="D20" s="17">
        <v>2518139.6890359549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f t="shared" si="0"/>
        <v>2518139.6890359549</v>
      </c>
    </row>
    <row r="21" spans="2:18" x14ac:dyDescent="0.2">
      <c r="B21" s="15"/>
      <c r="C21" s="16" t="s">
        <v>23</v>
      </c>
      <c r="D21" s="17">
        <v>1959467.8540495951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f t="shared" si="0"/>
        <v>1959467.8540495951</v>
      </c>
    </row>
    <row r="22" spans="2:18" ht="15" x14ac:dyDescent="0.25">
      <c r="B22" s="12" t="s">
        <v>26</v>
      </c>
      <c r="C22" s="13"/>
      <c r="D22" s="14">
        <v>44993962.609077454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f t="shared" si="0"/>
        <v>44993962.609077454</v>
      </c>
    </row>
    <row r="23" spans="2:18" x14ac:dyDescent="0.2">
      <c r="B23" s="15"/>
      <c r="C23" s="16" t="s">
        <v>20</v>
      </c>
      <c r="D23" s="17">
        <v>9884250.9748283625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f t="shared" si="0"/>
        <v>9884250.9748283625</v>
      </c>
    </row>
    <row r="24" spans="2:18" x14ac:dyDescent="0.2">
      <c r="B24" s="15"/>
      <c r="C24" s="16" t="s">
        <v>21</v>
      </c>
      <c r="D24" s="17">
        <v>18056222.126608968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f t="shared" si="0"/>
        <v>18056222.126608968</v>
      </c>
    </row>
    <row r="25" spans="2:18" x14ac:dyDescent="0.2">
      <c r="B25" s="15"/>
      <c r="C25" s="16" t="s">
        <v>23</v>
      </c>
      <c r="D25" s="17">
        <v>17053489.507640123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f t="shared" si="0"/>
        <v>17053489.507640123</v>
      </c>
    </row>
    <row r="26" spans="2:18" ht="15" x14ac:dyDescent="0.25">
      <c r="B26" s="12" t="s">
        <v>27</v>
      </c>
      <c r="C26" s="13"/>
      <c r="D26" s="14">
        <v>4089376.8671579622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f t="shared" si="0"/>
        <v>4089376.8671579622</v>
      </c>
    </row>
    <row r="27" spans="2:18" x14ac:dyDescent="0.2">
      <c r="B27" s="15"/>
      <c r="C27" s="16" t="s">
        <v>20</v>
      </c>
      <c r="D27" s="17">
        <v>4089376.8671579622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f t="shared" si="0"/>
        <v>4089376.8671579622</v>
      </c>
      <c r="R27" s="18"/>
    </row>
    <row r="28" spans="2:18" ht="15" x14ac:dyDescent="0.25">
      <c r="B28" s="19" t="s">
        <v>28</v>
      </c>
      <c r="C28" s="20"/>
      <c r="D28" s="11">
        <v>37884227.385104053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f t="shared" si="0"/>
        <v>37884227.385104053</v>
      </c>
    </row>
    <row r="29" spans="2:18" ht="15" x14ac:dyDescent="0.25">
      <c r="B29" s="12" t="s">
        <v>29</v>
      </c>
      <c r="C29" s="13"/>
      <c r="D29" s="14">
        <v>712903.94462320954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f t="shared" si="0"/>
        <v>712903.94462320954</v>
      </c>
    </row>
    <row r="30" spans="2:18" x14ac:dyDescent="0.2">
      <c r="B30" s="15"/>
      <c r="C30" s="16" t="s">
        <v>30</v>
      </c>
      <c r="D30" s="17">
        <v>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f t="shared" si="0"/>
        <v>0</v>
      </c>
    </row>
    <row r="32" spans="2:18" x14ac:dyDescent="0.2">
      <c r="B32" s="15"/>
      <c r="C32" s="16" t="s">
        <v>32</v>
      </c>
      <c r="D32" s="17">
        <v>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f t="shared" si="0"/>
        <v>0</v>
      </c>
    </row>
    <row r="33" spans="2:16" x14ac:dyDescent="0.2">
      <c r="B33" s="15"/>
      <c r="C33" s="16" t="s">
        <v>33</v>
      </c>
      <c r="D33" s="17">
        <v>11521.423099517822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f t="shared" si="0"/>
        <v>11521.423099517822</v>
      </c>
    </row>
    <row r="34" spans="2:16" x14ac:dyDescent="0.2">
      <c r="B34" s="15"/>
      <c r="C34" s="16" t="s">
        <v>34</v>
      </c>
      <c r="D34" s="17">
        <v>370565.15283483267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f t="shared" si="0"/>
        <v>370565.15283483267</v>
      </c>
    </row>
    <row r="35" spans="2:16" x14ac:dyDescent="0.2">
      <c r="B35" s="15"/>
      <c r="C35" s="16" t="s">
        <v>35</v>
      </c>
      <c r="D35" s="17">
        <v>330817.36868885905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f t="shared" si="0"/>
        <v>330817.36868885905</v>
      </c>
    </row>
    <row r="36" spans="2:16" ht="15" x14ac:dyDescent="0.25">
      <c r="B36" s="12" t="s">
        <v>36</v>
      </c>
      <c r="C36" s="13"/>
      <c r="D36" s="14">
        <v>1338828.7362799644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f t="shared" si="0"/>
        <v>1338828.7362799644</v>
      </c>
    </row>
    <row r="37" spans="2:16" x14ac:dyDescent="0.2">
      <c r="B37" s="15"/>
      <c r="C37" s="16" t="s">
        <v>37</v>
      </c>
      <c r="D37" s="17">
        <v>683487.21587991714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f t="shared" si="0"/>
        <v>683487.21587991714</v>
      </c>
    </row>
    <row r="38" spans="2:16" x14ac:dyDescent="0.2">
      <c r="B38" s="15"/>
      <c r="C38" s="16" t="s">
        <v>38</v>
      </c>
      <c r="D38" s="17">
        <v>655341.5204000473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f t="shared" si="0"/>
        <v>655341.5204000473</v>
      </c>
    </row>
    <row r="39" spans="2:16" x14ac:dyDescent="0.2">
      <c r="B39" s="15"/>
      <c r="C39" s="16" t="s">
        <v>39</v>
      </c>
      <c r="D39" s="17">
        <v>0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f t="shared" si="0"/>
        <v>0</v>
      </c>
    </row>
    <row r="40" spans="2:16" ht="15" x14ac:dyDescent="0.25">
      <c r="B40" s="12" t="s">
        <v>40</v>
      </c>
      <c r="C40" s="13"/>
      <c r="D40" s="17">
        <v>35832494.704200879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f t="shared" si="0"/>
        <v>35832494.704200879</v>
      </c>
    </row>
    <row r="41" spans="2:16" x14ac:dyDescent="0.2">
      <c r="B41" s="15"/>
      <c r="C41" s="16" t="s">
        <v>41</v>
      </c>
      <c r="D41" s="17">
        <v>18277501.657094136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f t="shared" ref="P41:P43" si="1">SUM(D41:O41)</f>
        <v>18277501.657094136</v>
      </c>
    </row>
    <row r="42" spans="2:16" x14ac:dyDescent="0.2">
      <c r="B42" s="15"/>
      <c r="C42" s="16" t="s">
        <v>42</v>
      </c>
      <c r="D42" s="17">
        <v>17554993.047106743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f t="shared" si="1"/>
        <v>17554993.047106743</v>
      </c>
    </row>
    <row r="43" spans="2:16" ht="15" x14ac:dyDescent="0.25">
      <c r="B43" s="19" t="s">
        <v>43</v>
      </c>
      <c r="C43" s="20"/>
      <c r="D43" s="11">
        <v>99026510.304678142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f t="shared" si="1"/>
        <v>99026510.304678142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9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51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f t="shared" ref="P7:P40" si="0">SUM(D7:O7)</f>
        <v>0</v>
      </c>
    </row>
    <row r="8" spans="1:16" ht="15" x14ac:dyDescent="0.25">
      <c r="B8" s="12" t="s">
        <v>19</v>
      </c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f t="shared" si="0"/>
        <v>0</v>
      </c>
    </row>
    <row r="9" spans="1:16" x14ac:dyDescent="0.2">
      <c r="B9" s="15"/>
      <c r="C9" s="16" t="s">
        <v>20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f t="shared" si="0"/>
        <v>0</v>
      </c>
    </row>
    <row r="10" spans="1:16" x14ac:dyDescent="0.2">
      <c r="B10" s="15"/>
      <c r="C10" s="16" t="s">
        <v>21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f t="shared" si="0"/>
        <v>0</v>
      </c>
    </row>
    <row r="11" spans="1:16" ht="15" x14ac:dyDescent="0.25">
      <c r="B11" s="12" t="s">
        <v>22</v>
      </c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f t="shared" si="0"/>
        <v>0</v>
      </c>
    </row>
    <row r="12" spans="1:16" x14ac:dyDescent="0.2">
      <c r="B12" s="15"/>
      <c r="C12" s="16" t="s">
        <v>20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f t="shared" si="0"/>
        <v>0</v>
      </c>
    </row>
    <row r="13" spans="1:16" x14ac:dyDescent="0.2">
      <c r="B13" s="15"/>
      <c r="C13" s="16" t="s">
        <v>21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f t="shared" si="0"/>
        <v>0</v>
      </c>
    </row>
    <row r="14" spans="1:16" x14ac:dyDescent="0.2">
      <c r="B14" s="15"/>
      <c r="C14" s="16" t="s">
        <v>23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f t="shared" si="0"/>
        <v>0</v>
      </c>
    </row>
    <row r="15" spans="1:16" ht="15" x14ac:dyDescent="0.25">
      <c r="B15" s="12" t="s">
        <v>24</v>
      </c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f t="shared" si="0"/>
        <v>0</v>
      </c>
    </row>
    <row r="16" spans="1:16" x14ac:dyDescent="0.2">
      <c r="B16" s="15"/>
      <c r="C16" s="16" t="s">
        <v>20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f t="shared" si="0"/>
        <v>0</v>
      </c>
    </row>
    <row r="17" spans="2:18" x14ac:dyDescent="0.2">
      <c r="B17" s="15"/>
      <c r="C17" s="16" t="s">
        <v>21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f t="shared" si="0"/>
        <v>0</v>
      </c>
    </row>
    <row r="18" spans="2:18" ht="15" x14ac:dyDescent="0.25">
      <c r="B18" s="12" t="s">
        <v>25</v>
      </c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f t="shared" si="0"/>
        <v>0</v>
      </c>
    </row>
    <row r="19" spans="2:18" x14ac:dyDescent="0.2">
      <c r="B19" s="15"/>
      <c r="C19" s="16" t="s">
        <v>20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f t="shared" si="0"/>
        <v>0</v>
      </c>
    </row>
    <row r="20" spans="2:18" x14ac:dyDescent="0.2">
      <c r="B20" s="15"/>
      <c r="C20" s="16" t="s">
        <v>21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f t="shared" si="0"/>
        <v>0</v>
      </c>
    </row>
    <row r="21" spans="2:18" x14ac:dyDescent="0.2">
      <c r="B21" s="15"/>
      <c r="C21" s="16" t="s">
        <v>23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f t="shared" si="0"/>
        <v>0</v>
      </c>
    </row>
    <row r="22" spans="2:18" ht="15" x14ac:dyDescent="0.25">
      <c r="B22" s="12" t="s">
        <v>26</v>
      </c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f t="shared" si="0"/>
        <v>0</v>
      </c>
    </row>
    <row r="23" spans="2:18" x14ac:dyDescent="0.2">
      <c r="B23" s="15"/>
      <c r="C23" s="16" t="s">
        <v>20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f t="shared" si="0"/>
        <v>0</v>
      </c>
    </row>
    <row r="24" spans="2:18" x14ac:dyDescent="0.2">
      <c r="B24" s="15"/>
      <c r="C24" s="16" t="s">
        <v>21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f t="shared" si="0"/>
        <v>0</v>
      </c>
    </row>
    <row r="25" spans="2:18" x14ac:dyDescent="0.2">
      <c r="B25" s="15"/>
      <c r="C25" s="16" t="s">
        <v>23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f t="shared" si="0"/>
        <v>0</v>
      </c>
    </row>
    <row r="26" spans="2:18" ht="15" x14ac:dyDescent="0.25">
      <c r="B26" s="12" t="s">
        <v>27</v>
      </c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f t="shared" si="0"/>
        <v>0</v>
      </c>
    </row>
    <row r="27" spans="2:18" x14ac:dyDescent="0.2">
      <c r="B27" s="15"/>
      <c r="C27" s="16" t="s">
        <v>20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f t="shared" si="0"/>
        <v>0</v>
      </c>
      <c r="R27" s="18"/>
    </row>
    <row r="28" spans="2:18" ht="15" x14ac:dyDescent="0.25">
      <c r="B28" s="19" t="s">
        <v>28</v>
      </c>
      <c r="C28" s="2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f t="shared" si="0"/>
        <v>0</v>
      </c>
    </row>
    <row r="29" spans="2:18" ht="15" x14ac:dyDescent="0.25">
      <c r="B29" s="12" t="s">
        <v>29</v>
      </c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f t="shared" si="0"/>
        <v>0</v>
      </c>
    </row>
    <row r="30" spans="2:18" x14ac:dyDescent="0.2">
      <c r="B30" s="15"/>
      <c r="C30" s="16" t="s">
        <v>30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f t="shared" si="0"/>
        <v>0</v>
      </c>
    </row>
    <row r="31" spans="2:18" x14ac:dyDescent="0.2">
      <c r="B31" s="15"/>
      <c r="C31" s="16" t="s">
        <v>31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f t="shared" si="0"/>
        <v>0</v>
      </c>
    </row>
    <row r="32" spans="2:18" x14ac:dyDescent="0.2">
      <c r="B32" s="15"/>
      <c r="C32" s="16" t="s">
        <v>32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f t="shared" si="0"/>
        <v>0</v>
      </c>
    </row>
    <row r="33" spans="2:16" x14ac:dyDescent="0.2">
      <c r="B33" s="15"/>
      <c r="C33" s="16" t="s">
        <v>33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f t="shared" si="0"/>
        <v>0</v>
      </c>
    </row>
    <row r="34" spans="2:16" x14ac:dyDescent="0.2">
      <c r="B34" s="15"/>
      <c r="C34" s="16" t="s">
        <v>34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f t="shared" si="0"/>
        <v>0</v>
      </c>
    </row>
    <row r="35" spans="2:16" x14ac:dyDescent="0.2">
      <c r="B35" s="15"/>
      <c r="C35" s="16" t="s">
        <v>35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f t="shared" si="0"/>
        <v>0</v>
      </c>
    </row>
    <row r="36" spans="2:16" ht="15" x14ac:dyDescent="0.25">
      <c r="B36" s="12" t="s">
        <v>36</v>
      </c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f t="shared" si="0"/>
        <v>0</v>
      </c>
    </row>
    <row r="37" spans="2:16" x14ac:dyDescent="0.2">
      <c r="B37" s="15"/>
      <c r="C37" s="16" t="s">
        <v>37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f t="shared" si="0"/>
        <v>0</v>
      </c>
    </row>
    <row r="38" spans="2:16" x14ac:dyDescent="0.2">
      <c r="B38" s="15"/>
      <c r="C38" s="16" t="s">
        <v>38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f t="shared" si="0"/>
        <v>0</v>
      </c>
    </row>
    <row r="39" spans="2:16" x14ac:dyDescent="0.2">
      <c r="B39" s="15"/>
      <c r="C39" s="16" t="s">
        <v>39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f t="shared" si="0"/>
        <v>0</v>
      </c>
    </row>
    <row r="40" spans="2:16" ht="15" x14ac:dyDescent="0.25">
      <c r="B40" s="12" t="s">
        <v>40</v>
      </c>
      <c r="C40" s="13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f t="shared" si="0"/>
        <v>0</v>
      </c>
    </row>
    <row r="41" spans="2:16" x14ac:dyDescent="0.2">
      <c r="B41" s="15"/>
      <c r="C41" s="16" t="s">
        <v>41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f t="shared" ref="P41:P43" si="1">SUM(D41:O41)</f>
        <v>0</v>
      </c>
    </row>
    <row r="42" spans="2:16" x14ac:dyDescent="0.2">
      <c r="B42" s="15"/>
      <c r="C42" s="16" t="s">
        <v>42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f t="shared" si="1"/>
        <v>0</v>
      </c>
    </row>
    <row r="43" spans="2:16" ht="15" x14ac:dyDescent="0.25">
      <c r="B43" s="19" t="s">
        <v>43</v>
      </c>
      <c r="C43" s="2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f t="shared" si="1"/>
        <v>0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40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52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74934188.166091293</v>
      </c>
      <c r="E7" s="11">
        <v>97541913.2169936</v>
      </c>
      <c r="F7" s="11">
        <v>108165235.3285834</v>
      </c>
      <c r="G7" s="11">
        <v>90073526.098213255</v>
      </c>
      <c r="H7" s="11">
        <v>71143135.094790772</v>
      </c>
      <c r="I7" s="11">
        <v>69785813.307576314</v>
      </c>
      <c r="J7" s="11">
        <v>71183253.297877952</v>
      </c>
      <c r="K7" s="11">
        <v>72913251.805648118</v>
      </c>
      <c r="L7" s="11">
        <v>70558253.802513063</v>
      </c>
      <c r="M7" s="11">
        <v>78874541.926726803</v>
      </c>
      <c r="N7" s="11">
        <v>81026361.450428963</v>
      </c>
      <c r="O7" s="11">
        <v>75028635.576040149</v>
      </c>
      <c r="P7" s="11">
        <f t="shared" ref="P7:P40" si="0">SUM(D7:O7)</f>
        <v>961228109.07148373</v>
      </c>
    </row>
    <row r="8" spans="1:16" ht="15" x14ac:dyDescent="0.25">
      <c r="B8" s="12" t="s">
        <v>19</v>
      </c>
      <c r="C8" s="13"/>
      <c r="D8" s="14">
        <v>1240993.9297561646</v>
      </c>
      <c r="E8" s="14">
        <v>998703.78129243851</v>
      </c>
      <c r="F8" s="14">
        <v>1234438.5763149261</v>
      </c>
      <c r="G8" s="14">
        <v>1199725.6251044273</v>
      </c>
      <c r="H8" s="14">
        <v>1243993.3112640381</v>
      </c>
      <c r="I8" s="14">
        <v>1199649.7713184357</v>
      </c>
      <c r="J8" s="14">
        <v>1214494.3993606567</v>
      </c>
      <c r="K8" s="14">
        <v>1233405.4938735962</v>
      </c>
      <c r="L8" s="14">
        <v>1162832.6134141684</v>
      </c>
      <c r="M8" s="14">
        <v>1217817.471904397</v>
      </c>
      <c r="N8" s="14">
        <v>1208276.0299491882</v>
      </c>
      <c r="O8" s="14">
        <v>1230041.8670830727</v>
      </c>
      <c r="P8" s="14">
        <f t="shared" si="0"/>
        <v>14384372.870635509</v>
      </c>
    </row>
    <row r="9" spans="1:16" x14ac:dyDescent="0.2">
      <c r="B9" s="15"/>
      <c r="C9" s="16" t="s">
        <v>20</v>
      </c>
      <c r="D9" s="17">
        <v>622445.1187953949</v>
      </c>
      <c r="E9" s="17">
        <v>483434.69165039063</v>
      </c>
      <c r="F9" s="17">
        <v>617155.87309074402</v>
      </c>
      <c r="G9" s="17">
        <v>598628.67613220215</v>
      </c>
      <c r="H9" s="17">
        <v>623811.25969314575</v>
      </c>
      <c r="I9" s="17">
        <v>600670.96252822876</v>
      </c>
      <c r="J9" s="17">
        <v>604627.73471069336</v>
      </c>
      <c r="K9" s="17">
        <v>615646.39929962158</v>
      </c>
      <c r="L9" s="17">
        <v>580861.35037994385</v>
      </c>
      <c r="M9" s="17">
        <v>609230.63455200195</v>
      </c>
      <c r="N9" s="17">
        <v>605992.43029022217</v>
      </c>
      <c r="O9" s="17">
        <v>617868.13791656494</v>
      </c>
      <c r="P9" s="17">
        <f t="shared" si="0"/>
        <v>7180373.2690391541</v>
      </c>
    </row>
    <row r="10" spans="1:16" x14ac:dyDescent="0.2">
      <c r="B10" s="15"/>
      <c r="C10" s="16" t="s">
        <v>21</v>
      </c>
      <c r="D10" s="17">
        <v>618548.81096076965</v>
      </c>
      <c r="E10" s="17">
        <v>515269.08964204788</v>
      </c>
      <c r="F10" s="17">
        <v>617282.70322418213</v>
      </c>
      <c r="G10" s="17">
        <v>601096.94897222519</v>
      </c>
      <c r="H10" s="17">
        <v>620182.05157089233</v>
      </c>
      <c r="I10" s="17">
        <v>598978.80879020691</v>
      </c>
      <c r="J10" s="17">
        <v>609866.66464996338</v>
      </c>
      <c r="K10" s="17">
        <v>617759.09457397461</v>
      </c>
      <c r="L10" s="17">
        <v>581971.26303422451</v>
      </c>
      <c r="M10" s="17">
        <v>608586.83735239506</v>
      </c>
      <c r="N10" s="17">
        <v>602283.59965896606</v>
      </c>
      <c r="O10" s="17">
        <v>612173.72916650772</v>
      </c>
      <c r="P10" s="17">
        <f t="shared" si="0"/>
        <v>7203999.6015963554</v>
      </c>
    </row>
    <row r="11" spans="1:16" ht="15" x14ac:dyDescent="0.25">
      <c r="B11" s="12" t="s">
        <v>22</v>
      </c>
      <c r="C11" s="13"/>
      <c r="D11" s="14">
        <v>418880.91194474697</v>
      </c>
      <c r="E11" s="14">
        <v>312433.24025306199</v>
      </c>
      <c r="F11" s="14">
        <v>413712.02063274384</v>
      </c>
      <c r="G11" s="14">
        <v>407002.95605832909</v>
      </c>
      <c r="H11" s="14">
        <v>415045.0676715374</v>
      </c>
      <c r="I11" s="14">
        <v>405403.72461700439</v>
      </c>
      <c r="J11" s="14">
        <v>423371.36547470093</v>
      </c>
      <c r="K11" s="14">
        <v>421529.00800895691</v>
      </c>
      <c r="L11" s="14">
        <v>413991.81422233582</v>
      </c>
      <c r="M11" s="14">
        <v>421209.26207307726</v>
      </c>
      <c r="N11" s="14">
        <v>414693.97303009033</v>
      </c>
      <c r="O11" s="14">
        <v>423407.92320270836</v>
      </c>
      <c r="P11" s="14">
        <f t="shared" si="0"/>
        <v>4890681.2671892932</v>
      </c>
    </row>
    <row r="12" spans="1:16" x14ac:dyDescent="0.2">
      <c r="B12" s="15"/>
      <c r="C12" s="16" t="s">
        <v>20</v>
      </c>
      <c r="D12" s="17">
        <v>137788.98675143719</v>
      </c>
      <c r="E12" s="17">
        <v>103302.66227769852</v>
      </c>
      <c r="F12" s="17">
        <v>130978.1477098465</v>
      </c>
      <c r="G12" s="17">
        <v>130474.43323881002</v>
      </c>
      <c r="H12" s="17">
        <v>134491.14577865601</v>
      </c>
      <c r="I12" s="17">
        <v>130569.68497467041</v>
      </c>
      <c r="J12" s="17">
        <v>135186.13339805603</v>
      </c>
      <c r="K12" s="17">
        <v>134151.51632118225</v>
      </c>
      <c r="L12" s="17">
        <v>133006.2044172287</v>
      </c>
      <c r="M12" s="17">
        <v>133450.34440828115</v>
      </c>
      <c r="N12" s="17">
        <v>131298.76975250244</v>
      </c>
      <c r="O12" s="17">
        <v>136127.90374231339</v>
      </c>
      <c r="P12" s="17">
        <f t="shared" si="0"/>
        <v>1570825.9327706825</v>
      </c>
    </row>
    <row r="13" spans="1:16" x14ac:dyDescent="0.2">
      <c r="B13" s="15"/>
      <c r="C13" s="16" t="s">
        <v>21</v>
      </c>
      <c r="D13" s="17">
        <v>134616.60333204269</v>
      </c>
      <c r="E13" s="17">
        <v>96760.50146302674</v>
      </c>
      <c r="F13" s="17">
        <v>134569.55335903168</v>
      </c>
      <c r="G13" s="17">
        <v>129992.3299407959</v>
      </c>
      <c r="H13" s="17">
        <v>134009.79887199402</v>
      </c>
      <c r="I13" s="17">
        <v>130285.48244762421</v>
      </c>
      <c r="J13" s="17">
        <v>137704.14281272888</v>
      </c>
      <c r="K13" s="17">
        <v>136385.27912139893</v>
      </c>
      <c r="L13" s="17">
        <v>132980.27424812317</v>
      </c>
      <c r="M13" s="17">
        <v>135607.76747611165</v>
      </c>
      <c r="N13" s="17">
        <v>133805.21910095215</v>
      </c>
      <c r="O13" s="17">
        <v>134915.24209690094</v>
      </c>
      <c r="P13" s="17">
        <f t="shared" si="0"/>
        <v>1571632.1942707309</v>
      </c>
    </row>
    <row r="14" spans="1:16" x14ac:dyDescent="0.2">
      <c r="B14" s="15"/>
      <c r="C14" s="16" t="s">
        <v>23</v>
      </c>
      <c r="D14" s="17">
        <v>146475.32186126709</v>
      </c>
      <c r="E14" s="17">
        <v>112370.07651233673</v>
      </c>
      <c r="F14" s="17">
        <v>148164.31956386566</v>
      </c>
      <c r="G14" s="17">
        <v>146536.19287872314</v>
      </c>
      <c r="H14" s="17">
        <v>146544.12302088737</v>
      </c>
      <c r="I14" s="17">
        <v>144548.55719470978</v>
      </c>
      <c r="J14" s="17">
        <v>150481.08926391602</v>
      </c>
      <c r="K14" s="17">
        <v>150992.21256637573</v>
      </c>
      <c r="L14" s="17">
        <v>148005.33555698395</v>
      </c>
      <c r="M14" s="17">
        <v>152151.15018868446</v>
      </c>
      <c r="N14" s="17">
        <v>149589.98417663574</v>
      </c>
      <c r="O14" s="17">
        <v>152364.77736349404</v>
      </c>
      <c r="P14" s="17">
        <f t="shared" si="0"/>
        <v>1748223.1401478797</v>
      </c>
    </row>
    <row r="15" spans="1:16" ht="15" x14ac:dyDescent="0.25">
      <c r="B15" s="12" t="s">
        <v>24</v>
      </c>
      <c r="C15" s="13"/>
      <c r="D15" s="14">
        <v>3355078.9591379166</v>
      </c>
      <c r="E15" s="14">
        <v>2734193.2248572111</v>
      </c>
      <c r="F15" s="14">
        <v>3343886.8275756836</v>
      </c>
      <c r="G15" s="14">
        <v>3273739.0476379395</v>
      </c>
      <c r="H15" s="14">
        <v>3325717.0763092041</v>
      </c>
      <c r="I15" s="14">
        <v>3239970.1756095886</v>
      </c>
      <c r="J15" s="14">
        <v>3315018.9702649117</v>
      </c>
      <c r="K15" s="14">
        <v>3377707.4894542694</v>
      </c>
      <c r="L15" s="14">
        <v>3284465.8989105225</v>
      </c>
      <c r="M15" s="14">
        <v>3396742.847507</v>
      </c>
      <c r="N15" s="14">
        <v>3355737.198059082</v>
      </c>
      <c r="O15" s="14">
        <v>3424870.7363166809</v>
      </c>
      <c r="P15" s="14">
        <f t="shared" si="0"/>
        <v>39427128.45164001</v>
      </c>
    </row>
    <row r="16" spans="1:16" x14ac:dyDescent="0.2">
      <c r="B16" s="15"/>
      <c r="C16" s="16" t="s">
        <v>20</v>
      </c>
      <c r="D16" s="17">
        <v>1632577.3426828384</v>
      </c>
      <c r="E16" s="17">
        <v>1338684.0478259325</v>
      </c>
      <c r="F16" s="17">
        <v>1629798.305557251</v>
      </c>
      <c r="G16" s="17">
        <v>1596057.186920166</v>
      </c>
      <c r="H16" s="17">
        <v>1622827.7707672119</v>
      </c>
      <c r="I16" s="17">
        <v>1579465.2980918884</v>
      </c>
      <c r="J16" s="17">
        <v>1616359.7237129211</v>
      </c>
      <c r="K16" s="17">
        <v>1646975.3605480194</v>
      </c>
      <c r="L16" s="17">
        <v>1608617.1308441162</v>
      </c>
      <c r="M16" s="17">
        <v>1700506.9935913086</v>
      </c>
      <c r="N16" s="17">
        <v>1678329.7744750977</v>
      </c>
      <c r="O16" s="17">
        <v>1712212.1869468689</v>
      </c>
      <c r="P16" s="17">
        <f t="shared" si="0"/>
        <v>19362411.12196362</v>
      </c>
    </row>
    <row r="17" spans="2:18" x14ac:dyDescent="0.2">
      <c r="B17" s="15"/>
      <c r="C17" s="16" t="s">
        <v>21</v>
      </c>
      <c r="D17" s="17">
        <v>1722501.6164550781</v>
      </c>
      <c r="E17" s="17">
        <v>1395509.1770312786</v>
      </c>
      <c r="F17" s="17">
        <v>1714088.5220184326</v>
      </c>
      <c r="G17" s="17">
        <v>1677681.8607177734</v>
      </c>
      <c r="H17" s="17">
        <v>1702889.3055419922</v>
      </c>
      <c r="I17" s="17">
        <v>1660504.8775177002</v>
      </c>
      <c r="J17" s="17">
        <v>1698659.2465519905</v>
      </c>
      <c r="K17" s="17">
        <v>1730732.12890625</v>
      </c>
      <c r="L17" s="17">
        <v>1675848.7680664063</v>
      </c>
      <c r="M17" s="17">
        <v>1696235.8539156914</v>
      </c>
      <c r="N17" s="17">
        <v>1677407.4235839844</v>
      </c>
      <c r="O17" s="17">
        <v>1712658.549369812</v>
      </c>
      <c r="P17" s="17">
        <f t="shared" si="0"/>
        <v>20064717.32967639</v>
      </c>
    </row>
    <row r="18" spans="2:18" ht="15" x14ac:dyDescent="0.25">
      <c r="B18" s="12" t="s">
        <v>25</v>
      </c>
      <c r="C18" s="13"/>
      <c r="D18" s="14">
        <v>9128761.8541016318</v>
      </c>
      <c r="E18" s="14">
        <v>7711160.7103656344</v>
      </c>
      <c r="F18" s="14">
        <v>8815533.1417324115</v>
      </c>
      <c r="G18" s="14">
        <v>9375892.4009359032</v>
      </c>
      <c r="H18" s="14">
        <v>8551353.3374984972</v>
      </c>
      <c r="I18" s="14">
        <v>8296325.9463767018</v>
      </c>
      <c r="J18" s="14">
        <v>8302615.1635867208</v>
      </c>
      <c r="K18" s="14">
        <v>8290021.5535666812</v>
      </c>
      <c r="L18" s="14">
        <v>8357953.1711872742</v>
      </c>
      <c r="M18" s="14">
        <v>9505984.4303204939</v>
      </c>
      <c r="N18" s="14">
        <v>9794593.7352905273</v>
      </c>
      <c r="O18" s="14">
        <v>8153255.0993652344</v>
      </c>
      <c r="P18" s="14">
        <f t="shared" si="0"/>
        <v>104283450.54432774</v>
      </c>
    </row>
    <row r="19" spans="2:18" x14ac:dyDescent="0.2">
      <c r="B19" s="15"/>
      <c r="C19" s="16" t="s">
        <v>20</v>
      </c>
      <c r="D19" s="17">
        <v>2725687.3448692868</v>
      </c>
      <c r="E19" s="17">
        <v>2033110.4214112624</v>
      </c>
      <c r="F19" s="17">
        <v>2443912.6402926007</v>
      </c>
      <c r="G19" s="17">
        <v>2851297.4990888098</v>
      </c>
      <c r="H19" s="17">
        <v>2349610.7586954986</v>
      </c>
      <c r="I19" s="17">
        <v>2509507.2028566152</v>
      </c>
      <c r="J19" s="17">
        <v>2638816.240234375</v>
      </c>
      <c r="K19" s="17">
        <v>2803854.6221277858</v>
      </c>
      <c r="L19" s="17">
        <v>2747414.9227057602</v>
      </c>
      <c r="M19" s="17">
        <v>3104580.7286397605</v>
      </c>
      <c r="N19" s="17">
        <v>3221185.7376708984</v>
      </c>
      <c r="O19" s="17">
        <v>2658600.7067146301</v>
      </c>
      <c r="P19" s="17">
        <f t="shared" si="0"/>
        <v>32087578.82530728</v>
      </c>
    </row>
    <row r="20" spans="2:18" x14ac:dyDescent="0.2">
      <c r="B20" s="15"/>
      <c r="C20" s="16" t="s">
        <v>21</v>
      </c>
      <c r="D20" s="17">
        <v>2825260.9128592154</v>
      </c>
      <c r="E20" s="17">
        <v>2608097.4544888171</v>
      </c>
      <c r="F20" s="17">
        <v>3130581.8057493996</v>
      </c>
      <c r="G20" s="17">
        <v>3130972.4092247174</v>
      </c>
      <c r="H20" s="17">
        <v>2860347.7210235596</v>
      </c>
      <c r="I20" s="17">
        <v>2747262.7249543611</v>
      </c>
      <c r="J20" s="17">
        <v>2554885.3866091813</v>
      </c>
      <c r="K20" s="17">
        <v>2821412.0859188763</v>
      </c>
      <c r="L20" s="17">
        <v>2685043.9997380907</v>
      </c>
      <c r="M20" s="17">
        <v>3161210.8125053183</v>
      </c>
      <c r="N20" s="17">
        <v>3273677.6483154297</v>
      </c>
      <c r="O20" s="17">
        <v>2720350.5399169922</v>
      </c>
      <c r="P20" s="17">
        <f t="shared" si="0"/>
        <v>34519103.501303956</v>
      </c>
    </row>
    <row r="21" spans="2:18" x14ac:dyDescent="0.2">
      <c r="B21" s="15"/>
      <c r="C21" s="16" t="s">
        <v>23</v>
      </c>
      <c r="D21" s="17">
        <v>3577813.5963731306</v>
      </c>
      <c r="E21" s="17">
        <v>3069952.834465554</v>
      </c>
      <c r="F21" s="17">
        <v>3241038.6956904111</v>
      </c>
      <c r="G21" s="17">
        <v>3393622.4926223755</v>
      </c>
      <c r="H21" s="17">
        <v>3341394.8577794391</v>
      </c>
      <c r="I21" s="17">
        <v>3039556.0185657255</v>
      </c>
      <c r="J21" s="17">
        <v>3108913.5367431641</v>
      </c>
      <c r="K21" s="17">
        <v>2664754.8455200195</v>
      </c>
      <c r="L21" s="17">
        <v>2925494.2487434223</v>
      </c>
      <c r="M21" s="17">
        <v>3240192.889175415</v>
      </c>
      <c r="N21" s="17">
        <v>3299730.3493041992</v>
      </c>
      <c r="O21" s="17">
        <v>2774303.8527336121</v>
      </c>
      <c r="P21" s="17">
        <f t="shared" si="0"/>
        <v>37676768.21771647</v>
      </c>
    </row>
    <row r="22" spans="2:18" ht="15" x14ac:dyDescent="0.25">
      <c r="B22" s="12" t="s">
        <v>26</v>
      </c>
      <c r="C22" s="13"/>
      <c r="D22" s="14">
        <v>55201711.550794423</v>
      </c>
      <c r="E22" s="14">
        <v>81546705.198472172</v>
      </c>
      <c r="F22" s="14">
        <v>88417858.918078035</v>
      </c>
      <c r="G22" s="14">
        <v>70217660.022310078</v>
      </c>
      <c r="H22" s="14">
        <v>53420797.183747634</v>
      </c>
      <c r="I22" s="14">
        <v>51705769.526782267</v>
      </c>
      <c r="J22" s="14">
        <v>52709714.440939009</v>
      </c>
      <c r="K22" s="14">
        <v>54146048.197880313</v>
      </c>
      <c r="L22" s="14">
        <v>52136685.709624961</v>
      </c>
      <c r="M22" s="14">
        <v>58454390.851720303</v>
      </c>
      <c r="N22" s="14">
        <v>60178444.098694801</v>
      </c>
      <c r="O22" s="14">
        <v>56312452.048551716</v>
      </c>
      <c r="P22" s="14">
        <f t="shared" si="0"/>
        <v>734448237.74759579</v>
      </c>
    </row>
    <row r="23" spans="2:18" x14ac:dyDescent="0.2">
      <c r="B23" s="15"/>
      <c r="C23" s="16" t="s">
        <v>20</v>
      </c>
      <c r="D23" s="17">
        <v>12774416.95310384</v>
      </c>
      <c r="E23" s="17">
        <v>27417289.620086826</v>
      </c>
      <c r="F23" s="17">
        <v>31232017.235595703</v>
      </c>
      <c r="G23" s="17">
        <v>23943462.622293055</v>
      </c>
      <c r="H23" s="17">
        <v>17050425.155951839</v>
      </c>
      <c r="I23" s="17">
        <v>20933250.38361311</v>
      </c>
      <c r="J23" s="17">
        <v>22625318.031037092</v>
      </c>
      <c r="K23" s="17">
        <v>22425317.777313471</v>
      </c>
      <c r="L23" s="17">
        <v>20429226.62209563</v>
      </c>
      <c r="M23" s="17">
        <v>21968932.642505169</v>
      </c>
      <c r="N23" s="17">
        <v>25118074.944621086</v>
      </c>
      <c r="O23" s="17">
        <v>23763688.96484375</v>
      </c>
      <c r="P23" s="17">
        <f t="shared" si="0"/>
        <v>269681420.95306057</v>
      </c>
    </row>
    <row r="24" spans="2:18" x14ac:dyDescent="0.2">
      <c r="B24" s="15"/>
      <c r="C24" s="16" t="s">
        <v>21</v>
      </c>
      <c r="D24" s="17">
        <v>19939628.243255615</v>
      </c>
      <c r="E24" s="17">
        <v>26414469.92699337</v>
      </c>
      <c r="F24" s="17">
        <v>29841600.148376465</v>
      </c>
      <c r="G24" s="17">
        <v>20629342.979278803</v>
      </c>
      <c r="H24" s="17">
        <v>13986644.942712784</v>
      </c>
      <c r="I24" s="17">
        <v>10014644.726947486</v>
      </c>
      <c r="J24" s="17">
        <v>12152576.168793976</v>
      </c>
      <c r="K24" s="17">
        <v>14855656.999070108</v>
      </c>
      <c r="L24" s="17">
        <v>18590602.273412704</v>
      </c>
      <c r="M24" s="17">
        <v>13470127.106861085</v>
      </c>
      <c r="N24" s="17">
        <v>16525117.258544922</v>
      </c>
      <c r="O24" s="17">
        <v>15314289.401329935</v>
      </c>
      <c r="P24" s="17">
        <f t="shared" si="0"/>
        <v>211734700.17557725</v>
      </c>
    </row>
    <row r="25" spans="2:18" x14ac:dyDescent="0.2">
      <c r="B25" s="15"/>
      <c r="C25" s="16" t="s">
        <v>23</v>
      </c>
      <c r="D25" s="17">
        <v>22487666.354434967</v>
      </c>
      <c r="E25" s="17">
        <v>27714945.651391983</v>
      </c>
      <c r="F25" s="17">
        <v>27344241.534105875</v>
      </c>
      <c r="G25" s="17">
        <v>25644854.42073822</v>
      </c>
      <c r="H25" s="17">
        <v>22383727.085083008</v>
      </c>
      <c r="I25" s="17">
        <v>20757874.416221671</v>
      </c>
      <c r="J25" s="17">
        <v>17931820.241107941</v>
      </c>
      <c r="K25" s="17">
        <v>16865073.421496734</v>
      </c>
      <c r="L25" s="17">
        <v>13116856.814116627</v>
      </c>
      <c r="M25" s="17">
        <v>23015331.10235405</v>
      </c>
      <c r="N25" s="17">
        <v>18535251.895528793</v>
      </c>
      <c r="O25" s="17">
        <v>17234473.682378031</v>
      </c>
      <c r="P25" s="17">
        <f t="shared" si="0"/>
        <v>253032116.61895788</v>
      </c>
    </row>
    <row r="26" spans="2:18" ht="15" x14ac:dyDescent="0.25">
      <c r="B26" s="12" t="s">
        <v>27</v>
      </c>
      <c r="C26" s="13"/>
      <c r="D26" s="14">
        <v>5588760.9603564246</v>
      </c>
      <c r="E26" s="14">
        <v>4238717.0617530895</v>
      </c>
      <c r="F26" s="14">
        <v>5939805.8442495847</v>
      </c>
      <c r="G26" s="14">
        <v>5599506.0461665895</v>
      </c>
      <c r="H26" s="14">
        <v>4186229.1182998647</v>
      </c>
      <c r="I26" s="14">
        <v>4938694.1628723145</v>
      </c>
      <c r="J26" s="14">
        <v>5218038.9582519531</v>
      </c>
      <c r="K26" s="14">
        <v>5444540.0628643036</v>
      </c>
      <c r="L26" s="14">
        <v>5202324.5951538086</v>
      </c>
      <c r="M26" s="14">
        <v>5878397.0632015299</v>
      </c>
      <c r="N26" s="14">
        <v>6074616.4154052734</v>
      </c>
      <c r="O26" s="14">
        <v>5484607.9015207291</v>
      </c>
      <c r="P26" s="14">
        <f t="shared" si="0"/>
        <v>63794238.190095469</v>
      </c>
    </row>
    <row r="27" spans="2:18" x14ac:dyDescent="0.2">
      <c r="B27" s="15"/>
      <c r="C27" s="16" t="s">
        <v>20</v>
      </c>
      <c r="D27" s="17">
        <v>5588760.9603564246</v>
      </c>
      <c r="E27" s="17">
        <v>4238717.0617530895</v>
      </c>
      <c r="F27" s="17">
        <v>5939805.8442495847</v>
      </c>
      <c r="G27" s="17">
        <v>5599506.0461665895</v>
      </c>
      <c r="H27" s="17">
        <v>4186229.1182998647</v>
      </c>
      <c r="I27" s="17">
        <v>4938694.1628723145</v>
      </c>
      <c r="J27" s="17">
        <v>5218038.9582519531</v>
      </c>
      <c r="K27" s="17">
        <v>5444540.0628643036</v>
      </c>
      <c r="L27" s="17">
        <v>5202324.5951538086</v>
      </c>
      <c r="M27" s="17">
        <v>5878397.0632015299</v>
      </c>
      <c r="N27" s="17">
        <v>6074616.4154052734</v>
      </c>
      <c r="O27" s="17">
        <v>5484607.9015207291</v>
      </c>
      <c r="P27" s="17">
        <f t="shared" si="0"/>
        <v>63794238.190095469</v>
      </c>
      <c r="R27" s="18"/>
    </row>
    <row r="28" spans="2:18" ht="15" x14ac:dyDescent="0.25">
      <c r="B28" s="19" t="s">
        <v>28</v>
      </c>
      <c r="C28" s="20"/>
      <c r="D28" s="11">
        <v>9620409.3471485488</v>
      </c>
      <c r="E28" s="11">
        <v>12045994.73087877</v>
      </c>
      <c r="F28" s="11">
        <v>9425472.7835436035</v>
      </c>
      <c r="G28" s="11">
        <v>26919.346852381845</v>
      </c>
      <c r="H28" s="11">
        <v>20240.179656982422</v>
      </c>
      <c r="I28" s="11">
        <v>26213.820617675781</v>
      </c>
      <c r="J28" s="11">
        <v>37413.505357384682</v>
      </c>
      <c r="K28" s="11">
        <v>10883.161726774764</v>
      </c>
      <c r="L28" s="11">
        <v>349613.03425709729</v>
      </c>
      <c r="M28" s="11">
        <v>32466.166063956811</v>
      </c>
      <c r="N28" s="11">
        <v>43720.482009887695</v>
      </c>
      <c r="O28" s="11">
        <v>114033.10431754522</v>
      </c>
      <c r="P28" s="11">
        <f t="shared" si="0"/>
        <v>31753379.662430614</v>
      </c>
    </row>
    <row r="29" spans="2:18" ht="15" x14ac:dyDescent="0.25">
      <c r="B29" s="12" t="s">
        <v>29</v>
      </c>
      <c r="C29" s="13"/>
      <c r="D29" s="14">
        <v>0</v>
      </c>
      <c r="E29" s="14">
        <v>66181.883968353271</v>
      </c>
      <c r="F29" s="14">
        <v>1015.0506439208984</v>
      </c>
      <c r="G29" s="14">
        <v>26919.346852381845</v>
      </c>
      <c r="H29" s="14">
        <v>0</v>
      </c>
      <c r="I29" s="14">
        <v>26213.820617675781</v>
      </c>
      <c r="J29" s="14">
        <v>14927.645499825478</v>
      </c>
      <c r="K29" s="14">
        <v>10883.161726774764</v>
      </c>
      <c r="L29" s="14">
        <v>169913.93774215702</v>
      </c>
      <c r="M29" s="14">
        <v>32466.166063956811</v>
      </c>
      <c r="N29" s="14">
        <v>0</v>
      </c>
      <c r="O29" s="14">
        <v>94277.912440742628</v>
      </c>
      <c r="P29" s="14">
        <f t="shared" si="0"/>
        <v>442798.92555578845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f t="shared" si="0"/>
        <v>0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0</v>
      </c>
    </row>
    <row r="33" spans="2:16" x14ac:dyDescent="0.2">
      <c r="B33" s="15"/>
      <c r="C33" s="16" t="s">
        <v>33</v>
      </c>
      <c r="D33" s="17">
        <v>0</v>
      </c>
      <c r="E33" s="17">
        <v>0</v>
      </c>
      <c r="F33" s="17">
        <v>0</v>
      </c>
      <c r="G33" s="17">
        <v>26366.883605957031</v>
      </c>
      <c r="H33" s="17">
        <v>0</v>
      </c>
      <c r="I33" s="17">
        <v>26213.820617675781</v>
      </c>
      <c r="J33" s="17">
        <v>0</v>
      </c>
      <c r="K33" s="17">
        <v>1262.5818176269531</v>
      </c>
      <c r="L33" s="17">
        <v>80511.742474164814</v>
      </c>
      <c r="M33" s="17">
        <v>31170.961952615962</v>
      </c>
      <c r="N33" s="17">
        <v>0</v>
      </c>
      <c r="O33" s="17">
        <v>0</v>
      </c>
      <c r="P33" s="17">
        <f t="shared" si="0"/>
        <v>165525.99046804055</v>
      </c>
    </row>
    <row r="34" spans="2:16" x14ac:dyDescent="0.2">
      <c r="B34" s="15"/>
      <c r="C34" s="16" t="s">
        <v>34</v>
      </c>
      <c r="D34" s="17">
        <v>0</v>
      </c>
      <c r="E34" s="17">
        <v>26996.974720001221</v>
      </c>
      <c r="F34" s="17">
        <v>0</v>
      </c>
      <c r="G34" s="17">
        <v>327.68980661313981</v>
      </c>
      <c r="H34" s="17">
        <v>0</v>
      </c>
      <c r="I34" s="17">
        <v>0</v>
      </c>
      <c r="J34" s="17">
        <v>0</v>
      </c>
      <c r="K34" s="17">
        <v>127.89630472660065</v>
      </c>
      <c r="L34" s="17">
        <v>51660.027503378573</v>
      </c>
      <c r="M34" s="17">
        <v>777.16390727646649</v>
      </c>
      <c r="N34" s="17">
        <v>0</v>
      </c>
      <c r="O34" s="17">
        <v>45789.770118819841</v>
      </c>
      <c r="P34" s="17">
        <f t="shared" si="0"/>
        <v>125679.52236081584</v>
      </c>
    </row>
    <row r="35" spans="2:16" x14ac:dyDescent="0.2">
      <c r="B35" s="15"/>
      <c r="C35" s="16" t="s">
        <v>35</v>
      </c>
      <c r="D35" s="17">
        <v>0</v>
      </c>
      <c r="E35" s="17">
        <v>39184.909248352051</v>
      </c>
      <c r="F35" s="17">
        <v>1015.0506439208984</v>
      </c>
      <c r="G35" s="17">
        <v>224.7734398116736</v>
      </c>
      <c r="H35" s="17">
        <v>0</v>
      </c>
      <c r="I35" s="17">
        <v>0</v>
      </c>
      <c r="J35" s="17">
        <v>14927.645499825478</v>
      </c>
      <c r="K35" s="17">
        <v>9492.6836044212105</v>
      </c>
      <c r="L35" s="17">
        <v>37742.167764613638</v>
      </c>
      <c r="M35" s="17">
        <v>518.04020406438121</v>
      </c>
      <c r="N35" s="17">
        <v>0</v>
      </c>
      <c r="O35" s="17">
        <v>48488.14232192278</v>
      </c>
      <c r="P35" s="17">
        <f t="shared" si="0"/>
        <v>151593.41272693212</v>
      </c>
    </row>
    <row r="36" spans="2:16" ht="15" x14ac:dyDescent="0.25">
      <c r="B36" s="12" t="s">
        <v>36</v>
      </c>
      <c r="C36" s="13"/>
      <c r="D36" s="14">
        <v>689.35513305664063</v>
      </c>
      <c r="E36" s="14">
        <v>61431.32326665672</v>
      </c>
      <c r="F36" s="14">
        <v>9166.0029754638672</v>
      </c>
      <c r="G36" s="14">
        <v>0</v>
      </c>
      <c r="H36" s="14">
        <v>20240.179656982422</v>
      </c>
      <c r="I36" s="14">
        <v>0</v>
      </c>
      <c r="J36" s="14">
        <v>22485.859857559204</v>
      </c>
      <c r="K36" s="14">
        <v>0</v>
      </c>
      <c r="L36" s="14">
        <v>179699.09651494026</v>
      </c>
      <c r="M36" s="14">
        <v>0</v>
      </c>
      <c r="N36" s="14">
        <v>43720.482009887695</v>
      </c>
      <c r="O36" s="14">
        <v>19755.191876802593</v>
      </c>
      <c r="P36" s="14">
        <f t="shared" si="0"/>
        <v>357187.4912913494</v>
      </c>
    </row>
    <row r="37" spans="2:16" x14ac:dyDescent="0.2">
      <c r="B37" s="15"/>
      <c r="C37" s="16" t="s">
        <v>37</v>
      </c>
      <c r="D37" s="17">
        <v>0</v>
      </c>
      <c r="E37" s="17">
        <v>61431.32326665672</v>
      </c>
      <c r="F37" s="17">
        <v>0</v>
      </c>
      <c r="G37" s="17">
        <v>0</v>
      </c>
      <c r="H37" s="17">
        <v>0</v>
      </c>
      <c r="I37" s="17">
        <v>0</v>
      </c>
      <c r="J37" s="17">
        <v>354.0345458984375</v>
      </c>
      <c r="K37" s="17">
        <v>0</v>
      </c>
      <c r="L37" s="17">
        <v>60427.754013061523</v>
      </c>
      <c r="M37" s="17">
        <v>0</v>
      </c>
      <c r="N37" s="17">
        <v>2042.8102626800537</v>
      </c>
      <c r="O37" s="17">
        <v>0</v>
      </c>
      <c r="P37" s="17">
        <f t="shared" si="0"/>
        <v>124255.92208829673</v>
      </c>
    </row>
    <row r="38" spans="2:16" x14ac:dyDescent="0.2">
      <c r="B38" s="15"/>
      <c r="C38" s="16" t="s">
        <v>38</v>
      </c>
      <c r="D38" s="17">
        <v>689.35513305664063</v>
      </c>
      <c r="E38" s="17">
        <v>0</v>
      </c>
      <c r="F38" s="17">
        <v>4263.8121032714844</v>
      </c>
      <c r="G38" s="17">
        <v>0</v>
      </c>
      <c r="H38" s="17">
        <v>20240.179656982422</v>
      </c>
      <c r="I38" s="17">
        <v>0</v>
      </c>
      <c r="J38" s="17">
        <v>21920.441886901855</v>
      </c>
      <c r="K38" s="17">
        <v>0</v>
      </c>
      <c r="L38" s="17">
        <v>60094.090426683426</v>
      </c>
      <c r="M38" s="17">
        <v>0</v>
      </c>
      <c r="N38" s="17">
        <v>22353.816007614136</v>
      </c>
      <c r="O38" s="17">
        <v>18987.90747833252</v>
      </c>
      <c r="P38" s="17">
        <f t="shared" si="0"/>
        <v>148549.60269284248</v>
      </c>
    </row>
    <row r="39" spans="2:16" x14ac:dyDescent="0.2">
      <c r="B39" s="15"/>
      <c r="C39" s="16" t="s">
        <v>39</v>
      </c>
      <c r="D39" s="17">
        <v>0</v>
      </c>
      <c r="E39" s="17">
        <v>0</v>
      </c>
      <c r="F39" s="17">
        <v>4902.1908721923828</v>
      </c>
      <c r="G39" s="17">
        <v>0</v>
      </c>
      <c r="H39" s="17">
        <v>0</v>
      </c>
      <c r="I39" s="17">
        <v>0</v>
      </c>
      <c r="J39" s="17">
        <v>211.38342475891113</v>
      </c>
      <c r="K39" s="17">
        <v>0</v>
      </c>
      <c r="L39" s="17">
        <v>59177.252075195313</v>
      </c>
      <c r="M39" s="17">
        <v>0</v>
      </c>
      <c r="N39" s="17">
        <v>19323.855739593506</v>
      </c>
      <c r="O39" s="17">
        <v>767.28439847007394</v>
      </c>
      <c r="P39" s="17">
        <f t="shared" si="0"/>
        <v>84381.966510210186</v>
      </c>
    </row>
    <row r="40" spans="2:16" ht="15" x14ac:dyDescent="0.25">
      <c r="B40" s="12" t="s">
        <v>40</v>
      </c>
      <c r="C40" s="13"/>
      <c r="D40" s="17">
        <v>9619719.9920154922</v>
      </c>
      <c r="E40" s="17">
        <v>11918381.523643762</v>
      </c>
      <c r="F40" s="17">
        <v>9415291.7299242187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f t="shared" si="0"/>
        <v>30953393.245583475</v>
      </c>
    </row>
    <row r="41" spans="2:16" x14ac:dyDescent="0.2">
      <c r="B41" s="15"/>
      <c r="C41" s="16" t="s">
        <v>41</v>
      </c>
      <c r="D41" s="17">
        <v>1036459.2371057272</v>
      </c>
      <c r="E41" s="17">
        <v>5427194.6147247721</v>
      </c>
      <c r="F41" s="17">
        <v>2724493.4454187453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f t="shared" ref="P41:P43" si="1">SUM(D41:O41)</f>
        <v>9188147.2972492445</v>
      </c>
    </row>
    <row r="42" spans="2:16" x14ac:dyDescent="0.2">
      <c r="B42" s="15"/>
      <c r="C42" s="16" t="s">
        <v>42</v>
      </c>
      <c r="D42" s="17">
        <v>8583260.754909765</v>
      </c>
      <c r="E42" s="17">
        <v>6491186.9089189889</v>
      </c>
      <c r="F42" s="17">
        <v>6690798.2845054734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f t="shared" si="1"/>
        <v>21765245.948334225</v>
      </c>
    </row>
    <row r="43" spans="2:16" ht="15" x14ac:dyDescent="0.25">
      <c r="B43" s="19" t="s">
        <v>43</v>
      </c>
      <c r="C43" s="20"/>
      <c r="D43" s="11">
        <v>84554597.513239861</v>
      </c>
      <c r="E43" s="11">
        <v>109587907.94787237</v>
      </c>
      <c r="F43" s="11">
        <v>117590708.11212701</v>
      </c>
      <c r="G43" s="11">
        <v>90100445.445065647</v>
      </c>
      <c r="H43" s="11">
        <v>71163375.274447754</v>
      </c>
      <c r="I43" s="11">
        <v>69812027.128193989</v>
      </c>
      <c r="J43" s="11">
        <v>71220666.803235337</v>
      </c>
      <c r="K43" s="11">
        <v>72924134.967374891</v>
      </c>
      <c r="L43" s="11">
        <v>70907866.836770177</v>
      </c>
      <c r="M43" s="11">
        <v>78907008.092790753</v>
      </c>
      <c r="N43" s="11">
        <v>81070081.93243885</v>
      </c>
      <c r="O43" s="11">
        <v>75142668.680357695</v>
      </c>
      <c r="P43" s="11">
        <f t="shared" si="1"/>
        <v>992981488.73391426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41">
    <pageSetUpPr fitToPage="1"/>
  </sheetPr>
  <dimension ref="A1:R43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53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92836625.345331058</v>
      </c>
      <c r="E7" s="11">
        <v>102442215.49509147</v>
      </c>
      <c r="F7" s="11">
        <v>126778995.91645627</v>
      </c>
      <c r="G7" s="11">
        <v>104873405.20075883</v>
      </c>
      <c r="H7" s="11">
        <v>73278571.884048104</v>
      </c>
      <c r="I7" s="11">
        <v>70157800.835827962</v>
      </c>
      <c r="J7" s="11">
        <v>72196912.906284049</v>
      </c>
      <c r="K7" s="11">
        <v>72095727.010194898</v>
      </c>
      <c r="L7" s="11">
        <v>73550316.783644915</v>
      </c>
      <c r="M7" s="11">
        <v>78229384.306494132</v>
      </c>
      <c r="N7" s="11">
        <v>74624332.87279138</v>
      </c>
      <c r="O7" s="11">
        <v>82658822.000010312</v>
      </c>
      <c r="P7" s="11">
        <f t="shared" ref="P7:P40" si="0">SUM(D7:O7)</f>
        <v>1023723110.5569334</v>
      </c>
    </row>
    <row r="8" spans="1:16" ht="15" x14ac:dyDescent="0.25">
      <c r="B8" s="12" t="s">
        <v>19</v>
      </c>
      <c r="C8" s="13"/>
      <c r="D8" s="14">
        <v>1225926.9673368931</v>
      </c>
      <c r="E8" s="14">
        <v>1100248.4706196506</v>
      </c>
      <c r="F8" s="14">
        <v>1199427.1254501343</v>
      </c>
      <c r="G8" s="14">
        <v>707307.90350863338</v>
      </c>
      <c r="H8" s="14">
        <v>1055309.4619804323</v>
      </c>
      <c r="I8" s="14">
        <v>1187741.8468017578</v>
      </c>
      <c r="J8" s="14">
        <v>1004217.7078392117</v>
      </c>
      <c r="K8" s="14">
        <v>1206892.8144256584</v>
      </c>
      <c r="L8" s="14">
        <v>1111483.5380327541</v>
      </c>
      <c r="M8" s="14">
        <v>1169079.7572174072</v>
      </c>
      <c r="N8" s="14">
        <v>1172771.6878967285</v>
      </c>
      <c r="O8" s="14">
        <v>1201639.3145847321</v>
      </c>
      <c r="P8" s="14">
        <f t="shared" si="0"/>
        <v>13342046.595693992</v>
      </c>
    </row>
    <row r="9" spans="1:16" x14ac:dyDescent="0.2">
      <c r="B9" s="15"/>
      <c r="C9" s="16" t="s">
        <v>20</v>
      </c>
      <c r="D9" s="17">
        <v>614558.7788772583</v>
      </c>
      <c r="E9" s="17">
        <v>549300.47112128325</v>
      </c>
      <c r="F9" s="17">
        <v>601077.62013626099</v>
      </c>
      <c r="G9" s="17">
        <v>352979.38587233424</v>
      </c>
      <c r="H9" s="17">
        <v>544045.78769826889</v>
      </c>
      <c r="I9" s="17">
        <v>593922.12858581543</v>
      </c>
      <c r="J9" s="17">
        <v>385571.44135352061</v>
      </c>
      <c r="K9" s="17">
        <v>601228.43860740587</v>
      </c>
      <c r="L9" s="17">
        <v>555261.3321206409</v>
      </c>
      <c r="M9" s="17">
        <v>583203.18866729736</v>
      </c>
      <c r="N9" s="17">
        <v>584813.67395019531</v>
      </c>
      <c r="O9" s="17">
        <v>604152.14332771301</v>
      </c>
      <c r="P9" s="17">
        <f t="shared" si="0"/>
        <v>6570114.3903179942</v>
      </c>
    </row>
    <row r="10" spans="1:16" x14ac:dyDescent="0.2">
      <c r="B10" s="15"/>
      <c r="C10" s="16" t="s">
        <v>21</v>
      </c>
      <c r="D10" s="17">
        <v>611368.18845963478</v>
      </c>
      <c r="E10" s="17">
        <v>550947.99949836731</v>
      </c>
      <c r="F10" s="17">
        <v>598349.50531387329</v>
      </c>
      <c r="G10" s="17">
        <v>354328.51763629913</v>
      </c>
      <c r="H10" s="17">
        <v>511263.67428216338</v>
      </c>
      <c r="I10" s="17">
        <v>593819.71821594238</v>
      </c>
      <c r="J10" s="17">
        <v>618646.26648569107</v>
      </c>
      <c r="K10" s="17">
        <v>605664.37581825256</v>
      </c>
      <c r="L10" s="17">
        <v>556222.20591211319</v>
      </c>
      <c r="M10" s="17">
        <v>585876.56855010986</v>
      </c>
      <c r="N10" s="17">
        <v>587958.0139465332</v>
      </c>
      <c r="O10" s="17">
        <v>597487.17125701904</v>
      </c>
      <c r="P10" s="17">
        <f t="shared" si="0"/>
        <v>6771932.2053759992</v>
      </c>
    </row>
    <row r="11" spans="1:16" ht="15" x14ac:dyDescent="0.25">
      <c r="B11" s="12" t="s">
        <v>22</v>
      </c>
      <c r="C11" s="13"/>
      <c r="D11" s="14">
        <v>429303.29336547852</v>
      </c>
      <c r="E11" s="14">
        <v>303469.60551324487</v>
      </c>
      <c r="F11" s="14">
        <v>409995.35281443223</v>
      </c>
      <c r="G11" s="14">
        <v>238455.27658462524</v>
      </c>
      <c r="H11" s="14">
        <v>336580.93503624201</v>
      </c>
      <c r="I11" s="14">
        <v>403426.9239415098</v>
      </c>
      <c r="J11" s="14">
        <v>412185.49588409066</v>
      </c>
      <c r="K11" s="14">
        <v>420120.17872714996</v>
      </c>
      <c r="L11" s="14">
        <v>395994.62059789896</v>
      </c>
      <c r="M11" s="14">
        <v>392213.72701495886</v>
      </c>
      <c r="N11" s="14">
        <v>409391.18072140217</v>
      </c>
      <c r="O11" s="14">
        <v>418941.84002876282</v>
      </c>
      <c r="P11" s="14">
        <f t="shared" si="0"/>
        <v>4570078.4302297961</v>
      </c>
    </row>
    <row r="12" spans="1:16" x14ac:dyDescent="0.2">
      <c r="B12" s="15"/>
      <c r="C12" s="16" t="s">
        <v>20</v>
      </c>
      <c r="D12" s="17">
        <v>138947.51859664917</v>
      </c>
      <c r="E12" s="17">
        <v>128337.71762466431</v>
      </c>
      <c r="F12" s="17">
        <v>135609.34057331085</v>
      </c>
      <c r="G12" s="17">
        <v>78426.940149307251</v>
      </c>
      <c r="H12" s="17">
        <v>111309.73343378305</v>
      </c>
      <c r="I12" s="17">
        <v>134361.03384494781</v>
      </c>
      <c r="J12" s="17">
        <v>138063.87291517854</v>
      </c>
      <c r="K12" s="17">
        <v>140445.11154556274</v>
      </c>
      <c r="L12" s="17">
        <v>132848.53259086609</v>
      </c>
      <c r="M12" s="17">
        <v>144084.89276427031</v>
      </c>
      <c r="N12" s="17">
        <v>136220.24478471279</v>
      </c>
      <c r="O12" s="17">
        <v>141818.24402236938</v>
      </c>
      <c r="P12" s="17">
        <f t="shared" si="0"/>
        <v>1560473.1828456223</v>
      </c>
    </row>
    <row r="13" spans="1:16" x14ac:dyDescent="0.2">
      <c r="B13" s="15"/>
      <c r="C13" s="16" t="s">
        <v>21</v>
      </c>
      <c r="D13" s="17">
        <v>135354.04804229736</v>
      </c>
      <c r="E13" s="17">
        <v>33092.392511993647</v>
      </c>
      <c r="F13" s="17">
        <v>126020.18749523163</v>
      </c>
      <c r="G13" s="17">
        <v>73289.931615829468</v>
      </c>
      <c r="H13" s="17">
        <v>105364.39673376083</v>
      </c>
      <c r="I13" s="17">
        <v>124513.63582420349</v>
      </c>
      <c r="J13" s="17">
        <v>125310.08339691162</v>
      </c>
      <c r="K13" s="17">
        <v>125918.01022434235</v>
      </c>
      <c r="L13" s="17">
        <v>120117.8738232255</v>
      </c>
      <c r="M13" s="17">
        <v>130940.49947357178</v>
      </c>
      <c r="N13" s="17">
        <v>125506.79327654839</v>
      </c>
      <c r="O13" s="17">
        <v>127659.66314697266</v>
      </c>
      <c r="P13" s="17">
        <f t="shared" si="0"/>
        <v>1353087.5155648887</v>
      </c>
    </row>
    <row r="14" spans="1:16" x14ac:dyDescent="0.2">
      <c r="B14" s="15"/>
      <c r="C14" s="16" t="s">
        <v>23</v>
      </c>
      <c r="D14" s="17">
        <v>155001.72672653198</v>
      </c>
      <c r="E14" s="17">
        <v>142039.49537658691</v>
      </c>
      <c r="F14" s="17">
        <v>148365.82474588975</v>
      </c>
      <c r="G14" s="17">
        <v>86738.404819488525</v>
      </c>
      <c r="H14" s="17">
        <v>119906.80486869812</v>
      </c>
      <c r="I14" s="17">
        <v>144552.25427235849</v>
      </c>
      <c r="J14" s="17">
        <v>148811.5395720005</v>
      </c>
      <c r="K14" s="17">
        <v>153757.05695724487</v>
      </c>
      <c r="L14" s="17">
        <v>143028.21418380737</v>
      </c>
      <c r="M14" s="17">
        <v>117188.33477711678</v>
      </c>
      <c r="N14" s="17">
        <v>147664.14266014099</v>
      </c>
      <c r="O14" s="17">
        <v>149463.93285942078</v>
      </c>
      <c r="P14" s="17">
        <f t="shared" si="0"/>
        <v>1656517.7318192851</v>
      </c>
    </row>
    <row r="15" spans="1:16" ht="15" x14ac:dyDescent="0.25">
      <c r="B15" s="12" t="s">
        <v>24</v>
      </c>
      <c r="C15" s="13"/>
      <c r="D15" s="14">
        <v>3463021.3008728027</v>
      </c>
      <c r="E15" s="14">
        <v>3168768.7713699341</v>
      </c>
      <c r="F15" s="14">
        <v>3495409.9975585938</v>
      </c>
      <c r="G15" s="14">
        <v>3328670.480424881</v>
      </c>
      <c r="H15" s="14">
        <v>3428670.4058227539</v>
      </c>
      <c r="I15" s="14">
        <v>3248248.3761187792</v>
      </c>
      <c r="J15" s="14">
        <v>3450950.1662380695</v>
      </c>
      <c r="K15" s="14">
        <v>3394304.8227157593</v>
      </c>
      <c r="L15" s="14">
        <v>3296304.037352562</v>
      </c>
      <c r="M15" s="14">
        <v>3428503.410402298</v>
      </c>
      <c r="N15" s="14">
        <v>3348204.432220459</v>
      </c>
      <c r="O15" s="14">
        <v>3394480.8269119263</v>
      </c>
      <c r="P15" s="14">
        <f t="shared" si="0"/>
        <v>40445537.028008819</v>
      </c>
    </row>
    <row r="16" spans="1:16" x14ac:dyDescent="0.2">
      <c r="B16" s="15"/>
      <c r="C16" s="16" t="s">
        <v>20</v>
      </c>
      <c r="D16" s="17">
        <v>1735227.5628967285</v>
      </c>
      <c r="E16" s="17">
        <v>1593451.2746658325</v>
      </c>
      <c r="F16" s="17">
        <v>1738416.8811645508</v>
      </c>
      <c r="G16" s="17">
        <v>1662002.2766437531</v>
      </c>
      <c r="H16" s="17">
        <v>1721277.2627258301</v>
      </c>
      <c r="I16" s="17">
        <v>1633823.6442614794</v>
      </c>
      <c r="J16" s="17">
        <v>1721909.4604275227</v>
      </c>
      <c r="K16" s="17">
        <v>1686152.676322937</v>
      </c>
      <c r="L16" s="17">
        <v>1641237.5343580246</v>
      </c>
      <c r="M16" s="17">
        <v>1702644.7578659058</v>
      </c>
      <c r="N16" s="17">
        <v>1664890.3786468506</v>
      </c>
      <c r="O16" s="17">
        <v>1691566.5294494629</v>
      </c>
      <c r="P16" s="17">
        <f t="shared" si="0"/>
        <v>20192600.239428878</v>
      </c>
    </row>
    <row r="17" spans="2:18" x14ac:dyDescent="0.2">
      <c r="B17" s="15"/>
      <c r="C17" s="16" t="s">
        <v>21</v>
      </c>
      <c r="D17" s="17">
        <v>1727793.7379760742</v>
      </c>
      <c r="E17" s="17">
        <v>1575317.4967041016</v>
      </c>
      <c r="F17" s="17">
        <v>1756993.116394043</v>
      </c>
      <c r="G17" s="17">
        <v>1666668.2037811279</v>
      </c>
      <c r="H17" s="17">
        <v>1707393.1430969238</v>
      </c>
      <c r="I17" s="17">
        <v>1614424.7318572998</v>
      </c>
      <c r="J17" s="17">
        <v>1729040.7058105469</v>
      </c>
      <c r="K17" s="17">
        <v>1708152.1463928223</v>
      </c>
      <c r="L17" s="17">
        <v>1655066.5029945374</v>
      </c>
      <c r="M17" s="17">
        <v>1725858.6525363922</v>
      </c>
      <c r="N17" s="17">
        <v>1683314.0535736084</v>
      </c>
      <c r="O17" s="17">
        <v>1702914.2974624634</v>
      </c>
      <c r="P17" s="17">
        <f t="shared" si="0"/>
        <v>20252936.788579941</v>
      </c>
    </row>
    <row r="18" spans="2:18" ht="15" x14ac:dyDescent="0.25">
      <c r="B18" s="12" t="s">
        <v>25</v>
      </c>
      <c r="C18" s="13"/>
      <c r="D18" s="14">
        <v>10307390.502253056</v>
      </c>
      <c r="E18" s="14">
        <v>9560904.1686751805</v>
      </c>
      <c r="F18" s="14">
        <v>10412750.909666557</v>
      </c>
      <c r="G18" s="14">
        <v>9980538.9431082793</v>
      </c>
      <c r="H18" s="14">
        <v>8870067.7164368257</v>
      </c>
      <c r="I18" s="14">
        <v>8525998.0172195435</v>
      </c>
      <c r="J18" s="14">
        <v>8895082.6216695141</v>
      </c>
      <c r="K18" s="14">
        <v>8748514.0997786075</v>
      </c>
      <c r="L18" s="14">
        <v>8840931.6548436992</v>
      </c>
      <c r="M18" s="14">
        <v>9451279.7985742856</v>
      </c>
      <c r="N18" s="14">
        <v>8938996.7329590768</v>
      </c>
      <c r="O18" s="14">
        <v>9403994.4093852211</v>
      </c>
      <c r="P18" s="14">
        <f t="shared" si="0"/>
        <v>111936449.57456985</v>
      </c>
    </row>
    <row r="19" spans="2:18" x14ac:dyDescent="0.2">
      <c r="B19" s="15"/>
      <c r="C19" s="16" t="s">
        <v>20</v>
      </c>
      <c r="D19" s="17">
        <v>3426322.9371623993</v>
      </c>
      <c r="E19" s="17">
        <v>3124151.6155656306</v>
      </c>
      <c r="F19" s="17">
        <v>3513083.1098937988</v>
      </c>
      <c r="G19" s="17">
        <v>3317378.3953624754</v>
      </c>
      <c r="H19" s="17">
        <v>2829505.8373116106</v>
      </c>
      <c r="I19" s="17">
        <v>2674005.5152053833</v>
      </c>
      <c r="J19" s="17">
        <v>2919837.9136408456</v>
      </c>
      <c r="K19" s="17">
        <v>2859135.5798829943</v>
      </c>
      <c r="L19" s="17">
        <v>2962240.1037401063</v>
      </c>
      <c r="M19" s="17">
        <v>3168154.2098965398</v>
      </c>
      <c r="N19" s="17">
        <v>2937875.8028302155</v>
      </c>
      <c r="O19" s="17">
        <v>3109413.5976945842</v>
      </c>
      <c r="P19" s="17">
        <f t="shared" si="0"/>
        <v>36841104.618186586</v>
      </c>
    </row>
    <row r="20" spans="2:18" x14ac:dyDescent="0.2">
      <c r="B20" s="15"/>
      <c r="C20" s="16" t="s">
        <v>21</v>
      </c>
      <c r="D20" s="17">
        <v>3447292.2558150291</v>
      </c>
      <c r="E20" s="17">
        <v>3206499.8744315542</v>
      </c>
      <c r="F20" s="17">
        <v>3516531.6022949219</v>
      </c>
      <c r="G20" s="17">
        <v>3374251.7297210693</v>
      </c>
      <c r="H20" s="17">
        <v>2986313.2333044168</v>
      </c>
      <c r="I20" s="17">
        <v>2926077.8184204102</v>
      </c>
      <c r="J20" s="17">
        <v>3008835.4566611378</v>
      </c>
      <c r="K20" s="17">
        <v>2901313.9736845493</v>
      </c>
      <c r="L20" s="17">
        <v>2929274.0932331085</v>
      </c>
      <c r="M20" s="17">
        <v>3130615.7121887207</v>
      </c>
      <c r="N20" s="17">
        <v>3008087.9321292574</v>
      </c>
      <c r="O20" s="17">
        <v>3151194.4274380882</v>
      </c>
      <c r="P20" s="17">
        <f t="shared" si="0"/>
        <v>37586288.109322265</v>
      </c>
    </row>
    <row r="21" spans="2:18" x14ac:dyDescent="0.2">
      <c r="B21" s="15"/>
      <c r="C21" s="16" t="s">
        <v>23</v>
      </c>
      <c r="D21" s="17">
        <v>3433775.3092756281</v>
      </c>
      <c r="E21" s="17">
        <v>3230252.6786779957</v>
      </c>
      <c r="F21" s="17">
        <v>3383136.1974778352</v>
      </c>
      <c r="G21" s="17">
        <v>3288908.8180247345</v>
      </c>
      <c r="H21" s="17">
        <v>3054248.6458207979</v>
      </c>
      <c r="I21" s="17">
        <v>2925914.68359375</v>
      </c>
      <c r="J21" s="17">
        <v>2966409.2513675308</v>
      </c>
      <c r="K21" s="17">
        <v>2988064.5462110639</v>
      </c>
      <c r="L21" s="17">
        <v>2949417.4578704834</v>
      </c>
      <c r="M21" s="17">
        <v>3152509.8764890246</v>
      </c>
      <c r="N21" s="17">
        <v>2993032.9979996048</v>
      </c>
      <c r="O21" s="17">
        <v>3143386.3842525482</v>
      </c>
      <c r="P21" s="17">
        <f t="shared" si="0"/>
        <v>37509056.847060993</v>
      </c>
    </row>
    <row r="22" spans="2:18" ht="15" x14ac:dyDescent="0.25">
      <c r="B22" s="12" t="s">
        <v>26</v>
      </c>
      <c r="C22" s="13"/>
      <c r="D22" s="14">
        <v>72064964.935473651</v>
      </c>
      <c r="E22" s="14">
        <v>83210969.813110352</v>
      </c>
      <c r="F22" s="14">
        <v>104794889.90677261</v>
      </c>
      <c r="G22" s="14">
        <v>84501596.139541626</v>
      </c>
      <c r="H22" s="14">
        <v>54284203.921717644</v>
      </c>
      <c r="I22" s="14">
        <v>51697414.284905553</v>
      </c>
      <c r="J22" s="14">
        <v>53421481.46436739</v>
      </c>
      <c r="K22" s="14">
        <v>53418250.566709757</v>
      </c>
      <c r="L22" s="14">
        <v>54712470.789159894</v>
      </c>
      <c r="M22" s="14">
        <v>58131604.086307645</v>
      </c>
      <c r="N22" s="14">
        <v>55439239.229122192</v>
      </c>
      <c r="O22" s="14">
        <v>62464398.478741534</v>
      </c>
      <c r="P22" s="14">
        <f t="shared" si="0"/>
        <v>788141483.61592984</v>
      </c>
    </row>
    <row r="23" spans="2:18" x14ac:dyDescent="0.2">
      <c r="B23" s="15"/>
      <c r="C23" s="16" t="s">
        <v>20</v>
      </c>
      <c r="D23" s="17">
        <v>27164376.635009766</v>
      </c>
      <c r="E23" s="17">
        <v>28346168.957763672</v>
      </c>
      <c r="F23" s="17">
        <v>35124477.788085938</v>
      </c>
      <c r="G23" s="17">
        <v>29948582.589157104</v>
      </c>
      <c r="H23" s="17">
        <v>22081418.156218052</v>
      </c>
      <c r="I23" s="17">
        <v>20768486.766030312</v>
      </c>
      <c r="J23" s="17">
        <v>23318140.934532166</v>
      </c>
      <c r="K23" s="17">
        <v>23541433.317028105</v>
      </c>
      <c r="L23" s="17">
        <v>22345898.803013325</v>
      </c>
      <c r="M23" s="17">
        <v>22683696.407532275</v>
      </c>
      <c r="N23" s="17">
        <v>22543742.183301836</v>
      </c>
      <c r="O23" s="17">
        <v>24555386.396440506</v>
      </c>
      <c r="P23" s="17">
        <f t="shared" si="0"/>
        <v>302421808.93411303</v>
      </c>
    </row>
    <row r="24" spans="2:18" x14ac:dyDescent="0.2">
      <c r="B24" s="15"/>
      <c r="C24" s="16" t="s">
        <v>21</v>
      </c>
      <c r="D24" s="17">
        <v>23733258.847043991</v>
      </c>
      <c r="E24" s="17">
        <v>26794851.481933594</v>
      </c>
      <c r="F24" s="17">
        <v>34562545.968296051</v>
      </c>
      <c r="G24" s="17">
        <v>24631861.544036865</v>
      </c>
      <c r="H24" s="17">
        <v>9247883.9879117012</v>
      </c>
      <c r="I24" s="17">
        <v>9150744.1947997808</v>
      </c>
      <c r="J24" s="17">
        <v>6307095.5439953804</v>
      </c>
      <c r="K24" s="17">
        <v>6843568.0956289172</v>
      </c>
      <c r="L24" s="17">
        <v>9170175.2796093225</v>
      </c>
      <c r="M24" s="17">
        <v>10604834.746646464</v>
      </c>
      <c r="N24" s="17">
        <v>8868706.6592236757</v>
      </c>
      <c r="O24" s="17">
        <v>12577441.491171189</v>
      </c>
      <c r="P24" s="17">
        <f t="shared" si="0"/>
        <v>182492967.84029692</v>
      </c>
    </row>
    <row r="25" spans="2:18" x14ac:dyDescent="0.2">
      <c r="B25" s="15"/>
      <c r="C25" s="16" t="s">
        <v>23</v>
      </c>
      <c r="D25" s="17">
        <v>21167329.453419894</v>
      </c>
      <c r="E25" s="17">
        <v>28069949.373413086</v>
      </c>
      <c r="F25" s="17">
        <v>35107866.150390625</v>
      </c>
      <c r="G25" s="17">
        <v>29921152.006347656</v>
      </c>
      <c r="H25" s="17">
        <v>22954901.777587891</v>
      </c>
      <c r="I25" s="17">
        <v>21778183.32407546</v>
      </c>
      <c r="J25" s="17">
        <v>23796244.985839844</v>
      </c>
      <c r="K25" s="17">
        <v>23033249.154052734</v>
      </c>
      <c r="L25" s="17">
        <v>23196396.706537247</v>
      </c>
      <c r="M25" s="17">
        <v>24843072.932128906</v>
      </c>
      <c r="N25" s="17">
        <v>24026790.38659668</v>
      </c>
      <c r="O25" s="17">
        <v>25331570.591129839</v>
      </c>
      <c r="P25" s="17">
        <f t="shared" si="0"/>
        <v>303226706.84151989</v>
      </c>
    </row>
    <row r="26" spans="2:18" ht="15" x14ac:dyDescent="0.25">
      <c r="B26" s="12" t="s">
        <v>27</v>
      </c>
      <c r="C26" s="13"/>
      <c r="D26" s="14">
        <v>5346018.3460291745</v>
      </c>
      <c r="E26" s="14">
        <v>5097854.6658031009</v>
      </c>
      <c r="F26" s="14">
        <v>6466522.6241939394</v>
      </c>
      <c r="G26" s="14">
        <v>6116836.4575907886</v>
      </c>
      <c r="H26" s="14">
        <v>5303739.4430541992</v>
      </c>
      <c r="I26" s="14">
        <v>5094971.3868408203</v>
      </c>
      <c r="J26" s="14">
        <v>5012995.4502857784</v>
      </c>
      <c r="K26" s="14">
        <v>4907644.5278379694</v>
      </c>
      <c r="L26" s="14">
        <v>5193132.1436581071</v>
      </c>
      <c r="M26" s="14">
        <v>5656703.5269775391</v>
      </c>
      <c r="N26" s="14">
        <v>5315729.609871516</v>
      </c>
      <c r="O26" s="14">
        <v>5775367.1303581316</v>
      </c>
      <c r="P26" s="14">
        <f t="shared" si="0"/>
        <v>65287515.312501065</v>
      </c>
    </row>
    <row r="27" spans="2:18" x14ac:dyDescent="0.2">
      <c r="B27" s="15"/>
      <c r="C27" s="16" t="s">
        <v>20</v>
      </c>
      <c r="D27" s="17">
        <v>5346018.3460291745</v>
      </c>
      <c r="E27" s="17">
        <v>5097854.6658031009</v>
      </c>
      <c r="F27" s="17">
        <v>6466522.6241939394</v>
      </c>
      <c r="G27" s="17">
        <v>6116836.4575907886</v>
      </c>
      <c r="H27" s="17">
        <v>5303739.4430541992</v>
      </c>
      <c r="I27" s="17">
        <v>5094971.3868408203</v>
      </c>
      <c r="J27" s="17">
        <v>5012995.4502857784</v>
      </c>
      <c r="K27" s="17">
        <v>4907644.5278379694</v>
      </c>
      <c r="L27" s="17">
        <v>5193132.1436581071</v>
      </c>
      <c r="M27" s="17">
        <v>5656703.5269775391</v>
      </c>
      <c r="N27" s="17">
        <v>5315729.609871516</v>
      </c>
      <c r="O27" s="17">
        <v>5775367.1303581316</v>
      </c>
      <c r="P27" s="17">
        <f t="shared" si="0"/>
        <v>65287515.312501065</v>
      </c>
      <c r="R27" s="18"/>
    </row>
    <row r="28" spans="2:18" ht="15" x14ac:dyDescent="0.25">
      <c r="B28" s="19" t="s">
        <v>28</v>
      </c>
      <c r="C28" s="20"/>
      <c r="D28" s="11">
        <v>21151.363297047879</v>
      </c>
      <c r="E28" s="11">
        <v>41879.473379645089</v>
      </c>
      <c r="F28" s="11">
        <v>938.51548099517822</v>
      </c>
      <c r="G28" s="11">
        <v>1814.6383666992188</v>
      </c>
      <c r="H28" s="11">
        <v>3415.2294490203249</v>
      </c>
      <c r="I28" s="11">
        <v>1667.3937481865869</v>
      </c>
      <c r="J28" s="11">
        <v>3556.4135079628322</v>
      </c>
      <c r="K28" s="11">
        <v>1745.6691998542665</v>
      </c>
      <c r="L28" s="11">
        <v>23777.64343863642</v>
      </c>
      <c r="M28" s="11">
        <v>50988.185106721714</v>
      </c>
      <c r="N28" s="11">
        <v>50404.546267491765</v>
      </c>
      <c r="O28" s="11">
        <v>28137.40519238072</v>
      </c>
      <c r="P28" s="11">
        <f t="shared" si="0"/>
        <v>229476.47643464198</v>
      </c>
    </row>
    <row r="29" spans="2:18" ht="15" x14ac:dyDescent="0.25">
      <c r="B29" s="12" t="s">
        <v>29</v>
      </c>
      <c r="C29" s="13"/>
      <c r="D29" s="14">
        <v>14822.562119483948</v>
      </c>
      <c r="E29" s="14">
        <v>21476.161821875314</v>
      </c>
      <c r="F29" s="14">
        <v>0</v>
      </c>
      <c r="G29" s="14">
        <v>864.037841796875</v>
      </c>
      <c r="H29" s="14">
        <v>0</v>
      </c>
      <c r="I29" s="14">
        <v>1667.3937481865869</v>
      </c>
      <c r="J29" s="14">
        <v>0</v>
      </c>
      <c r="K29" s="14">
        <v>1745.6691998542665</v>
      </c>
      <c r="L29" s="14">
        <v>0</v>
      </c>
      <c r="M29" s="14">
        <v>30390.712244478062</v>
      </c>
      <c r="N29" s="14">
        <v>28273.972847446799</v>
      </c>
      <c r="O29" s="14">
        <v>4373.991587644392</v>
      </c>
      <c r="P29" s="14">
        <f t="shared" si="0"/>
        <v>103614.50141076624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f t="shared" si="0"/>
        <v>0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0</v>
      </c>
    </row>
    <row r="33" spans="2:16" x14ac:dyDescent="0.2">
      <c r="B33" s="15"/>
      <c r="C33" s="16" t="s">
        <v>33</v>
      </c>
      <c r="D33" s="17">
        <v>416.4725341796875</v>
      </c>
      <c r="E33" s="17">
        <v>8163.6456127166748</v>
      </c>
      <c r="F33" s="17">
        <v>0</v>
      </c>
      <c r="G33" s="17">
        <v>318.92608642578125</v>
      </c>
      <c r="H33" s="17">
        <v>0</v>
      </c>
      <c r="I33" s="17">
        <v>1024.9066925048828</v>
      </c>
      <c r="J33" s="17">
        <v>0</v>
      </c>
      <c r="K33" s="17">
        <v>1180.3147888183594</v>
      </c>
      <c r="L33" s="17">
        <v>0</v>
      </c>
      <c r="M33" s="17">
        <v>25103.627816231958</v>
      </c>
      <c r="N33" s="17">
        <v>27669.574584960938</v>
      </c>
      <c r="O33" s="17">
        <v>1530.7388582229614</v>
      </c>
      <c r="P33" s="17">
        <f t="shared" si="0"/>
        <v>65408.206974061242</v>
      </c>
    </row>
    <row r="34" spans="2:16" x14ac:dyDescent="0.2">
      <c r="B34" s="15"/>
      <c r="C34" s="16" t="s">
        <v>34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5287.0844282461039</v>
      </c>
      <c r="N34" s="17">
        <v>0</v>
      </c>
      <c r="O34" s="17">
        <v>1322.207430261944</v>
      </c>
      <c r="P34" s="17">
        <f t="shared" si="0"/>
        <v>6609.2918585080479</v>
      </c>
    </row>
    <row r="35" spans="2:16" x14ac:dyDescent="0.2">
      <c r="B35" s="15"/>
      <c r="C35" s="16" t="s">
        <v>35</v>
      </c>
      <c r="D35" s="17">
        <v>14406.08958530426</v>
      </c>
      <c r="E35" s="17">
        <v>13312.516209158641</v>
      </c>
      <c r="F35" s="17">
        <v>0</v>
      </c>
      <c r="G35" s="17">
        <v>545.11175537109375</v>
      </c>
      <c r="H35" s="17">
        <v>0</v>
      </c>
      <c r="I35" s="17">
        <v>642.48705568170408</v>
      </c>
      <c r="J35" s="17">
        <v>0</v>
      </c>
      <c r="K35" s="17">
        <v>565.35441103590711</v>
      </c>
      <c r="L35" s="17">
        <v>0</v>
      </c>
      <c r="M35" s="17">
        <v>0</v>
      </c>
      <c r="N35" s="17">
        <v>604.39826248586178</v>
      </c>
      <c r="O35" s="17">
        <v>1521.0452991594866</v>
      </c>
      <c r="P35" s="17">
        <f t="shared" si="0"/>
        <v>31597.002578196953</v>
      </c>
    </row>
    <row r="36" spans="2:16" ht="15" x14ac:dyDescent="0.25">
      <c r="B36" s="12" t="s">
        <v>36</v>
      </c>
      <c r="C36" s="13"/>
      <c r="D36" s="14">
        <v>6328.8011775639316</v>
      </c>
      <c r="E36" s="14">
        <v>20403.311557769775</v>
      </c>
      <c r="F36" s="14">
        <v>938.51548099517822</v>
      </c>
      <c r="G36" s="14">
        <v>950.60052490234386</v>
      </c>
      <c r="H36" s="14">
        <v>3415.2294490203249</v>
      </c>
      <c r="I36" s="14">
        <v>0</v>
      </c>
      <c r="J36" s="14">
        <v>3556.4135079628322</v>
      </c>
      <c r="K36" s="14">
        <v>0</v>
      </c>
      <c r="L36" s="14">
        <v>23777.64343863642</v>
      </c>
      <c r="M36" s="14">
        <v>20597.472862243652</v>
      </c>
      <c r="N36" s="14">
        <v>22130.573420044966</v>
      </c>
      <c r="O36" s="14">
        <v>23763.413604736328</v>
      </c>
      <c r="P36" s="14">
        <f t="shared" si="0"/>
        <v>125861.97502387574</v>
      </c>
    </row>
    <row r="37" spans="2:16" x14ac:dyDescent="0.2">
      <c r="B37" s="15"/>
      <c r="C37" s="16" t="s">
        <v>37</v>
      </c>
      <c r="D37" s="17">
        <v>1761.779411315918</v>
      </c>
      <c r="E37" s="17">
        <v>0</v>
      </c>
      <c r="F37" s="17">
        <v>181.906982421875</v>
      </c>
      <c r="G37" s="17">
        <v>0</v>
      </c>
      <c r="H37" s="17">
        <v>1274.3293991088867</v>
      </c>
      <c r="I37" s="17">
        <v>0</v>
      </c>
      <c r="J37" s="17">
        <v>1029.2970199835254</v>
      </c>
      <c r="K37" s="17">
        <v>0</v>
      </c>
      <c r="L37" s="17">
        <v>912.67388916015625</v>
      </c>
      <c r="M37" s="17">
        <v>0</v>
      </c>
      <c r="N37" s="17">
        <v>1028.0100056361407</v>
      </c>
      <c r="O37" s="17">
        <v>23763.413604736328</v>
      </c>
      <c r="P37" s="17">
        <f t="shared" si="0"/>
        <v>29951.41031236283</v>
      </c>
    </row>
    <row r="38" spans="2:16" x14ac:dyDescent="0.2">
      <c r="B38" s="15"/>
      <c r="C38" s="16" t="s">
        <v>38</v>
      </c>
      <c r="D38" s="17">
        <v>3545.0374145507813</v>
      </c>
      <c r="E38" s="17">
        <v>0</v>
      </c>
      <c r="F38" s="17">
        <v>244.39497470855713</v>
      </c>
      <c r="G38" s="17">
        <v>950.60052490234386</v>
      </c>
      <c r="H38" s="17">
        <v>1071.0092544555664</v>
      </c>
      <c r="I38" s="17">
        <v>0</v>
      </c>
      <c r="J38" s="17">
        <v>1077.8742065429688</v>
      </c>
      <c r="K38" s="17">
        <v>0</v>
      </c>
      <c r="L38" s="17">
        <v>21729.873702049255</v>
      </c>
      <c r="M38" s="17">
        <v>0</v>
      </c>
      <c r="N38" s="17">
        <v>20022.724744796753</v>
      </c>
      <c r="O38" s="17">
        <v>0</v>
      </c>
      <c r="P38" s="17">
        <f t="shared" si="0"/>
        <v>48641.514822006226</v>
      </c>
    </row>
    <row r="39" spans="2:16" x14ac:dyDescent="0.2">
      <c r="B39" s="15"/>
      <c r="C39" s="16" t="s">
        <v>39</v>
      </c>
      <c r="D39" s="17">
        <v>1021.9843516972323</v>
      </c>
      <c r="E39" s="17">
        <v>20403.311557769775</v>
      </c>
      <c r="F39" s="17">
        <v>512.21352386474609</v>
      </c>
      <c r="G39" s="17">
        <v>0</v>
      </c>
      <c r="H39" s="17">
        <v>1069.8907954558717</v>
      </c>
      <c r="I39" s="17">
        <v>0</v>
      </c>
      <c r="J39" s="17">
        <v>1449.2422814363381</v>
      </c>
      <c r="K39" s="17">
        <v>0</v>
      </c>
      <c r="L39" s="17">
        <v>1135.0958474270083</v>
      </c>
      <c r="M39" s="17">
        <v>20597.472862243652</v>
      </c>
      <c r="N39" s="17">
        <v>1079.8386696120724</v>
      </c>
      <c r="O39" s="17">
        <v>0</v>
      </c>
      <c r="P39" s="17">
        <f t="shared" si="0"/>
        <v>47269.049889506699</v>
      </c>
    </row>
    <row r="40" spans="2:16" ht="15" x14ac:dyDescent="0.25">
      <c r="B40" s="12" t="s">
        <v>40</v>
      </c>
      <c r="C40" s="13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f t="shared" si="0"/>
        <v>0</v>
      </c>
    </row>
    <row r="41" spans="2:16" x14ac:dyDescent="0.2">
      <c r="B41" s="15"/>
      <c r="C41" s="16" t="s">
        <v>41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f t="shared" ref="P41:P43" si="1">SUM(D41:O41)</f>
        <v>0</v>
      </c>
    </row>
    <row r="42" spans="2:16" x14ac:dyDescent="0.2">
      <c r="B42" s="15"/>
      <c r="C42" s="16" t="s">
        <v>42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f t="shared" si="1"/>
        <v>0</v>
      </c>
    </row>
    <row r="43" spans="2:16" ht="15" x14ac:dyDescent="0.25">
      <c r="B43" s="19" t="s">
        <v>43</v>
      </c>
      <c r="C43" s="20"/>
      <c r="D43" s="11">
        <v>92857776.708628103</v>
      </c>
      <c r="E43" s="11">
        <v>102484094.96847111</v>
      </c>
      <c r="F43" s="11">
        <v>126779934.43193726</v>
      </c>
      <c r="G43" s="11">
        <v>104875219.83912553</v>
      </c>
      <c r="H43" s="11">
        <v>73281987.113497108</v>
      </c>
      <c r="I43" s="11">
        <v>70159468.229576141</v>
      </c>
      <c r="J43" s="11">
        <v>72200469.319792002</v>
      </c>
      <c r="K43" s="11">
        <v>72097472.679394752</v>
      </c>
      <c r="L43" s="11">
        <v>73574094.427083552</v>
      </c>
      <c r="M43" s="11">
        <v>78280372.491600856</v>
      </c>
      <c r="N43" s="11">
        <v>74674737.419058859</v>
      </c>
      <c r="O43" s="11">
        <v>82686959.405202687</v>
      </c>
      <c r="P43" s="11">
        <f t="shared" si="1"/>
        <v>1023952587.0333679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43"/>
  <sheetViews>
    <sheetView zoomScale="70" zoomScaleNormal="7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54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103731449.26541302</v>
      </c>
      <c r="E7" s="11">
        <v>77567931.735006988</v>
      </c>
      <c r="F7" s="11">
        <v>77444539.568186194</v>
      </c>
      <c r="G7" s="11">
        <v>107799359.41108496</v>
      </c>
      <c r="H7" s="11">
        <v>71805397.81526652</v>
      </c>
      <c r="I7" s="11">
        <v>70035253.482902929</v>
      </c>
      <c r="J7" s="11">
        <v>72301057.227797419</v>
      </c>
      <c r="K7" s="11">
        <v>82677991.405165359</v>
      </c>
      <c r="L7" s="11">
        <v>79741329.909562796</v>
      </c>
      <c r="M7" s="11">
        <v>81849864.320844412</v>
      </c>
      <c r="N7" s="11">
        <v>80581070.766352922</v>
      </c>
      <c r="O7" s="11">
        <v>82186705.808062732</v>
      </c>
      <c r="P7" s="11">
        <f t="shared" ref="P7:P40" si="0">SUM(D7:O7)</f>
        <v>987721950.71564627</v>
      </c>
    </row>
    <row r="8" spans="1:16" ht="15" x14ac:dyDescent="0.25">
      <c r="B8" s="12" t="s">
        <v>19</v>
      </c>
      <c r="C8" s="13"/>
      <c r="D8" s="14">
        <v>1233102.616973877</v>
      </c>
      <c r="E8" s="14">
        <v>1097811.8066394329</v>
      </c>
      <c r="F8" s="14">
        <v>1179050.9203028679</v>
      </c>
      <c r="G8" s="14">
        <v>1184724.4219871424</v>
      </c>
      <c r="H8" s="14">
        <v>1252957.4702080414</v>
      </c>
      <c r="I8" s="14">
        <v>1180015.7286756269</v>
      </c>
      <c r="J8" s="14">
        <v>1210749.2569425534</v>
      </c>
      <c r="K8" s="14">
        <v>1211610.5867347717</v>
      </c>
      <c r="L8" s="14">
        <v>1182234.9487266541</v>
      </c>
      <c r="M8" s="14">
        <v>1230918.1626663208</v>
      </c>
      <c r="N8" s="14">
        <v>1020267.2981666323</v>
      </c>
      <c r="O8" s="14">
        <v>1186923.6830627443</v>
      </c>
      <c r="P8" s="14">
        <f t="shared" si="0"/>
        <v>14170366.901086666</v>
      </c>
    </row>
    <row r="9" spans="1:16" x14ac:dyDescent="0.2">
      <c r="B9" s="15"/>
      <c r="C9" s="16" t="s">
        <v>20</v>
      </c>
      <c r="D9" s="17">
        <v>616148.17135620117</v>
      </c>
      <c r="E9" s="17">
        <v>548893.8036775589</v>
      </c>
      <c r="F9" s="17">
        <v>587002.15513372421</v>
      </c>
      <c r="G9" s="17">
        <v>592597.74138769135</v>
      </c>
      <c r="H9" s="17">
        <v>624215.3843697235</v>
      </c>
      <c r="I9" s="17">
        <v>583399.4922292463</v>
      </c>
      <c r="J9" s="17">
        <v>594864.54458217137</v>
      </c>
      <c r="K9" s="17">
        <v>605957.28456497192</v>
      </c>
      <c r="L9" s="17">
        <v>591391.90353012085</v>
      </c>
      <c r="M9" s="17">
        <v>616096.40288925171</v>
      </c>
      <c r="N9" s="17">
        <v>600897.16250836814</v>
      </c>
      <c r="O9" s="17">
        <v>609702.95556274441</v>
      </c>
      <c r="P9" s="17">
        <f t="shared" si="0"/>
        <v>7171167.0017917743</v>
      </c>
    </row>
    <row r="10" spans="1:16" x14ac:dyDescent="0.2">
      <c r="B10" s="15"/>
      <c r="C10" s="16" t="s">
        <v>21</v>
      </c>
      <c r="D10" s="17">
        <v>616954.44561767578</v>
      </c>
      <c r="E10" s="17">
        <v>548918.00296187401</v>
      </c>
      <c r="F10" s="17">
        <v>592048.76516914368</v>
      </c>
      <c r="G10" s="17">
        <v>592126.68059945107</v>
      </c>
      <c r="H10" s="17">
        <v>628742.08583831787</v>
      </c>
      <c r="I10" s="17">
        <v>596616.23644638062</v>
      </c>
      <c r="J10" s="17">
        <v>615884.71236038208</v>
      </c>
      <c r="K10" s="17">
        <v>605653.3021697998</v>
      </c>
      <c r="L10" s="17">
        <v>590843.0451965332</v>
      </c>
      <c r="M10" s="17">
        <v>614821.75977706909</v>
      </c>
      <c r="N10" s="17">
        <v>419370.13565826416</v>
      </c>
      <c r="O10" s="17">
        <v>577220.72750000004</v>
      </c>
      <c r="P10" s="17">
        <f t="shared" si="0"/>
        <v>6999199.8992948914</v>
      </c>
    </row>
    <row r="11" spans="1:16" ht="15" x14ac:dyDescent="0.25">
      <c r="B11" s="12" t="s">
        <v>22</v>
      </c>
      <c r="C11" s="13"/>
      <c r="D11" s="14">
        <v>419487.52566183731</v>
      </c>
      <c r="E11" s="14">
        <v>382364.57670211792</v>
      </c>
      <c r="F11" s="14">
        <v>416140.57712009503</v>
      </c>
      <c r="G11" s="14">
        <v>406448.32254552841</v>
      </c>
      <c r="H11" s="14">
        <v>422596.09326648712</v>
      </c>
      <c r="I11" s="14">
        <v>409949.79420614243</v>
      </c>
      <c r="J11" s="14">
        <v>424821.05837561376</v>
      </c>
      <c r="K11" s="14">
        <v>429953.56168890744</v>
      </c>
      <c r="L11" s="14">
        <v>413352.67374262214</v>
      </c>
      <c r="M11" s="14">
        <v>432969.23291563988</v>
      </c>
      <c r="N11" s="14">
        <v>417336.08965206146</v>
      </c>
      <c r="O11" s="14">
        <v>426689.24250000005</v>
      </c>
      <c r="P11" s="14">
        <f t="shared" si="0"/>
        <v>5002108.7483770531</v>
      </c>
    </row>
    <row r="12" spans="1:16" x14ac:dyDescent="0.2">
      <c r="B12" s="15"/>
      <c r="C12" s="16" t="s">
        <v>20</v>
      </c>
      <c r="D12" s="17">
        <v>141351.53916704282</v>
      </c>
      <c r="E12" s="17">
        <v>129799.8455657959</v>
      </c>
      <c r="F12" s="17">
        <v>140638.91976237297</v>
      </c>
      <c r="G12" s="17">
        <v>136386.88559675217</v>
      </c>
      <c r="H12" s="17">
        <v>141945.57360935211</v>
      </c>
      <c r="I12" s="17">
        <v>136571.229804039</v>
      </c>
      <c r="J12" s="17">
        <v>141839.10248084553</v>
      </c>
      <c r="K12" s="17">
        <v>143447.53733778745</v>
      </c>
      <c r="L12" s="17">
        <v>136657.80068206787</v>
      </c>
      <c r="M12" s="17">
        <v>144789.97464752197</v>
      </c>
      <c r="N12" s="17">
        <v>139681.58795833588</v>
      </c>
      <c r="O12" s="17">
        <v>140907.57750000016</v>
      </c>
      <c r="P12" s="17">
        <f t="shared" si="0"/>
        <v>1674017.5741119138</v>
      </c>
    </row>
    <row r="13" spans="1:16" x14ac:dyDescent="0.2">
      <c r="B13" s="15"/>
      <c r="C13" s="16" t="s">
        <v>21</v>
      </c>
      <c r="D13" s="17">
        <v>127313.06374740601</v>
      </c>
      <c r="E13" s="17">
        <v>115978.87345504761</v>
      </c>
      <c r="F13" s="17">
        <v>126965.20872211456</v>
      </c>
      <c r="G13" s="17">
        <v>123318.29855728149</v>
      </c>
      <c r="H13" s="17">
        <v>130179.18710899353</v>
      </c>
      <c r="I13" s="17">
        <v>127055.7802567482</v>
      </c>
      <c r="J13" s="17">
        <v>132739.56767112017</v>
      </c>
      <c r="K13" s="17">
        <v>133964.16213417053</v>
      </c>
      <c r="L13" s="17">
        <v>128739.64082941413</v>
      </c>
      <c r="M13" s="17">
        <v>135694.61850655079</v>
      </c>
      <c r="N13" s="17">
        <v>131179.67829322815</v>
      </c>
      <c r="O13" s="17">
        <v>134856.83499999999</v>
      </c>
      <c r="P13" s="17">
        <f t="shared" si="0"/>
        <v>1547984.9142820751</v>
      </c>
    </row>
    <row r="14" spans="1:16" x14ac:dyDescent="0.2">
      <c r="B14" s="15"/>
      <c r="C14" s="16" t="s">
        <v>23</v>
      </c>
      <c r="D14" s="17">
        <v>150822.92274738848</v>
      </c>
      <c r="E14" s="17">
        <v>136585.85768127441</v>
      </c>
      <c r="F14" s="17">
        <v>148536.44863560749</v>
      </c>
      <c r="G14" s="17">
        <v>146743.13839149475</v>
      </c>
      <c r="H14" s="17">
        <v>150471.33254814148</v>
      </c>
      <c r="I14" s="17">
        <v>146322.78414535522</v>
      </c>
      <c r="J14" s="17">
        <v>150242.38822364807</v>
      </c>
      <c r="K14" s="17">
        <v>152541.86221694946</v>
      </c>
      <c r="L14" s="17">
        <v>147955.23223114014</v>
      </c>
      <c r="M14" s="17">
        <v>152484.63976156712</v>
      </c>
      <c r="N14" s="17">
        <v>146474.82340049744</v>
      </c>
      <c r="O14" s="17">
        <v>150924.82999999987</v>
      </c>
      <c r="P14" s="17">
        <f t="shared" si="0"/>
        <v>1780106.2599830639</v>
      </c>
    </row>
    <row r="15" spans="1:16" ht="15" x14ac:dyDescent="0.25">
      <c r="B15" s="12" t="s">
        <v>24</v>
      </c>
      <c r="C15" s="13"/>
      <c r="D15" s="14">
        <v>3416550.771283403</v>
      </c>
      <c r="E15" s="14">
        <v>3057352.2481908798</v>
      </c>
      <c r="F15" s="14">
        <v>3412162.4729585648</v>
      </c>
      <c r="G15" s="14">
        <v>3321145.8732638359</v>
      </c>
      <c r="H15" s="14">
        <v>3472145.4925231934</v>
      </c>
      <c r="I15" s="14">
        <v>3328598.552022934</v>
      </c>
      <c r="J15" s="14">
        <v>3443915.2772979736</v>
      </c>
      <c r="K15" s="14">
        <v>3401150.5751572549</v>
      </c>
      <c r="L15" s="14">
        <v>3355334.4144897461</v>
      </c>
      <c r="M15" s="14">
        <v>3430074.9387454987</v>
      </c>
      <c r="N15" s="14">
        <v>3331057.1288337708</v>
      </c>
      <c r="O15" s="14">
        <v>3436271.6599999988</v>
      </c>
      <c r="P15" s="14">
        <f t="shared" si="0"/>
        <v>40405759.404767051</v>
      </c>
    </row>
    <row r="16" spans="1:16" x14ac:dyDescent="0.2">
      <c r="B16" s="15"/>
      <c r="C16" s="16" t="s">
        <v>20</v>
      </c>
      <c r="D16" s="17">
        <v>1703306.7347602844</v>
      </c>
      <c r="E16" s="17">
        <v>1521857.4314413071</v>
      </c>
      <c r="F16" s="17">
        <v>1694197.5942964554</v>
      </c>
      <c r="G16" s="17">
        <v>1654010.1747660637</v>
      </c>
      <c r="H16" s="17">
        <v>1725693.3371124268</v>
      </c>
      <c r="I16" s="17">
        <v>1653519.3007354736</v>
      </c>
      <c r="J16" s="17">
        <v>1715228.6160507202</v>
      </c>
      <c r="K16" s="17">
        <v>1692314.4982605875</v>
      </c>
      <c r="L16" s="17">
        <v>1668874.1520385742</v>
      </c>
      <c r="M16" s="17">
        <v>1706528.2745513916</v>
      </c>
      <c r="N16" s="17">
        <v>1658776.9916687012</v>
      </c>
      <c r="O16" s="17">
        <v>1712364.9149999986</v>
      </c>
      <c r="P16" s="17">
        <f t="shared" si="0"/>
        <v>20106672.020681985</v>
      </c>
    </row>
    <row r="17" spans="2:18" x14ac:dyDescent="0.2">
      <c r="B17" s="15"/>
      <c r="C17" s="16" t="s">
        <v>21</v>
      </c>
      <c r="D17" s="17">
        <v>1713244.0365231186</v>
      </c>
      <c r="E17" s="17">
        <v>1535494.8167495728</v>
      </c>
      <c r="F17" s="17">
        <v>1717964.8786621094</v>
      </c>
      <c r="G17" s="17">
        <v>1667135.6984977722</v>
      </c>
      <c r="H17" s="17">
        <v>1746452.1554107666</v>
      </c>
      <c r="I17" s="17">
        <v>1675079.2512874603</v>
      </c>
      <c r="J17" s="17">
        <v>1728686.6612472534</v>
      </c>
      <c r="K17" s="17">
        <v>1708836.0768966675</v>
      </c>
      <c r="L17" s="17">
        <v>1686460.2624511719</v>
      </c>
      <c r="M17" s="17">
        <v>1723546.6641941071</v>
      </c>
      <c r="N17" s="17">
        <v>1672280.1371650696</v>
      </c>
      <c r="O17" s="17">
        <v>1723906.7450000001</v>
      </c>
      <c r="P17" s="17">
        <f t="shared" si="0"/>
        <v>20299087.38408507</v>
      </c>
    </row>
    <row r="18" spans="2:18" ht="15" x14ac:dyDescent="0.25">
      <c r="B18" s="12" t="s">
        <v>25</v>
      </c>
      <c r="C18" s="13"/>
      <c r="D18" s="14">
        <v>11080669.155641377</v>
      </c>
      <c r="E18" s="14">
        <v>9244196.5181584973</v>
      </c>
      <c r="F18" s="14">
        <v>8516147.4925635643</v>
      </c>
      <c r="G18" s="14">
        <v>10519902.336172305</v>
      </c>
      <c r="H18" s="14">
        <v>8098437.5887897955</v>
      </c>
      <c r="I18" s="14">
        <v>8454896.9809405841</v>
      </c>
      <c r="J18" s="14">
        <v>8718571.8635289874</v>
      </c>
      <c r="K18" s="14">
        <v>9912097.8316661119</v>
      </c>
      <c r="L18" s="14">
        <v>9600511.4369544983</v>
      </c>
      <c r="M18" s="14">
        <v>10042734.091144875</v>
      </c>
      <c r="N18" s="14">
        <v>9709360.8699533623</v>
      </c>
      <c r="O18" s="14">
        <v>8460980.222500002</v>
      </c>
      <c r="P18" s="14">
        <f t="shared" si="0"/>
        <v>112358506.38801397</v>
      </c>
    </row>
    <row r="19" spans="2:18" x14ac:dyDescent="0.2">
      <c r="B19" s="15"/>
      <c r="C19" s="16" t="s">
        <v>20</v>
      </c>
      <c r="D19" s="17">
        <v>3675368.5448015328</v>
      </c>
      <c r="E19" s="17">
        <v>3070250.6078766189</v>
      </c>
      <c r="F19" s="17">
        <v>2807475.9259742098</v>
      </c>
      <c r="G19" s="17">
        <v>3497111.0656738281</v>
      </c>
      <c r="H19" s="17">
        <v>3292383.8306385577</v>
      </c>
      <c r="I19" s="17">
        <v>2786077.0629635812</v>
      </c>
      <c r="J19" s="17">
        <v>2905244.5581665039</v>
      </c>
      <c r="K19" s="17">
        <v>3275001.1824493408</v>
      </c>
      <c r="L19" s="17">
        <v>3155431.3442611694</v>
      </c>
      <c r="M19" s="17">
        <v>3305162.4429087886</v>
      </c>
      <c r="N19" s="17">
        <v>3216520.6217995104</v>
      </c>
      <c r="O19" s="17">
        <v>2793988.7</v>
      </c>
      <c r="P19" s="17">
        <f t="shared" si="0"/>
        <v>37780015.887513645</v>
      </c>
    </row>
    <row r="20" spans="2:18" x14ac:dyDescent="0.2">
      <c r="B20" s="15"/>
      <c r="C20" s="16" t="s">
        <v>21</v>
      </c>
      <c r="D20" s="17">
        <v>3713988.8155517578</v>
      </c>
      <c r="E20" s="17">
        <v>3082070.4897734155</v>
      </c>
      <c r="F20" s="17">
        <v>3082687.8683853149</v>
      </c>
      <c r="G20" s="17">
        <v>3540091.1458129883</v>
      </c>
      <c r="H20" s="17">
        <v>3150007.4287616382</v>
      </c>
      <c r="I20" s="17">
        <v>2833403.6520385742</v>
      </c>
      <c r="J20" s="17">
        <v>2914421.1079712342</v>
      </c>
      <c r="K20" s="17">
        <v>3292738.8028106689</v>
      </c>
      <c r="L20" s="17">
        <v>3222545.5765304565</v>
      </c>
      <c r="M20" s="17">
        <v>3398094.5343017578</v>
      </c>
      <c r="N20" s="17">
        <v>3225755.9928437928</v>
      </c>
      <c r="O20" s="17">
        <v>2828412.8050000016</v>
      </c>
      <c r="P20" s="17">
        <f t="shared" si="0"/>
        <v>38284218.2197816</v>
      </c>
    </row>
    <row r="21" spans="2:18" x14ac:dyDescent="0.2">
      <c r="B21" s="15"/>
      <c r="C21" s="16" t="s">
        <v>23</v>
      </c>
      <c r="D21" s="17">
        <v>3691311.7952880859</v>
      </c>
      <c r="E21" s="17">
        <v>3091875.4205084625</v>
      </c>
      <c r="F21" s="17">
        <v>2625983.6982040405</v>
      </c>
      <c r="G21" s="17">
        <v>3482700.1246854896</v>
      </c>
      <c r="H21" s="17">
        <v>1656046.3293895989</v>
      </c>
      <c r="I21" s="17">
        <v>2835416.2659384296</v>
      </c>
      <c r="J21" s="17">
        <v>2898906.1973912497</v>
      </c>
      <c r="K21" s="17">
        <v>3344357.8464061022</v>
      </c>
      <c r="L21" s="17">
        <v>3222534.5161628723</v>
      </c>
      <c r="M21" s="17">
        <v>3339477.1139343283</v>
      </c>
      <c r="N21" s="17">
        <v>3267084.2553100586</v>
      </c>
      <c r="O21" s="17">
        <v>2838578.7174999998</v>
      </c>
      <c r="P21" s="17">
        <f t="shared" si="0"/>
        <v>36294272.280718714</v>
      </c>
    </row>
    <row r="22" spans="2:18" ht="15" x14ac:dyDescent="0.25">
      <c r="B22" s="12" t="s">
        <v>26</v>
      </c>
      <c r="C22" s="13"/>
      <c r="D22" s="14">
        <v>81604066.991568565</v>
      </c>
      <c r="E22" s="14">
        <v>58450056.29539907</v>
      </c>
      <c r="F22" s="14">
        <v>59178474.648029566</v>
      </c>
      <c r="G22" s="14">
        <v>86516136.499450803</v>
      </c>
      <c r="H22" s="14">
        <v>53418912.714172542</v>
      </c>
      <c r="I22" s="14">
        <v>51695818.644980267</v>
      </c>
      <c r="J22" s="14">
        <v>53378969.316558897</v>
      </c>
      <c r="K22" s="14">
        <v>62358638.895465344</v>
      </c>
      <c r="L22" s="14">
        <v>60310445.918653727</v>
      </c>
      <c r="M22" s="14">
        <v>62320546.985839844</v>
      </c>
      <c r="N22" s="14">
        <v>60309032.603181094</v>
      </c>
      <c r="O22" s="14">
        <v>62667343.00249999</v>
      </c>
      <c r="P22" s="14">
        <f t="shared" si="0"/>
        <v>752208442.51579964</v>
      </c>
    </row>
    <row r="23" spans="2:18" x14ac:dyDescent="0.2">
      <c r="B23" s="15"/>
      <c r="C23" s="16" t="s">
        <v>20</v>
      </c>
      <c r="D23" s="17">
        <v>27125843.798819542</v>
      </c>
      <c r="E23" s="17">
        <v>21964225.840332031</v>
      </c>
      <c r="F23" s="17">
        <v>21545962.990488529</v>
      </c>
      <c r="G23" s="17">
        <v>29285147.866136551</v>
      </c>
      <c r="H23" s="17">
        <v>21566053.791885853</v>
      </c>
      <c r="I23" s="17">
        <v>21886271.599597931</v>
      </c>
      <c r="J23" s="17">
        <v>19172202.692348242</v>
      </c>
      <c r="K23" s="17">
        <v>28347260.821347713</v>
      </c>
      <c r="L23" s="17">
        <v>12544162.083379984</v>
      </c>
      <c r="M23" s="17">
        <v>0</v>
      </c>
      <c r="N23" s="17">
        <v>16910347.358275622</v>
      </c>
      <c r="O23" s="17">
        <v>25668719.86499998</v>
      </c>
      <c r="P23" s="17">
        <f t="shared" si="0"/>
        <v>246016198.70761198</v>
      </c>
    </row>
    <row r="24" spans="2:18" x14ac:dyDescent="0.2">
      <c r="B24" s="15"/>
      <c r="C24" s="16" t="s">
        <v>21</v>
      </c>
      <c r="D24" s="17">
        <v>27103626.576538086</v>
      </c>
      <c r="E24" s="17">
        <v>15632991.848896384</v>
      </c>
      <c r="F24" s="17">
        <v>15631441.320443869</v>
      </c>
      <c r="G24" s="17">
        <v>27381886.419269562</v>
      </c>
      <c r="H24" s="17">
        <v>14466778.295980871</v>
      </c>
      <c r="I24" s="17">
        <v>8150747.1330861934</v>
      </c>
      <c r="J24" s="17">
        <v>13478438.528063122</v>
      </c>
      <c r="K24" s="17">
        <v>19579342.958356142</v>
      </c>
      <c r="L24" s="17">
        <v>21327898.361106873</v>
      </c>
      <c r="M24" s="17">
        <v>31195385.794067383</v>
      </c>
      <c r="N24" s="17">
        <v>16668100.758089066</v>
      </c>
      <c r="O24" s="17">
        <v>11635661.842500009</v>
      </c>
      <c r="P24" s="17">
        <f t="shared" si="0"/>
        <v>222252299.83639756</v>
      </c>
    </row>
    <row r="25" spans="2:18" x14ac:dyDescent="0.2">
      <c r="B25" s="15"/>
      <c r="C25" s="16" t="s">
        <v>23</v>
      </c>
      <c r="D25" s="17">
        <v>27374596.616210938</v>
      </c>
      <c r="E25" s="17">
        <v>20852838.606170654</v>
      </c>
      <c r="F25" s="17">
        <v>22001070.337097168</v>
      </c>
      <c r="G25" s="17">
        <v>29849102.21404469</v>
      </c>
      <c r="H25" s="17">
        <v>17386080.626305819</v>
      </c>
      <c r="I25" s="17">
        <v>21658799.912296146</v>
      </c>
      <c r="J25" s="17">
        <v>20728328.096147537</v>
      </c>
      <c r="K25" s="17">
        <v>14432035.115761489</v>
      </c>
      <c r="L25" s="17">
        <v>26438385.47416687</v>
      </c>
      <c r="M25" s="17">
        <v>31125161.191772461</v>
      </c>
      <c r="N25" s="17">
        <v>26730584.486816406</v>
      </c>
      <c r="O25" s="17">
        <v>25362961.294999998</v>
      </c>
      <c r="P25" s="17">
        <f t="shared" si="0"/>
        <v>283939943.97179019</v>
      </c>
    </row>
    <row r="26" spans="2:18" ht="15" x14ac:dyDescent="0.25">
      <c r="B26" s="12" t="s">
        <v>27</v>
      </c>
      <c r="C26" s="13"/>
      <c r="D26" s="14">
        <v>5977572.2042839453</v>
      </c>
      <c r="E26" s="14">
        <v>5336150.2899169922</v>
      </c>
      <c r="F26" s="14">
        <v>4742563.4572115391</v>
      </c>
      <c r="G26" s="14">
        <v>5851001.9576653484</v>
      </c>
      <c r="H26" s="14">
        <v>5140348.4563064575</v>
      </c>
      <c r="I26" s="14">
        <v>4965973.7820773721</v>
      </c>
      <c r="J26" s="14">
        <v>5124030.4550933838</v>
      </c>
      <c r="K26" s="14">
        <v>5364539.9544529701</v>
      </c>
      <c r="L26" s="14">
        <v>4879450.5169955464</v>
      </c>
      <c r="M26" s="14">
        <v>4392620.9095322266</v>
      </c>
      <c r="N26" s="14">
        <v>5794016.7765660016</v>
      </c>
      <c r="O26" s="14">
        <v>6008497.9974999884</v>
      </c>
      <c r="P26" s="14">
        <f t="shared" si="0"/>
        <v>63576766.757601768</v>
      </c>
    </row>
    <row r="27" spans="2:18" x14ac:dyDescent="0.2">
      <c r="B27" s="15"/>
      <c r="C27" s="16" t="s">
        <v>20</v>
      </c>
      <c r="D27" s="17">
        <v>5977572.2042839453</v>
      </c>
      <c r="E27" s="17">
        <v>5336150.2899169922</v>
      </c>
      <c r="F27" s="17">
        <v>4742563.4572115391</v>
      </c>
      <c r="G27" s="17">
        <v>5851001.9576653484</v>
      </c>
      <c r="H27" s="17">
        <v>5140348.4563064575</v>
      </c>
      <c r="I27" s="17">
        <v>4965973.7820773721</v>
      </c>
      <c r="J27" s="17">
        <v>5124030.4550933838</v>
      </c>
      <c r="K27" s="17">
        <v>5364539.9544529701</v>
      </c>
      <c r="L27" s="17">
        <v>4879450.5169955464</v>
      </c>
      <c r="M27" s="17">
        <v>4392620.9095322266</v>
      </c>
      <c r="N27" s="17">
        <v>5794016.7765660016</v>
      </c>
      <c r="O27" s="17">
        <v>6008497.9974999884</v>
      </c>
      <c r="P27" s="17">
        <f t="shared" si="0"/>
        <v>63576766.757601768</v>
      </c>
      <c r="R27" s="18"/>
    </row>
    <row r="28" spans="2:18" ht="15" x14ac:dyDescent="0.25">
      <c r="B28" s="19" t="s">
        <v>28</v>
      </c>
      <c r="C28" s="20"/>
      <c r="D28" s="11">
        <v>2975.8904418945313</v>
      </c>
      <c r="E28" s="11">
        <v>6092.9191718295333</v>
      </c>
      <c r="F28" s="11">
        <v>29530.430233717459</v>
      </c>
      <c r="G28" s="11">
        <v>18313.200101896546</v>
      </c>
      <c r="H28" s="11">
        <v>51917.502859456203</v>
      </c>
      <c r="I28" s="11">
        <v>3872.3168267362053</v>
      </c>
      <c r="J28" s="11">
        <v>69612.412113771046</v>
      </c>
      <c r="K28" s="11">
        <v>12954.900040004643</v>
      </c>
      <c r="L28" s="11">
        <v>77466.549249787349</v>
      </c>
      <c r="M28" s="11">
        <v>25060.964653837178</v>
      </c>
      <c r="N28" s="11">
        <v>3730.5728566034427</v>
      </c>
      <c r="O28" s="11">
        <v>53752.255000000005</v>
      </c>
      <c r="P28" s="11">
        <f t="shared" si="0"/>
        <v>355279.9135495341</v>
      </c>
    </row>
    <row r="29" spans="2:18" ht="15" x14ac:dyDescent="0.25">
      <c r="B29" s="12" t="s">
        <v>29</v>
      </c>
      <c r="C29" s="13"/>
      <c r="D29" s="14">
        <v>0</v>
      </c>
      <c r="E29" s="14">
        <v>6092.9191718295333</v>
      </c>
      <c r="F29" s="14">
        <v>25870.2958984375</v>
      </c>
      <c r="G29" s="14">
        <v>18313.200101896546</v>
      </c>
      <c r="H29" s="14">
        <v>26078.884826660156</v>
      </c>
      <c r="I29" s="14">
        <v>3872.3168267362053</v>
      </c>
      <c r="J29" s="14">
        <v>12729.358222961426</v>
      </c>
      <c r="K29" s="14">
        <v>12954.900040004643</v>
      </c>
      <c r="L29" s="14">
        <v>27845.48480605943</v>
      </c>
      <c r="M29" s="14">
        <v>5918.3204887981155</v>
      </c>
      <c r="N29" s="14">
        <v>0</v>
      </c>
      <c r="O29" s="14">
        <v>33751.877500000002</v>
      </c>
      <c r="P29" s="14">
        <f t="shared" si="0"/>
        <v>173427.55788338353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f t="shared" si="0"/>
        <v>0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0</v>
      </c>
    </row>
    <row r="33" spans="2:16" x14ac:dyDescent="0.2">
      <c r="B33" s="15"/>
      <c r="C33" s="16" t="s">
        <v>33</v>
      </c>
      <c r="D33" s="17">
        <v>0</v>
      </c>
      <c r="E33" s="17">
        <v>1917.0344848632813</v>
      </c>
      <c r="F33" s="17">
        <v>25870.2958984375</v>
      </c>
      <c r="G33" s="17">
        <v>1653.4859466552734</v>
      </c>
      <c r="H33" s="17">
        <v>26078.884826660156</v>
      </c>
      <c r="I33" s="17">
        <v>1588.5762634277344</v>
      </c>
      <c r="J33" s="17">
        <v>0</v>
      </c>
      <c r="K33" s="17">
        <v>2668.1024169921875</v>
      </c>
      <c r="L33" s="17">
        <v>16684.983978271484</v>
      </c>
      <c r="M33" s="17">
        <v>4266.85986328125</v>
      </c>
      <c r="N33" s="17">
        <v>0</v>
      </c>
      <c r="O33" s="17">
        <v>31281.687500000004</v>
      </c>
      <c r="P33" s="17">
        <f t="shared" si="0"/>
        <v>112009.91117858887</v>
      </c>
    </row>
    <row r="34" spans="2:16" x14ac:dyDescent="0.2">
      <c r="B34" s="15"/>
      <c r="C34" s="16" t="s">
        <v>34</v>
      </c>
      <c r="D34" s="17">
        <v>0</v>
      </c>
      <c r="E34" s="17">
        <v>1799.7932252630708</v>
      </c>
      <c r="F34" s="17">
        <v>0</v>
      </c>
      <c r="G34" s="17">
        <v>2067.0217462382279</v>
      </c>
      <c r="H34" s="17">
        <v>0</v>
      </c>
      <c r="I34" s="17">
        <v>1069.06653062033</v>
      </c>
      <c r="J34" s="17">
        <v>0</v>
      </c>
      <c r="K34" s="17">
        <v>10046.478676174076</v>
      </c>
      <c r="L34" s="17">
        <v>11160.500827787946</v>
      </c>
      <c r="M34" s="17">
        <v>690.05738219261184</v>
      </c>
      <c r="N34" s="17">
        <v>0</v>
      </c>
      <c r="O34" s="17">
        <v>284.01750000000004</v>
      </c>
      <c r="P34" s="17">
        <f t="shared" si="0"/>
        <v>27116.935888276264</v>
      </c>
    </row>
    <row r="35" spans="2:16" x14ac:dyDescent="0.2">
      <c r="B35" s="15"/>
      <c r="C35" s="16" t="s">
        <v>35</v>
      </c>
      <c r="D35" s="17">
        <v>0</v>
      </c>
      <c r="E35" s="17">
        <v>2376.0914617031813</v>
      </c>
      <c r="F35" s="17">
        <v>0</v>
      </c>
      <c r="G35" s="17">
        <v>14592.692409003044</v>
      </c>
      <c r="H35" s="17">
        <v>0</v>
      </c>
      <c r="I35" s="17">
        <v>1214.6740326881409</v>
      </c>
      <c r="J35" s="17">
        <v>12729.358222961426</v>
      </c>
      <c r="K35" s="17">
        <v>240.31894683837891</v>
      </c>
      <c r="L35" s="17">
        <v>0</v>
      </c>
      <c r="M35" s="17">
        <v>961.40324332425371</v>
      </c>
      <c r="N35" s="17">
        <v>0</v>
      </c>
      <c r="O35" s="17">
        <v>2186.1724999999997</v>
      </c>
      <c r="P35" s="17">
        <f t="shared" si="0"/>
        <v>34300.710816518425</v>
      </c>
    </row>
    <row r="36" spans="2:16" ht="15" x14ac:dyDescent="0.25">
      <c r="B36" s="12" t="s">
        <v>36</v>
      </c>
      <c r="C36" s="13"/>
      <c r="D36" s="14">
        <v>2975.8904418945313</v>
      </c>
      <c r="E36" s="14">
        <v>0</v>
      </c>
      <c r="F36" s="14">
        <v>3660.1343352799595</v>
      </c>
      <c r="G36" s="14">
        <v>0</v>
      </c>
      <c r="H36" s="14">
        <v>25838.618032796046</v>
      </c>
      <c r="I36" s="14">
        <v>0</v>
      </c>
      <c r="J36" s="14">
        <v>56883.053890809613</v>
      </c>
      <c r="K36" s="14">
        <v>0</v>
      </c>
      <c r="L36" s="14">
        <v>49621.064443727926</v>
      </c>
      <c r="M36" s="14">
        <v>19142.644165039063</v>
      </c>
      <c r="N36" s="14">
        <v>3730.5728566034427</v>
      </c>
      <c r="O36" s="14">
        <v>20000.377499999999</v>
      </c>
      <c r="P36" s="14">
        <f t="shared" si="0"/>
        <v>181852.3556661506</v>
      </c>
    </row>
    <row r="37" spans="2:16" x14ac:dyDescent="0.2">
      <c r="B37" s="15"/>
      <c r="C37" s="16" t="s">
        <v>37</v>
      </c>
      <c r="D37" s="17">
        <v>1420.2573852539063</v>
      </c>
      <c r="E37" s="17">
        <v>0</v>
      </c>
      <c r="F37" s="17">
        <v>1269.2744258074381</v>
      </c>
      <c r="G37" s="17">
        <v>0</v>
      </c>
      <c r="H37" s="17">
        <v>2472.1397765704605</v>
      </c>
      <c r="I37" s="17">
        <v>0</v>
      </c>
      <c r="J37" s="17">
        <v>22236.741238977294</v>
      </c>
      <c r="K37" s="17">
        <v>0</v>
      </c>
      <c r="L37" s="17">
        <v>3396.9246586165536</v>
      </c>
      <c r="M37" s="17">
        <v>0</v>
      </c>
      <c r="N37" s="17">
        <v>1867.3367658298721</v>
      </c>
      <c r="O37" s="17">
        <v>20000.377499999999</v>
      </c>
      <c r="P37" s="17">
        <f t="shared" si="0"/>
        <v>52663.051751055522</v>
      </c>
    </row>
    <row r="38" spans="2:16" x14ac:dyDescent="0.2">
      <c r="B38" s="15"/>
      <c r="C38" s="16" t="s">
        <v>38</v>
      </c>
      <c r="D38" s="17">
        <v>0</v>
      </c>
      <c r="E38" s="17">
        <v>0</v>
      </c>
      <c r="F38" s="17">
        <v>1155.292209148407</v>
      </c>
      <c r="G38" s="17">
        <v>0</v>
      </c>
      <c r="H38" s="17">
        <v>274.98933410644531</v>
      </c>
      <c r="I38" s="17">
        <v>0</v>
      </c>
      <c r="J38" s="17">
        <v>30133.870886684861</v>
      </c>
      <c r="K38" s="17">
        <v>0</v>
      </c>
      <c r="L38" s="17">
        <v>43180.869520187378</v>
      </c>
      <c r="M38" s="17">
        <v>0</v>
      </c>
      <c r="N38" s="17">
        <v>0</v>
      </c>
      <c r="O38" s="17">
        <v>0</v>
      </c>
      <c r="P38" s="17">
        <f t="shared" si="0"/>
        <v>74745.021950127091</v>
      </c>
    </row>
    <row r="39" spans="2:16" x14ac:dyDescent="0.2">
      <c r="B39" s="15"/>
      <c r="C39" s="16" t="s">
        <v>39</v>
      </c>
      <c r="D39" s="17">
        <v>1555.633056640625</v>
      </c>
      <c r="E39" s="17">
        <v>0</v>
      </c>
      <c r="F39" s="17">
        <v>1235.5677003241144</v>
      </c>
      <c r="G39" s="17">
        <v>0</v>
      </c>
      <c r="H39" s="17">
        <v>23091.488922119141</v>
      </c>
      <c r="I39" s="17">
        <v>0</v>
      </c>
      <c r="J39" s="17">
        <v>4512.4417651474578</v>
      </c>
      <c r="K39" s="17">
        <v>0</v>
      </c>
      <c r="L39" s="17">
        <v>3043.2702649239945</v>
      </c>
      <c r="M39" s="17">
        <v>19142.644165039063</v>
      </c>
      <c r="N39" s="17">
        <v>1863.2360907735706</v>
      </c>
      <c r="O39" s="17">
        <v>0</v>
      </c>
      <c r="P39" s="17">
        <f t="shared" si="0"/>
        <v>54444.281964967966</v>
      </c>
    </row>
    <row r="40" spans="2:16" ht="15" x14ac:dyDescent="0.25">
      <c r="B40" s="12" t="s">
        <v>40</v>
      </c>
      <c r="C40" s="13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f t="shared" si="0"/>
        <v>0</v>
      </c>
    </row>
    <row r="41" spans="2:16" x14ac:dyDescent="0.2">
      <c r="B41" s="15"/>
      <c r="C41" s="16" t="s">
        <v>41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f t="shared" ref="P41:P43" si="1">SUM(D41:O41)</f>
        <v>0</v>
      </c>
    </row>
    <row r="42" spans="2:16" x14ac:dyDescent="0.2">
      <c r="B42" s="15"/>
      <c r="C42" s="16" t="s">
        <v>42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f t="shared" si="1"/>
        <v>0</v>
      </c>
    </row>
    <row r="43" spans="2:16" ht="15" x14ac:dyDescent="0.25">
      <c r="B43" s="19" t="s">
        <v>43</v>
      </c>
      <c r="C43" s="20"/>
      <c r="D43" s="11">
        <v>103734425.15585491</v>
      </c>
      <c r="E43" s="11">
        <v>77574024.654178828</v>
      </c>
      <c r="F43" s="11">
        <v>77474069.998419911</v>
      </c>
      <c r="G43" s="11">
        <v>107817672.61118686</v>
      </c>
      <c r="H43" s="11">
        <v>71857315.318125963</v>
      </c>
      <c r="I43" s="11">
        <v>70039125.799729675</v>
      </c>
      <c r="J43" s="11">
        <v>72370669.639911175</v>
      </c>
      <c r="K43" s="11">
        <v>82690946.305205375</v>
      </c>
      <c r="L43" s="11">
        <v>79818796.45881258</v>
      </c>
      <c r="M43" s="11">
        <v>81874925.285498232</v>
      </c>
      <c r="N43" s="11">
        <v>80584801.339209527</v>
      </c>
      <c r="O43" s="11">
        <v>82240458.063062727</v>
      </c>
      <c r="P43" s="11">
        <f t="shared" si="1"/>
        <v>988077230.62919593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A75A-8267-4ED4-A122-B74614F1816D}">
  <sheetPr>
    <pageSetUpPr fitToPage="1"/>
  </sheetPr>
  <dimension ref="A1:R43"/>
  <sheetViews>
    <sheetView zoomScale="70" zoomScaleNormal="7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6" width="20.710937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55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78569956.727541149</v>
      </c>
      <c r="E7" s="11">
        <v>65749951.548437215</v>
      </c>
      <c r="F7" s="11">
        <v>91220513.90286313</v>
      </c>
      <c r="G7" s="11">
        <v>73646073.255770594</v>
      </c>
      <c r="H7" s="11">
        <v>72309841.697523355</v>
      </c>
      <c r="I7" s="11">
        <v>69925240.40649429</v>
      </c>
      <c r="J7" s="11">
        <v>72263825.307725221</v>
      </c>
      <c r="K7" s="11">
        <v>83404846.011335135</v>
      </c>
      <c r="L7" s="11">
        <v>79533201.114287615</v>
      </c>
      <c r="M7" s="11">
        <v>83439235.704488263</v>
      </c>
      <c r="N7" s="11">
        <v>77073583.746642649</v>
      </c>
      <c r="O7" s="11">
        <v>77151844.560392052</v>
      </c>
      <c r="P7" s="11">
        <f t="shared" ref="P7:P43" si="0">SUM(D7:O7)</f>
        <v>924288113.9835006</v>
      </c>
    </row>
    <row r="8" spans="1:16" ht="15" x14ac:dyDescent="0.25">
      <c r="B8" s="12" t="s">
        <v>19</v>
      </c>
      <c r="C8" s="13"/>
      <c r="D8" s="14">
        <v>1219847.1556892395</v>
      </c>
      <c r="E8" s="14">
        <v>1089871.9156877995</v>
      </c>
      <c r="F8" s="14">
        <v>1242928.7898085713</v>
      </c>
      <c r="G8" s="14">
        <v>1186150.6827487946</v>
      </c>
      <c r="H8" s="14">
        <v>1229571.4850177765</v>
      </c>
      <c r="I8" s="14">
        <v>1183478.4699847698</v>
      </c>
      <c r="J8" s="14">
        <v>1226268.5354881287</v>
      </c>
      <c r="K8" s="14">
        <v>1232105.538105011</v>
      </c>
      <c r="L8" s="14">
        <v>1181603.521669111</v>
      </c>
      <c r="M8" s="14">
        <v>1186179.3702008724</v>
      </c>
      <c r="N8" s="14">
        <v>1159488.6349411011</v>
      </c>
      <c r="O8" s="14">
        <v>1236535.5965881348</v>
      </c>
      <c r="P8" s="14">
        <f t="shared" si="0"/>
        <v>14374029.695929309</v>
      </c>
    </row>
    <row r="9" spans="1:16" x14ac:dyDescent="0.2">
      <c r="B9" s="15"/>
      <c r="C9" s="16" t="s">
        <v>20</v>
      </c>
      <c r="D9" s="17">
        <v>609509.34296417236</v>
      </c>
      <c r="E9" s="17">
        <v>544202.60412597656</v>
      </c>
      <c r="F9" s="17">
        <v>620572.0883718729</v>
      </c>
      <c r="G9" s="17">
        <v>593523.57741165161</v>
      </c>
      <c r="H9" s="17">
        <v>616841.50595855713</v>
      </c>
      <c r="I9" s="17">
        <v>591973.37686610222</v>
      </c>
      <c r="J9" s="17">
        <v>614392.23501586914</v>
      </c>
      <c r="K9" s="17">
        <v>620229.23763275146</v>
      </c>
      <c r="L9" s="17">
        <v>592418.8468323648</v>
      </c>
      <c r="M9" s="17">
        <v>598549.2256731987</v>
      </c>
      <c r="N9" s="17">
        <v>580485.16944885254</v>
      </c>
      <c r="O9" s="17">
        <v>621036.98286437988</v>
      </c>
      <c r="P9" s="17">
        <f t="shared" si="0"/>
        <v>7203734.1931657493</v>
      </c>
    </row>
    <row r="10" spans="1:16" x14ac:dyDescent="0.2">
      <c r="B10" s="15"/>
      <c r="C10" s="16" t="s">
        <v>21</v>
      </c>
      <c r="D10" s="17">
        <v>610337.81272506714</v>
      </c>
      <c r="E10" s="17">
        <v>545669.31156182289</v>
      </c>
      <c r="F10" s="17">
        <v>622356.70143669844</v>
      </c>
      <c r="G10" s="17">
        <v>592627.10533714294</v>
      </c>
      <c r="H10" s="17">
        <v>612729.97905921936</v>
      </c>
      <c r="I10" s="17">
        <v>591505.0931186676</v>
      </c>
      <c r="J10" s="17">
        <v>611876.30047225952</v>
      </c>
      <c r="K10" s="17">
        <v>611876.30047225952</v>
      </c>
      <c r="L10" s="17">
        <v>589184.67483674618</v>
      </c>
      <c r="M10" s="17">
        <v>587630.14452767372</v>
      </c>
      <c r="N10" s="17">
        <v>579003.46549224854</v>
      </c>
      <c r="O10" s="17">
        <v>615498.61372375488</v>
      </c>
      <c r="P10" s="17">
        <f t="shared" si="0"/>
        <v>7170295.502763561</v>
      </c>
    </row>
    <row r="11" spans="1:16" ht="15" x14ac:dyDescent="0.25">
      <c r="B11" s="12" t="s">
        <v>22</v>
      </c>
      <c r="C11" s="13"/>
      <c r="D11" s="14">
        <v>422621.67955338629</v>
      </c>
      <c r="E11" s="14">
        <v>382586.93986192101</v>
      </c>
      <c r="F11" s="14">
        <v>420475.82622805558</v>
      </c>
      <c r="G11" s="14">
        <v>401039.00969815254</v>
      </c>
      <c r="H11" s="14">
        <v>418798.64213514328</v>
      </c>
      <c r="I11" s="14">
        <v>400795.02671062946</v>
      </c>
      <c r="J11" s="14">
        <v>418338.85250842036</v>
      </c>
      <c r="K11" s="14">
        <v>419978.99513816601</v>
      </c>
      <c r="L11" s="14">
        <v>291794.09789979085</v>
      </c>
      <c r="M11" s="14">
        <v>404457.72123910964</v>
      </c>
      <c r="N11" s="14">
        <v>387176.8539070707</v>
      </c>
      <c r="O11" s="14">
        <v>417162.1555557251</v>
      </c>
      <c r="P11" s="14">
        <f t="shared" si="0"/>
        <v>4785225.8004355701</v>
      </c>
    </row>
    <row r="12" spans="1:16" x14ac:dyDescent="0.2">
      <c r="B12" s="15"/>
      <c r="C12" s="16" t="s">
        <v>20</v>
      </c>
      <c r="D12" s="17">
        <v>139843.16356039047</v>
      </c>
      <c r="E12" s="17">
        <v>128363.64448356628</v>
      </c>
      <c r="F12" s="17">
        <v>141700.52960586548</v>
      </c>
      <c r="G12" s="17">
        <v>134233.29049682617</v>
      </c>
      <c r="H12" s="17">
        <v>139726.60463190079</v>
      </c>
      <c r="I12" s="17">
        <v>134305.70521998405</v>
      </c>
      <c r="J12" s="17">
        <v>140780.67883741856</v>
      </c>
      <c r="K12" s="17">
        <v>140780.67883741856</v>
      </c>
      <c r="L12" s="17">
        <v>23073.920213636011</v>
      </c>
      <c r="M12" s="17">
        <v>132878.63380228856</v>
      </c>
      <c r="N12" s="17">
        <v>127633.93503770791</v>
      </c>
      <c r="O12" s="17">
        <v>138918.82214355469</v>
      </c>
      <c r="P12" s="17">
        <f t="shared" si="0"/>
        <v>1522239.6068705576</v>
      </c>
    </row>
    <row r="13" spans="1:16" x14ac:dyDescent="0.2">
      <c r="B13" s="15"/>
      <c r="C13" s="16" t="s">
        <v>21</v>
      </c>
      <c r="D13" s="17">
        <v>133001.58410143529</v>
      </c>
      <c r="E13" s="17">
        <v>119093.84780502319</v>
      </c>
      <c r="F13" s="17">
        <v>129130.27296343766</v>
      </c>
      <c r="G13" s="17">
        <v>122962.22187542915</v>
      </c>
      <c r="H13" s="17">
        <v>128511.65334033966</v>
      </c>
      <c r="I13" s="17">
        <v>123033.25615441799</v>
      </c>
      <c r="J13" s="17">
        <v>128559.10787510338</v>
      </c>
      <c r="K13" s="17">
        <v>130199.25050484901</v>
      </c>
      <c r="L13" s="17">
        <v>125383.70125389099</v>
      </c>
      <c r="M13" s="17">
        <v>125959.22886874875</v>
      </c>
      <c r="N13" s="17">
        <v>120148.91758441925</v>
      </c>
      <c r="O13" s="17">
        <v>128547.83210754395</v>
      </c>
      <c r="P13" s="17">
        <f t="shared" si="0"/>
        <v>1514530.8744346383</v>
      </c>
    </row>
    <row r="14" spans="1:16" x14ac:dyDescent="0.2">
      <c r="B14" s="15"/>
      <c r="C14" s="16" t="s">
        <v>23</v>
      </c>
      <c r="D14" s="17">
        <v>149776.93189156055</v>
      </c>
      <c r="E14" s="17">
        <v>135129.44757333153</v>
      </c>
      <c r="F14" s="17">
        <v>149645.02365875244</v>
      </c>
      <c r="G14" s="17">
        <v>143843.49732589722</v>
      </c>
      <c r="H14" s="17">
        <v>150560.38416290283</v>
      </c>
      <c r="I14" s="17">
        <v>143456.06533622742</v>
      </c>
      <c r="J14" s="17">
        <v>148999.06579589844</v>
      </c>
      <c r="K14" s="17">
        <v>148999.06579589844</v>
      </c>
      <c r="L14" s="17">
        <v>143336.47643226385</v>
      </c>
      <c r="M14" s="17">
        <v>145619.85856807232</v>
      </c>
      <c r="N14" s="17">
        <v>139394.00128494354</v>
      </c>
      <c r="O14" s="17">
        <v>149695.50130462646</v>
      </c>
      <c r="P14" s="17">
        <f t="shared" si="0"/>
        <v>1748455.3191303751</v>
      </c>
    </row>
    <row r="15" spans="1:16" ht="15" x14ac:dyDescent="0.25">
      <c r="B15" s="12" t="s">
        <v>24</v>
      </c>
      <c r="C15" s="13"/>
      <c r="D15" s="14">
        <v>3431738.3574447632</v>
      </c>
      <c r="E15" s="14">
        <v>2768895.9550542831</v>
      </c>
      <c r="F15" s="14">
        <v>3462142.5503711104</v>
      </c>
      <c r="G15" s="14">
        <v>3363072.7563171387</v>
      </c>
      <c r="H15" s="14">
        <v>3444180.0070142746</v>
      </c>
      <c r="I15" s="14">
        <v>3302579.2356204987</v>
      </c>
      <c r="J15" s="14">
        <v>3441563.8792190552</v>
      </c>
      <c r="K15" s="14">
        <v>3474151.66715312</v>
      </c>
      <c r="L15" s="14">
        <v>3323066.8367576599</v>
      </c>
      <c r="M15" s="14">
        <v>3444658.804145813</v>
      </c>
      <c r="N15" s="14">
        <v>3257112.8826279938</v>
      </c>
      <c r="O15" s="14">
        <v>3475523.7980957031</v>
      </c>
      <c r="P15" s="14">
        <f t="shared" si="0"/>
        <v>40188686.729821414</v>
      </c>
    </row>
    <row r="16" spans="1:16" x14ac:dyDescent="0.2">
      <c r="B16" s="15"/>
      <c r="C16" s="16" t="s">
        <v>20</v>
      </c>
      <c r="D16" s="17">
        <v>1710631.2951049805</v>
      </c>
      <c r="E16" s="17">
        <v>1378034.6736526489</v>
      </c>
      <c r="F16" s="17">
        <v>1721027.4579829574</v>
      </c>
      <c r="G16" s="17">
        <v>1672927.1223449707</v>
      </c>
      <c r="H16" s="17">
        <v>1715353.1405153275</v>
      </c>
      <c r="I16" s="17">
        <v>1643303.2042160034</v>
      </c>
      <c r="J16" s="17">
        <v>1714564.6832962036</v>
      </c>
      <c r="K16" s="17">
        <v>1728130.1572654247</v>
      </c>
      <c r="L16" s="17">
        <v>1660230.4911613464</v>
      </c>
      <c r="M16" s="17">
        <v>1719574.6530914307</v>
      </c>
      <c r="N16" s="17">
        <v>1627663.0176034272</v>
      </c>
      <c r="O16" s="17">
        <v>1735940.7652587891</v>
      </c>
      <c r="P16" s="17">
        <f t="shared" si="0"/>
        <v>20027380.66149351</v>
      </c>
    </row>
    <row r="17" spans="2:18" x14ac:dyDescent="0.2">
      <c r="B17" s="15"/>
      <c r="C17" s="16" t="s">
        <v>21</v>
      </c>
      <c r="D17" s="17">
        <v>1721107.0623397827</v>
      </c>
      <c r="E17" s="17">
        <v>1390861.2814016342</v>
      </c>
      <c r="F17" s="17">
        <v>1741115.0923881531</v>
      </c>
      <c r="G17" s="17">
        <v>1690145.633972168</v>
      </c>
      <c r="H17" s="17">
        <v>1728826.8664989471</v>
      </c>
      <c r="I17" s="17">
        <v>1659276.0314044952</v>
      </c>
      <c r="J17" s="17">
        <v>1726999.1959228516</v>
      </c>
      <c r="K17" s="17">
        <v>1746021.5098876953</v>
      </c>
      <c r="L17" s="17">
        <v>1662836.3455963135</v>
      </c>
      <c r="M17" s="17">
        <v>1725084.1510543823</v>
      </c>
      <c r="N17" s="17">
        <v>1629449.8650245667</v>
      </c>
      <c r="O17" s="17">
        <v>1739583.0328369141</v>
      </c>
      <c r="P17" s="17">
        <f t="shared" si="0"/>
        <v>20161306.068327904</v>
      </c>
    </row>
    <row r="18" spans="2:18" ht="15" x14ac:dyDescent="0.25">
      <c r="B18" s="12" t="s">
        <v>25</v>
      </c>
      <c r="C18" s="13"/>
      <c r="D18" s="14">
        <v>9093871.8812590986</v>
      </c>
      <c r="E18" s="14">
        <v>7929593.5192601364</v>
      </c>
      <c r="F18" s="14">
        <v>10856677.650158415</v>
      </c>
      <c r="G18" s="14">
        <v>8886164.6169535816</v>
      </c>
      <c r="H18" s="14">
        <v>8722850.0369883701</v>
      </c>
      <c r="I18" s="14">
        <v>8412896.4147864878</v>
      </c>
      <c r="J18" s="14">
        <v>8695631.8722754531</v>
      </c>
      <c r="K18" s="14">
        <v>9993215.3514222018</v>
      </c>
      <c r="L18" s="14">
        <v>9705657.3542480469</v>
      </c>
      <c r="M18" s="14">
        <v>10025184.908800356</v>
      </c>
      <c r="N18" s="14">
        <v>8028281.0720427781</v>
      </c>
      <c r="O18" s="14">
        <v>8284203.4955362389</v>
      </c>
      <c r="P18" s="14">
        <f t="shared" si="0"/>
        <v>108634228.17373116</v>
      </c>
    </row>
    <row r="19" spans="2:18" x14ac:dyDescent="0.2">
      <c r="B19" s="15"/>
      <c r="C19" s="16" t="s">
        <v>20</v>
      </c>
      <c r="D19" s="17">
        <v>3072260.462350633</v>
      </c>
      <c r="E19" s="17">
        <v>2634580.7666015625</v>
      </c>
      <c r="F19" s="17">
        <v>3587653.3865735009</v>
      </c>
      <c r="G19" s="17">
        <v>2934125.3552001296</v>
      </c>
      <c r="H19" s="17">
        <v>2864211.9872916276</v>
      </c>
      <c r="I19" s="17">
        <v>2787989.6281512086</v>
      </c>
      <c r="J19" s="17">
        <v>2914186.2736462122</v>
      </c>
      <c r="K19" s="17">
        <v>3230885.1933666794</v>
      </c>
      <c r="L19" s="17">
        <v>3206804.1944580078</v>
      </c>
      <c r="M19" s="17">
        <v>3325660.2605682616</v>
      </c>
      <c r="N19" s="17">
        <v>1122219.111076355</v>
      </c>
      <c r="O19" s="17">
        <v>1187923.5290366942</v>
      </c>
      <c r="P19" s="17">
        <f t="shared" si="0"/>
        <v>32868500.148320872</v>
      </c>
    </row>
    <row r="20" spans="2:18" x14ac:dyDescent="0.2">
      <c r="B20" s="15"/>
      <c r="C20" s="16" t="s">
        <v>21</v>
      </c>
      <c r="D20" s="17">
        <v>3078701.9681406128</v>
      </c>
      <c r="E20" s="17">
        <v>2671027.8905029297</v>
      </c>
      <c r="F20" s="17">
        <v>3641254.3707264857</v>
      </c>
      <c r="G20" s="17">
        <v>2979826.3728683442</v>
      </c>
      <c r="H20" s="17">
        <v>2931508.8969802856</v>
      </c>
      <c r="I20" s="17">
        <v>2812833.4752042443</v>
      </c>
      <c r="J20" s="17">
        <v>2881148.0257864646</v>
      </c>
      <c r="K20" s="17">
        <v>3401365.4550363622</v>
      </c>
      <c r="L20" s="17">
        <v>3246612.9764099121</v>
      </c>
      <c r="M20" s="17">
        <v>3375011.3937022388</v>
      </c>
      <c r="N20" s="17">
        <v>3450444.0793988658</v>
      </c>
      <c r="O20" s="17">
        <v>3550635.0567590976</v>
      </c>
      <c r="P20" s="17">
        <f t="shared" si="0"/>
        <v>38020369.961515836</v>
      </c>
    </row>
    <row r="21" spans="2:18" x14ac:dyDescent="0.2">
      <c r="B21" s="15"/>
      <c r="C21" s="16" t="s">
        <v>23</v>
      </c>
      <c r="D21" s="17">
        <v>2942909.4507678524</v>
      </c>
      <c r="E21" s="17">
        <v>2623984.8621556447</v>
      </c>
      <c r="F21" s="17">
        <v>3627769.8928584279</v>
      </c>
      <c r="G21" s="17">
        <v>2972212.8888851078</v>
      </c>
      <c r="H21" s="17">
        <v>2927129.1527164578</v>
      </c>
      <c r="I21" s="17">
        <v>2812073.3114310354</v>
      </c>
      <c r="J21" s="17">
        <v>2900297.5728427754</v>
      </c>
      <c r="K21" s="17">
        <v>3360964.7030191608</v>
      </c>
      <c r="L21" s="17">
        <v>3252240.183380127</v>
      </c>
      <c r="M21" s="17">
        <v>3324513.2545298557</v>
      </c>
      <c r="N21" s="17">
        <v>3455617.8815675573</v>
      </c>
      <c r="O21" s="17">
        <v>3545644.909740448</v>
      </c>
      <c r="P21" s="17">
        <f t="shared" si="0"/>
        <v>37745358.063894451</v>
      </c>
    </row>
    <row r="22" spans="2:18" ht="15" x14ac:dyDescent="0.25">
      <c r="B22" s="12" t="s">
        <v>26</v>
      </c>
      <c r="C22" s="13"/>
      <c r="D22" s="14">
        <v>58946728.492378235</v>
      </c>
      <c r="E22" s="14">
        <v>48966007.065432549</v>
      </c>
      <c r="F22" s="14">
        <v>68879682.495632455</v>
      </c>
      <c r="G22" s="14">
        <v>55060960.240503788</v>
      </c>
      <c r="H22" s="14">
        <v>53417425.94802916</v>
      </c>
      <c r="I22" s="14">
        <v>51694265.634819143</v>
      </c>
      <c r="J22" s="14">
        <v>53423634.291647263</v>
      </c>
      <c r="K22" s="14">
        <v>62315440.097447298</v>
      </c>
      <c r="L22" s="14">
        <v>60310263.266008824</v>
      </c>
      <c r="M22" s="14">
        <v>62320714.779315516</v>
      </c>
      <c r="N22" s="14">
        <v>58454157.824913263</v>
      </c>
      <c r="O22" s="14">
        <v>57929587.627500765</v>
      </c>
      <c r="P22" s="14">
        <f t="shared" si="0"/>
        <v>691718867.76362824</v>
      </c>
    </row>
    <row r="23" spans="2:18" x14ac:dyDescent="0.2">
      <c r="B23" s="15"/>
      <c r="C23" s="16" t="s">
        <v>20</v>
      </c>
      <c r="D23" s="17">
        <v>29103543.115478516</v>
      </c>
      <c r="E23" s="17">
        <v>24196126.872317314</v>
      </c>
      <c r="F23" s="17">
        <v>34320078.389160156</v>
      </c>
      <c r="G23" s="17">
        <v>27451496.634765625</v>
      </c>
      <c r="H23" s="17">
        <v>26570091.256134629</v>
      </c>
      <c r="I23" s="17">
        <v>12461639.190685246</v>
      </c>
      <c r="J23" s="17">
        <v>16237805.370030232</v>
      </c>
      <c r="K23" s="17">
        <v>18961778.40197444</v>
      </c>
      <c r="L23" s="17">
        <v>20018473.372332275</v>
      </c>
      <c r="M23" s="17">
        <v>17715465.596359849</v>
      </c>
      <c r="N23" s="17">
        <v>20969447.215577126</v>
      </c>
      <c r="O23" s="17">
        <v>23005272.388346195</v>
      </c>
      <c r="P23" s="17">
        <f t="shared" si="0"/>
        <v>271011217.80316162</v>
      </c>
    </row>
    <row r="24" spans="2:18" x14ac:dyDescent="0.2">
      <c r="B24" s="15"/>
      <c r="C24" s="16" t="s">
        <v>21</v>
      </c>
      <c r="D24" s="17">
        <v>1178005.2702598572</v>
      </c>
      <c r="E24" s="17">
        <v>0</v>
      </c>
      <c r="F24" s="17">
        <v>1422047.7666895881</v>
      </c>
      <c r="G24" s="17">
        <v>27264888.105712891</v>
      </c>
      <c r="H24" s="17">
        <v>26847334.691894531</v>
      </c>
      <c r="I24" s="17">
        <v>23274733.15060975</v>
      </c>
      <c r="J24" s="17">
        <v>21557685.395498037</v>
      </c>
      <c r="K24" s="17">
        <v>24849807.723035812</v>
      </c>
      <c r="L24" s="17">
        <v>24046357.096136183</v>
      </c>
      <c r="M24" s="17">
        <v>26267932.044036865</v>
      </c>
      <c r="N24" s="17">
        <v>12124545.732268512</v>
      </c>
      <c r="O24" s="17">
        <v>11254911.890399689</v>
      </c>
      <c r="P24" s="17">
        <f t="shared" si="0"/>
        <v>200088248.86654171</v>
      </c>
    </row>
    <row r="25" spans="2:18" x14ac:dyDescent="0.2">
      <c r="B25" s="15"/>
      <c r="C25" s="16" t="s">
        <v>23</v>
      </c>
      <c r="D25" s="17">
        <v>28665180.106639862</v>
      </c>
      <c r="E25" s="17">
        <v>24769880.193115234</v>
      </c>
      <c r="F25" s="17">
        <v>33137556.339782715</v>
      </c>
      <c r="G25" s="17">
        <v>344575.50002527237</v>
      </c>
      <c r="H25" s="17">
        <v>0</v>
      </c>
      <c r="I25" s="17">
        <v>15957893.293524146</v>
      </c>
      <c r="J25" s="17">
        <v>15628143.526118994</v>
      </c>
      <c r="K25" s="17">
        <v>18503853.972437046</v>
      </c>
      <c r="L25" s="17">
        <v>16245432.797540367</v>
      </c>
      <c r="M25" s="17">
        <v>18337317.138918802</v>
      </c>
      <c r="N25" s="17">
        <v>25360164.877067626</v>
      </c>
      <c r="O25" s="17">
        <v>23669403.348754883</v>
      </c>
      <c r="P25" s="17">
        <f t="shared" si="0"/>
        <v>220619401.09392494</v>
      </c>
    </row>
    <row r="26" spans="2:18" ht="15" x14ac:dyDescent="0.25">
      <c r="B26" s="12" t="s">
        <v>27</v>
      </c>
      <c r="C26" s="13"/>
      <c r="D26" s="14">
        <v>5455149.1612164285</v>
      </c>
      <c r="E26" s="14">
        <v>4612996.1531405225</v>
      </c>
      <c r="F26" s="14">
        <v>6358606.590664519</v>
      </c>
      <c r="G26" s="14">
        <v>4748685.9495491404</v>
      </c>
      <c r="H26" s="14">
        <v>5077015.578338623</v>
      </c>
      <c r="I26" s="14">
        <v>4931225.6245727539</v>
      </c>
      <c r="J26" s="14">
        <v>5058387.8765869141</v>
      </c>
      <c r="K26" s="14">
        <v>5969954.3620693386</v>
      </c>
      <c r="L26" s="14">
        <v>4720816.0377041679</v>
      </c>
      <c r="M26" s="14">
        <v>6058040.1207865905</v>
      </c>
      <c r="N26" s="14">
        <v>5787366.4782104492</v>
      </c>
      <c r="O26" s="14">
        <v>5808831.8871154785</v>
      </c>
      <c r="P26" s="14">
        <f t="shared" si="0"/>
        <v>64587075.819954932</v>
      </c>
    </row>
    <row r="27" spans="2:18" x14ac:dyDescent="0.2">
      <c r="B27" s="15"/>
      <c r="C27" s="16" t="s">
        <v>20</v>
      </c>
      <c r="D27" s="17">
        <v>5455149.1612164285</v>
      </c>
      <c r="E27" s="17">
        <v>4612996.1531405225</v>
      </c>
      <c r="F27" s="17">
        <v>6358606.590664519</v>
      </c>
      <c r="G27" s="17">
        <v>4748685.9495491404</v>
      </c>
      <c r="H27" s="17">
        <v>5077015.578338623</v>
      </c>
      <c r="I27" s="17">
        <v>4931225.6245727539</v>
      </c>
      <c r="J27" s="17">
        <v>5058387.8765869141</v>
      </c>
      <c r="K27" s="17">
        <v>5969954.3620693386</v>
      </c>
      <c r="L27" s="17">
        <v>4720816.0377041679</v>
      </c>
      <c r="M27" s="17">
        <v>6058040.1207865905</v>
      </c>
      <c r="N27" s="17">
        <v>5787366.4782104492</v>
      </c>
      <c r="O27" s="17">
        <v>5808831.8871154785</v>
      </c>
      <c r="P27" s="17">
        <f t="shared" si="0"/>
        <v>64587075.819954932</v>
      </c>
      <c r="R27" s="18"/>
    </row>
    <row r="28" spans="2:18" ht="15" x14ac:dyDescent="0.25">
      <c r="B28" s="19" t="s">
        <v>28</v>
      </c>
      <c r="C28" s="20"/>
      <c r="D28" s="11">
        <v>39121.236070961575</v>
      </c>
      <c r="E28" s="11">
        <v>26004.404616383974</v>
      </c>
      <c r="F28" s="11">
        <v>31040.768379717454</v>
      </c>
      <c r="G28" s="11">
        <v>23895.357324554818</v>
      </c>
      <c r="H28" s="11">
        <v>37619.538971058202</v>
      </c>
      <c r="I28" s="11">
        <v>43144.192668205556</v>
      </c>
      <c r="J28" s="11">
        <v>83692.802430869517</v>
      </c>
      <c r="K28" s="11">
        <v>40905.771156311035</v>
      </c>
      <c r="L28" s="11">
        <v>480679.68701503379</v>
      </c>
      <c r="M28" s="11">
        <v>144945.1955319175</v>
      </c>
      <c r="N28" s="11">
        <v>3044101.2557230629</v>
      </c>
      <c r="O28" s="11">
        <v>220663.59651184082</v>
      </c>
      <c r="P28" s="11">
        <f t="shared" si="0"/>
        <v>4215813.8063999172</v>
      </c>
    </row>
    <row r="29" spans="2:18" ht="15" x14ac:dyDescent="0.25">
      <c r="B29" s="12" t="s">
        <v>29</v>
      </c>
      <c r="C29" s="13"/>
      <c r="D29" s="14">
        <v>12681.230949401855</v>
      </c>
      <c r="E29" s="14">
        <v>5758.3446493429583</v>
      </c>
      <c r="F29" s="14">
        <v>0</v>
      </c>
      <c r="G29" s="14">
        <v>3752.9762515567709</v>
      </c>
      <c r="H29" s="14">
        <v>33498.478788065302</v>
      </c>
      <c r="I29" s="14">
        <v>25016.386744743642</v>
      </c>
      <c r="J29" s="14">
        <v>11820.160671753809</v>
      </c>
      <c r="K29" s="14">
        <v>13134.336791992188</v>
      </c>
      <c r="L29" s="14">
        <v>203073.00514521007</v>
      </c>
      <c r="M29" s="14">
        <v>111967.29423339455</v>
      </c>
      <c r="N29" s="14">
        <v>1048263.2499115753</v>
      </c>
      <c r="O29" s="14">
        <v>3474.4999542236328</v>
      </c>
      <c r="P29" s="14">
        <f t="shared" si="0"/>
        <v>1472439.96409126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f t="shared" si="0"/>
        <v>0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0</v>
      </c>
    </row>
    <row r="33" spans="2:16" x14ac:dyDescent="0.2">
      <c r="B33" s="15"/>
      <c r="C33" s="16" t="s">
        <v>33</v>
      </c>
      <c r="D33" s="17">
        <v>0</v>
      </c>
      <c r="E33" s="17">
        <v>2179.2190093994141</v>
      </c>
      <c r="F33" s="17">
        <v>0</v>
      </c>
      <c r="G33" s="17">
        <v>2123.5730934143066</v>
      </c>
      <c r="H33" s="17">
        <v>24728.917785644531</v>
      </c>
      <c r="I33" s="17">
        <v>4426.1790041923523</v>
      </c>
      <c r="J33" s="17">
        <v>3335.6796569824219</v>
      </c>
      <c r="K33" s="17">
        <v>0</v>
      </c>
      <c r="L33" s="17">
        <v>111644.05252075195</v>
      </c>
      <c r="M33" s="17">
        <v>0</v>
      </c>
      <c r="N33" s="17">
        <v>0</v>
      </c>
      <c r="O33" s="17">
        <v>1397.3649063110352</v>
      </c>
      <c r="P33" s="17">
        <f t="shared" si="0"/>
        <v>149834.98597669601</v>
      </c>
    </row>
    <row r="34" spans="2:16" x14ac:dyDescent="0.2">
      <c r="B34" s="15"/>
      <c r="C34" s="16" t="s">
        <v>34</v>
      </c>
      <c r="D34" s="17">
        <v>0</v>
      </c>
      <c r="E34" s="17">
        <v>1836.4870554775262</v>
      </c>
      <c r="F34" s="17">
        <v>0</v>
      </c>
      <c r="G34" s="17">
        <v>770.9012202762533</v>
      </c>
      <c r="H34" s="17">
        <v>8769.5610024207745</v>
      </c>
      <c r="I34" s="17">
        <v>16481.741166446162</v>
      </c>
      <c r="J34" s="17">
        <v>7579.9119916390628</v>
      </c>
      <c r="K34" s="17">
        <v>0</v>
      </c>
      <c r="L34" s="17">
        <v>46174.704544831999</v>
      </c>
      <c r="M34" s="17">
        <v>54949.050956456282</v>
      </c>
      <c r="N34" s="17">
        <v>403956.06321955204</v>
      </c>
      <c r="O34" s="17">
        <v>976.13300323486328</v>
      </c>
      <c r="P34" s="17">
        <f t="shared" si="0"/>
        <v>541494.55416033498</v>
      </c>
    </row>
    <row r="35" spans="2:16" x14ac:dyDescent="0.2">
      <c r="B35" s="15"/>
      <c r="C35" s="16" t="s">
        <v>35</v>
      </c>
      <c r="D35" s="17">
        <v>12681.230949401855</v>
      </c>
      <c r="E35" s="17">
        <v>1742.6385844660181</v>
      </c>
      <c r="F35" s="17">
        <v>0</v>
      </c>
      <c r="G35" s="17">
        <v>858.50193786621094</v>
      </c>
      <c r="H35" s="17">
        <v>0</v>
      </c>
      <c r="I35" s="17">
        <v>4108.4665741051285</v>
      </c>
      <c r="J35" s="17">
        <v>904.56902313232422</v>
      </c>
      <c r="K35" s="17">
        <v>13134.336791992188</v>
      </c>
      <c r="L35" s="17">
        <v>45254.248079626122</v>
      </c>
      <c r="M35" s="17">
        <v>57018.243276938279</v>
      </c>
      <c r="N35" s="17">
        <v>644307.1866920233</v>
      </c>
      <c r="O35" s="17">
        <v>1101.0020446777344</v>
      </c>
      <c r="P35" s="17">
        <f t="shared" si="0"/>
        <v>781110.4239542291</v>
      </c>
    </row>
    <row r="36" spans="2:16" ht="15" x14ac:dyDescent="0.25">
      <c r="B36" s="12" t="s">
        <v>36</v>
      </c>
      <c r="C36" s="13"/>
      <c r="D36" s="14">
        <v>26440.00512155972</v>
      </c>
      <c r="E36" s="14">
        <v>20246.059967041016</v>
      </c>
      <c r="F36" s="14">
        <v>31040.768379717454</v>
      </c>
      <c r="G36" s="14">
        <v>20142.381072998047</v>
      </c>
      <c r="H36" s="14">
        <v>4121.0601829928964</v>
      </c>
      <c r="I36" s="14">
        <v>18127.805923461914</v>
      </c>
      <c r="J36" s="14">
        <v>71872.641759115708</v>
      </c>
      <c r="K36" s="14">
        <v>27771.434364318848</v>
      </c>
      <c r="L36" s="14">
        <v>277606.68186982372</v>
      </c>
      <c r="M36" s="14">
        <v>32977.901298522949</v>
      </c>
      <c r="N36" s="14">
        <v>1995838.0058114876</v>
      </c>
      <c r="O36" s="14">
        <v>217189.09655761719</v>
      </c>
      <c r="P36" s="14">
        <f t="shared" si="0"/>
        <v>2743373.8423086572</v>
      </c>
    </row>
    <row r="37" spans="2:16" x14ac:dyDescent="0.2">
      <c r="B37" s="15"/>
      <c r="C37" s="16" t="s">
        <v>37</v>
      </c>
      <c r="D37" s="17">
        <v>3270.9780120849609</v>
      </c>
      <c r="E37" s="17">
        <v>0</v>
      </c>
      <c r="F37" s="17">
        <v>28528.440222889301</v>
      </c>
      <c r="G37" s="17">
        <v>0</v>
      </c>
      <c r="H37" s="17">
        <v>1994.3668379903102</v>
      </c>
      <c r="I37" s="17">
        <v>18127.805923461914</v>
      </c>
      <c r="J37" s="17">
        <v>50197.46943221704</v>
      </c>
      <c r="K37" s="17">
        <v>8133.6590194702148</v>
      </c>
      <c r="L37" s="17">
        <v>122779.93976111017</v>
      </c>
      <c r="M37" s="17">
        <v>16581.047981262207</v>
      </c>
      <c r="N37" s="17">
        <v>221689.81420672592</v>
      </c>
      <c r="O37" s="17">
        <v>19743.481887817383</v>
      </c>
      <c r="P37" s="17">
        <f t="shared" si="0"/>
        <v>491047.00328502944</v>
      </c>
    </row>
    <row r="38" spans="2:16" x14ac:dyDescent="0.2">
      <c r="B38" s="15"/>
      <c r="C38" s="16" t="s">
        <v>38</v>
      </c>
      <c r="D38" s="17">
        <v>0</v>
      </c>
      <c r="E38" s="17">
        <v>20246.059967041016</v>
      </c>
      <c r="F38" s="17">
        <v>0</v>
      </c>
      <c r="G38" s="17">
        <v>20142.381072998047</v>
      </c>
      <c r="H38" s="17">
        <v>0</v>
      </c>
      <c r="I38" s="17">
        <v>0</v>
      </c>
      <c r="J38" s="17">
        <v>18698.947326660156</v>
      </c>
      <c r="K38" s="17">
        <v>0</v>
      </c>
      <c r="L38" s="17">
        <v>85621.480229474168</v>
      </c>
      <c r="M38" s="17">
        <v>16396.853317260742</v>
      </c>
      <c r="N38" s="17">
        <v>1004975.1319586728</v>
      </c>
      <c r="O38" s="17">
        <v>148684.77565002441</v>
      </c>
      <c r="P38" s="17">
        <f t="shared" si="0"/>
        <v>1314765.6295221313</v>
      </c>
    </row>
    <row r="39" spans="2:16" x14ac:dyDescent="0.2">
      <c r="B39" s="15"/>
      <c r="C39" s="16" t="s">
        <v>39</v>
      </c>
      <c r="D39" s="17">
        <v>23169.027109474759</v>
      </c>
      <c r="E39" s="17">
        <v>0</v>
      </c>
      <c r="F39" s="17">
        <v>2512.3281568281527</v>
      </c>
      <c r="G39" s="17">
        <v>0</v>
      </c>
      <c r="H39" s="17">
        <v>2126.6933450025863</v>
      </c>
      <c r="I39" s="17">
        <v>0</v>
      </c>
      <c r="J39" s="17">
        <v>2976.2250002385063</v>
      </c>
      <c r="K39" s="17">
        <v>19637.775344848633</v>
      </c>
      <c r="L39" s="17">
        <v>69205.261879239377</v>
      </c>
      <c r="M39" s="17">
        <v>0</v>
      </c>
      <c r="N39" s="17">
        <v>769173.05964608886</v>
      </c>
      <c r="O39" s="17">
        <v>48760.839019775391</v>
      </c>
      <c r="P39" s="17">
        <f t="shared" si="0"/>
        <v>937561.20950149628</v>
      </c>
    </row>
    <row r="40" spans="2:16" ht="15" x14ac:dyDescent="0.25">
      <c r="B40" s="12" t="s">
        <v>40</v>
      </c>
      <c r="C40" s="13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f t="shared" si="0"/>
        <v>0</v>
      </c>
    </row>
    <row r="41" spans="2:16" x14ac:dyDescent="0.2">
      <c r="B41" s="15"/>
      <c r="C41" s="16" t="s">
        <v>41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f t="shared" si="0"/>
        <v>0</v>
      </c>
    </row>
    <row r="42" spans="2:16" x14ac:dyDescent="0.2">
      <c r="B42" s="15"/>
      <c r="C42" s="16" t="s">
        <v>42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f t="shared" si="0"/>
        <v>0</v>
      </c>
    </row>
    <row r="43" spans="2:16" ht="15" x14ac:dyDescent="0.25">
      <c r="B43" s="19" t="s">
        <v>43</v>
      </c>
      <c r="C43" s="20"/>
      <c r="D43" s="11">
        <v>78609077.963612109</v>
      </c>
      <c r="E43" s="11">
        <v>65775955.953053601</v>
      </c>
      <c r="F43" s="11">
        <v>91251554.671242848</v>
      </c>
      <c r="G43" s="11">
        <v>73669968.613095149</v>
      </c>
      <c r="H43" s="11">
        <v>72347461.236494407</v>
      </c>
      <c r="I43" s="11">
        <v>69968384.599162489</v>
      </c>
      <c r="J43" s="11">
        <v>72347518.110156089</v>
      </c>
      <c r="K43" s="11">
        <v>83445751.782491446</v>
      </c>
      <c r="L43" s="11">
        <v>80013880.801302642</v>
      </c>
      <c r="M43" s="11">
        <v>83584180.900020182</v>
      </c>
      <c r="N43" s="11">
        <v>80117685.002365723</v>
      </c>
      <c r="O43" s="11">
        <v>77372508.156903893</v>
      </c>
      <c r="P43" s="11">
        <f t="shared" si="0"/>
        <v>928503927.78990054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0515-70E2-4E06-B324-BB43FBEA198A}">
  <sheetPr>
    <pageSetUpPr fitToPage="1"/>
  </sheetPr>
  <dimension ref="A1:R43"/>
  <sheetViews>
    <sheetView zoomScale="70" zoomScaleNormal="70" workbookViewId="0">
      <pane xSplit="3" ySplit="9" topLeftCell="D10" activePane="bottomRight" state="frozen"/>
      <selection pane="topRight" activeCell="J45" sqref="J45"/>
      <selection pane="bottomLeft" activeCell="J45" sqref="J45"/>
      <selection pane="bottomRight" activeCell="D22" sqref="D22:O22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5" width="20.7109375" style="1" customWidth="1"/>
    <col min="16" max="16" width="25.14062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56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65120628.437266439</v>
      </c>
      <c r="E7" s="11">
        <v>90787952.041293368</v>
      </c>
      <c r="F7" s="11">
        <v>67385144.3859182</v>
      </c>
      <c r="G7" s="11">
        <v>56194410.192638122</v>
      </c>
      <c r="H7" s="11">
        <v>63322651.532068767</v>
      </c>
      <c r="I7" s="11">
        <v>61294405.175172277</v>
      </c>
      <c r="J7" s="11">
        <v>62588296.257276759</v>
      </c>
      <c r="K7" s="11">
        <v>64269151.910468496</v>
      </c>
      <c r="L7" s="11">
        <v>67380036.455969512</v>
      </c>
      <c r="M7" s="11">
        <v>67971098.798640385</v>
      </c>
      <c r="N7" s="11">
        <v>68618397.120368525</v>
      </c>
      <c r="O7" s="11">
        <v>65104281.888966024</v>
      </c>
      <c r="P7" s="11">
        <f t="shared" ref="P7:P43" si="0">SUM(D7:O7)</f>
        <v>800036454.19604683</v>
      </c>
    </row>
    <row r="8" spans="1:16" ht="15" x14ac:dyDescent="0.25">
      <c r="B8" s="12" t="s">
        <v>19</v>
      </c>
      <c r="C8" s="13"/>
      <c r="D8" s="14">
        <v>1194446.903396368</v>
      </c>
      <c r="E8" s="14">
        <v>1075656.9370117188</v>
      </c>
      <c r="F8" s="14">
        <v>1137133.4897511005</v>
      </c>
      <c r="G8" s="14">
        <v>1017489.2621564865</v>
      </c>
      <c r="H8" s="14">
        <v>1178162.8006150723</v>
      </c>
      <c r="I8" s="14">
        <v>1098184.0960661017</v>
      </c>
      <c r="J8" s="14">
        <v>1145834.3172607422</v>
      </c>
      <c r="K8" s="14">
        <v>1167117.6105632782</v>
      </c>
      <c r="L8" s="14">
        <v>1173254.8820304871</v>
      </c>
      <c r="M8" s="14">
        <v>1114965.6564164162</v>
      </c>
      <c r="N8" s="14">
        <v>1096327.0810318291</v>
      </c>
      <c r="O8" s="14">
        <v>1159850.8466930389</v>
      </c>
      <c r="P8" s="14">
        <f t="shared" si="0"/>
        <v>13558423.88299264</v>
      </c>
    </row>
    <row r="9" spans="1:16" x14ac:dyDescent="0.2">
      <c r="B9" s="15"/>
      <c r="C9" s="16" t="s">
        <v>20</v>
      </c>
      <c r="D9" s="17">
        <v>601726.1084895134</v>
      </c>
      <c r="E9" s="17">
        <v>538329.3052444458</v>
      </c>
      <c r="F9" s="17">
        <v>569352.91213560104</v>
      </c>
      <c r="G9" s="17">
        <v>509484.75995445251</v>
      </c>
      <c r="H9" s="17">
        <v>594845.06562805176</v>
      </c>
      <c r="I9" s="17">
        <v>549864.06997166504</v>
      </c>
      <c r="J9" s="17">
        <v>578220.70024108887</v>
      </c>
      <c r="K9" s="17">
        <v>585665.016456604</v>
      </c>
      <c r="L9" s="17">
        <v>588593.38491821289</v>
      </c>
      <c r="M9" s="17">
        <v>555889.19812250137</v>
      </c>
      <c r="N9" s="17">
        <v>548948.33119750023</v>
      </c>
      <c r="O9" s="17">
        <v>581630.21987915039</v>
      </c>
      <c r="P9" s="17">
        <f t="shared" si="0"/>
        <v>6802549.0722387871</v>
      </c>
    </row>
    <row r="10" spans="1:16" x14ac:dyDescent="0.2">
      <c r="B10" s="15"/>
      <c r="C10" s="16" t="s">
        <v>21</v>
      </c>
      <c r="D10" s="17">
        <v>592720.79490685463</v>
      </c>
      <c r="E10" s="17">
        <v>537327.63176727295</v>
      </c>
      <c r="F10" s="17">
        <v>567780.5776154995</v>
      </c>
      <c r="G10" s="17">
        <v>508004.502202034</v>
      </c>
      <c r="H10" s="17">
        <v>583317.73498702049</v>
      </c>
      <c r="I10" s="17">
        <v>548320.02609443665</v>
      </c>
      <c r="J10" s="17">
        <v>567613.61701965332</v>
      </c>
      <c r="K10" s="17">
        <v>581452.59410667419</v>
      </c>
      <c r="L10" s="17">
        <v>584661.49711227417</v>
      </c>
      <c r="M10" s="17">
        <v>559076.45829391479</v>
      </c>
      <c r="N10" s="17">
        <v>547378.74983432889</v>
      </c>
      <c r="O10" s="17">
        <v>578220.62681388855</v>
      </c>
      <c r="P10" s="17">
        <f t="shared" si="0"/>
        <v>6755874.8107538521</v>
      </c>
    </row>
    <row r="11" spans="1:16" ht="15" x14ac:dyDescent="0.25">
      <c r="B11" s="12" t="s">
        <v>22</v>
      </c>
      <c r="C11" s="13"/>
      <c r="D11" s="14">
        <v>405861.65688506118</v>
      </c>
      <c r="E11" s="14">
        <v>295435.34670162201</v>
      </c>
      <c r="F11" s="14">
        <v>409802.23843860626</v>
      </c>
      <c r="G11" s="14">
        <v>382730.67823637289</v>
      </c>
      <c r="H11" s="14">
        <v>401775.36577796936</v>
      </c>
      <c r="I11" s="14">
        <v>388113.34291739488</v>
      </c>
      <c r="J11" s="14">
        <v>414888.91276741028</v>
      </c>
      <c r="K11" s="14">
        <v>411257.45244812965</v>
      </c>
      <c r="L11" s="14">
        <v>400918.44470930099</v>
      </c>
      <c r="M11" s="14">
        <v>408926.98566252744</v>
      </c>
      <c r="N11" s="14">
        <v>376084.89379756758</v>
      </c>
      <c r="O11" s="14">
        <v>415136.07842161646</v>
      </c>
      <c r="P11" s="14">
        <f t="shared" si="0"/>
        <v>4710931.3967635799</v>
      </c>
    </row>
    <row r="12" spans="1:16" x14ac:dyDescent="0.2">
      <c r="B12" s="15"/>
      <c r="C12" s="16" t="s">
        <v>20</v>
      </c>
      <c r="D12" s="17">
        <v>131610.52237498533</v>
      </c>
      <c r="E12" s="17">
        <v>43703.314274787903</v>
      </c>
      <c r="F12" s="17">
        <v>137707.07381820679</v>
      </c>
      <c r="G12" s="17">
        <v>125351.85627412796</v>
      </c>
      <c r="H12" s="17">
        <v>130177.97123908997</v>
      </c>
      <c r="I12" s="17">
        <v>127396.91648197174</v>
      </c>
      <c r="J12" s="17">
        <v>136872.33007240295</v>
      </c>
      <c r="K12" s="17">
        <v>138313.45146417618</v>
      </c>
      <c r="L12" s="17">
        <v>137583.65236377716</v>
      </c>
      <c r="M12" s="17">
        <v>138413.46813464165</v>
      </c>
      <c r="N12" s="17">
        <v>124159.74583118269</v>
      </c>
      <c r="O12" s="17">
        <v>135382.97359800339</v>
      </c>
      <c r="P12" s="17">
        <f t="shared" si="0"/>
        <v>1506673.2759273537</v>
      </c>
    </row>
    <row r="13" spans="1:16" x14ac:dyDescent="0.2">
      <c r="B13" s="15"/>
      <c r="C13" s="16" t="s">
        <v>21</v>
      </c>
      <c r="D13" s="17">
        <v>128874.44865090513</v>
      </c>
      <c r="E13" s="17">
        <v>118757.13584709167</v>
      </c>
      <c r="F13" s="17">
        <v>127175.2615737915</v>
      </c>
      <c r="G13" s="17">
        <v>118352.08512975289</v>
      </c>
      <c r="H13" s="17">
        <v>124058.99156570435</v>
      </c>
      <c r="I13" s="17">
        <v>120366.48536582016</v>
      </c>
      <c r="J13" s="17">
        <v>129742.73079299927</v>
      </c>
      <c r="K13" s="17">
        <v>127090.16046833992</v>
      </c>
      <c r="L13" s="17">
        <v>123396.7128777504</v>
      </c>
      <c r="M13" s="17">
        <v>128210.43632828449</v>
      </c>
      <c r="N13" s="17">
        <v>118750.23608779907</v>
      </c>
      <c r="O13" s="17">
        <v>130582.48270180215</v>
      </c>
      <c r="P13" s="17">
        <f t="shared" si="0"/>
        <v>1495357.1673900411</v>
      </c>
    </row>
    <row r="14" spans="1:16" x14ac:dyDescent="0.2">
      <c r="B14" s="15"/>
      <c r="C14" s="16" t="s">
        <v>23</v>
      </c>
      <c r="D14" s="17">
        <v>145376.68585917068</v>
      </c>
      <c r="E14" s="17">
        <v>132974.89657974243</v>
      </c>
      <c r="F14" s="17">
        <v>144919.90304660797</v>
      </c>
      <c r="G14" s="17">
        <v>139026.73683249205</v>
      </c>
      <c r="H14" s="17">
        <v>147538.40297317505</v>
      </c>
      <c r="I14" s="17">
        <v>140349.94106960297</v>
      </c>
      <c r="J14" s="17">
        <v>148273.85190200806</v>
      </c>
      <c r="K14" s="17">
        <v>145853.84051561356</v>
      </c>
      <c r="L14" s="17">
        <v>139938.07946777344</v>
      </c>
      <c r="M14" s="17">
        <v>142303.08119960129</v>
      </c>
      <c r="N14" s="17">
        <v>133174.91187858582</v>
      </c>
      <c r="O14" s="17">
        <v>149170.62212181091</v>
      </c>
      <c r="P14" s="17">
        <f t="shared" si="0"/>
        <v>1708900.9534461843</v>
      </c>
    </row>
    <row r="15" spans="1:16" ht="15" x14ac:dyDescent="0.25">
      <c r="B15" s="12" t="s">
        <v>24</v>
      </c>
      <c r="C15" s="13"/>
      <c r="D15" s="14">
        <v>3389770.0146369934</v>
      </c>
      <c r="E15" s="14">
        <v>3115780.3075866699</v>
      </c>
      <c r="F15" s="14">
        <v>3268807.9862670898</v>
      </c>
      <c r="G15" s="14">
        <v>2928550.4733972549</v>
      </c>
      <c r="H15" s="14">
        <v>3360201.2943115234</v>
      </c>
      <c r="I15" s="14">
        <v>3212252.7008285522</v>
      </c>
      <c r="J15" s="14">
        <v>3321328.4190826416</v>
      </c>
      <c r="K15" s="14">
        <v>3310224.0399010703</v>
      </c>
      <c r="L15" s="14">
        <v>3351714.3675842285</v>
      </c>
      <c r="M15" s="14">
        <v>3185720.4467914701</v>
      </c>
      <c r="N15" s="14">
        <v>3158843.7534677982</v>
      </c>
      <c r="O15" s="14">
        <v>3436813.7113342285</v>
      </c>
      <c r="P15" s="14">
        <f t="shared" si="0"/>
        <v>39040007.515189521</v>
      </c>
    </row>
    <row r="16" spans="1:16" x14ac:dyDescent="0.2">
      <c r="B16" s="15"/>
      <c r="C16" s="16" t="s">
        <v>20</v>
      </c>
      <c r="D16" s="17">
        <v>1698168.7859992981</v>
      </c>
      <c r="E16" s="17">
        <v>1561355.15234375</v>
      </c>
      <c r="F16" s="17">
        <v>1594080.8507080078</v>
      </c>
      <c r="G16" s="17">
        <v>1481085.7152032852</v>
      </c>
      <c r="H16" s="17">
        <v>1676997.7557678223</v>
      </c>
      <c r="I16" s="17">
        <v>1607296.8707046509</v>
      </c>
      <c r="J16" s="17">
        <v>1662557.8469390869</v>
      </c>
      <c r="K16" s="17">
        <v>1662038.0731468201</v>
      </c>
      <c r="L16" s="17">
        <v>1675007.4841918945</v>
      </c>
      <c r="M16" s="17">
        <v>1591950.8513412476</v>
      </c>
      <c r="N16" s="17">
        <v>1572208.4707453251</v>
      </c>
      <c r="O16" s="17">
        <v>1712328.1530151367</v>
      </c>
      <c r="P16" s="17">
        <f t="shared" si="0"/>
        <v>19495076.010106325</v>
      </c>
    </row>
    <row r="17" spans="2:18" x14ac:dyDescent="0.2">
      <c r="B17" s="15"/>
      <c r="C17" s="16" t="s">
        <v>21</v>
      </c>
      <c r="D17" s="17">
        <v>1691601.2286376953</v>
      </c>
      <c r="E17" s="17">
        <v>1554425.1552429199</v>
      </c>
      <c r="F17" s="17">
        <v>1674727.135559082</v>
      </c>
      <c r="G17" s="17">
        <v>1447464.7581939697</v>
      </c>
      <c r="H17" s="17">
        <v>1683203.5385437012</v>
      </c>
      <c r="I17" s="17">
        <v>1604955.8301239014</v>
      </c>
      <c r="J17" s="17">
        <v>1658770.5721435547</v>
      </c>
      <c r="K17" s="17">
        <v>1648185.9667542502</v>
      </c>
      <c r="L17" s="17">
        <v>1676706.883392334</v>
      </c>
      <c r="M17" s="17">
        <v>1593769.5954502225</v>
      </c>
      <c r="N17" s="17">
        <v>1586635.2827224731</v>
      </c>
      <c r="O17" s="17">
        <v>1724485.5583190918</v>
      </c>
      <c r="P17" s="17">
        <f t="shared" si="0"/>
        <v>19544931.505083196</v>
      </c>
    </row>
    <row r="18" spans="2:18" ht="15" x14ac:dyDescent="0.25">
      <c r="B18" s="12" t="s">
        <v>25</v>
      </c>
      <c r="C18" s="13"/>
      <c r="D18" s="14">
        <v>7831582.6191015895</v>
      </c>
      <c r="E18" s="14">
        <v>8517507.2602728494</v>
      </c>
      <c r="F18" s="14">
        <v>7427713.038383875</v>
      </c>
      <c r="G18" s="14">
        <v>6267532.5472635934</v>
      </c>
      <c r="H18" s="14">
        <v>7515806.7284860248</v>
      </c>
      <c r="I18" s="14">
        <v>7180802.7878093086</v>
      </c>
      <c r="J18" s="14">
        <v>7316358.4990890678</v>
      </c>
      <c r="K18" s="14">
        <v>7645333.382727189</v>
      </c>
      <c r="L18" s="14">
        <v>8103881.6327667236</v>
      </c>
      <c r="M18" s="14">
        <v>8294029.9638822237</v>
      </c>
      <c r="N18" s="14">
        <v>8176428.595851385</v>
      </c>
      <c r="O18" s="14">
        <v>7624195.6758548981</v>
      </c>
      <c r="P18" s="14">
        <f t="shared" si="0"/>
        <v>91901172.73148872</v>
      </c>
    </row>
    <row r="19" spans="2:18" x14ac:dyDescent="0.2">
      <c r="B19" s="15"/>
      <c r="C19" s="16" t="s">
        <v>20</v>
      </c>
      <c r="D19" s="17">
        <v>2539759.3163460335</v>
      </c>
      <c r="E19" s="17">
        <v>2693385.9839286804</v>
      </c>
      <c r="F19" s="17">
        <v>2484515.7157116691</v>
      </c>
      <c r="G19" s="17">
        <v>1801163.0569071481</v>
      </c>
      <c r="H19" s="17">
        <v>2519519.7604370117</v>
      </c>
      <c r="I19" s="17">
        <v>2387699.4706902876</v>
      </c>
      <c r="J19" s="17">
        <v>2496986.4105453491</v>
      </c>
      <c r="K19" s="17">
        <v>2570664.391040802</v>
      </c>
      <c r="L19" s="17">
        <v>2726484.8728027344</v>
      </c>
      <c r="M19" s="17">
        <v>2758018.9101536879</v>
      </c>
      <c r="N19" s="17">
        <v>2685540.9993583541</v>
      </c>
      <c r="O19" s="17">
        <v>2543447.5248646238</v>
      </c>
      <c r="P19" s="17">
        <f t="shared" si="0"/>
        <v>30207186.412786383</v>
      </c>
    </row>
    <row r="20" spans="2:18" x14ac:dyDescent="0.2">
      <c r="B20" s="15"/>
      <c r="C20" s="16" t="s">
        <v>21</v>
      </c>
      <c r="D20" s="17">
        <v>2651176.4616651917</v>
      </c>
      <c r="E20" s="17">
        <v>2897858.5364678977</v>
      </c>
      <c r="F20" s="17">
        <v>2495881.4074551482</v>
      </c>
      <c r="G20" s="17">
        <v>2227756.7304382324</v>
      </c>
      <c r="H20" s="17">
        <v>2497914.0554895038</v>
      </c>
      <c r="I20" s="17">
        <v>2397333.1627848945</v>
      </c>
      <c r="J20" s="17">
        <v>2461603.9791007224</v>
      </c>
      <c r="K20" s="17">
        <v>2504323.8980385903</v>
      </c>
      <c r="L20" s="17">
        <v>2677016.2870025635</v>
      </c>
      <c r="M20" s="17">
        <v>2771874.9476189166</v>
      </c>
      <c r="N20" s="17">
        <v>2755954.223019097</v>
      </c>
      <c r="O20" s="17">
        <v>2507413.2597549222</v>
      </c>
      <c r="P20" s="17">
        <f t="shared" si="0"/>
        <v>30846106.948835678</v>
      </c>
    </row>
    <row r="21" spans="2:18" x14ac:dyDescent="0.2">
      <c r="B21" s="15"/>
      <c r="C21" s="16" t="s">
        <v>23</v>
      </c>
      <c r="D21" s="17">
        <v>2640646.8410903644</v>
      </c>
      <c r="E21" s="17">
        <v>2926262.7398762703</v>
      </c>
      <c r="F21" s="17">
        <v>2447315.9152170578</v>
      </c>
      <c r="G21" s="17">
        <v>2238612.7599182129</v>
      </c>
      <c r="H21" s="17">
        <v>2498372.9125595093</v>
      </c>
      <c r="I21" s="17">
        <v>2395770.154334127</v>
      </c>
      <c r="J21" s="17">
        <v>2357768.1094429968</v>
      </c>
      <c r="K21" s="17">
        <v>2570345.0936477967</v>
      </c>
      <c r="L21" s="17">
        <v>2700380.4729614258</v>
      </c>
      <c r="M21" s="17">
        <v>2764136.1061096191</v>
      </c>
      <c r="N21" s="17">
        <v>2734933.3734739339</v>
      </c>
      <c r="O21" s="17">
        <v>2573334.8912353516</v>
      </c>
      <c r="P21" s="17">
        <f t="shared" si="0"/>
        <v>30847879.369866669</v>
      </c>
    </row>
    <row r="22" spans="2:18" ht="15" x14ac:dyDescent="0.25">
      <c r="B22" s="12" t="s">
        <v>26</v>
      </c>
      <c r="C22" s="13"/>
      <c r="D22" s="14">
        <v>47588120.200066835</v>
      </c>
      <c r="E22" s="14">
        <v>72665762.570478737</v>
      </c>
      <c r="F22" s="14">
        <v>50925034.053079128</v>
      </c>
      <c r="G22" s="14">
        <v>42144701.305800974</v>
      </c>
      <c r="H22" s="14">
        <v>46569503.439509451</v>
      </c>
      <c r="I22" s="14">
        <v>45232516.780026436</v>
      </c>
      <c r="J22" s="14">
        <v>46296207.560379967</v>
      </c>
      <c r="K22" s="14">
        <v>47257456.01754123</v>
      </c>
      <c r="L22" s="14">
        <v>49541586.102058135</v>
      </c>
      <c r="M22" s="14">
        <v>51191305.97361213</v>
      </c>
      <c r="N22" s="14">
        <v>50832288.358475804</v>
      </c>
      <c r="O22" s="14">
        <v>48076085.200960338</v>
      </c>
      <c r="P22" s="14">
        <f t="shared" si="0"/>
        <v>598320567.56198931</v>
      </c>
    </row>
    <row r="23" spans="2:18" x14ac:dyDescent="0.2">
      <c r="B23" s="15"/>
      <c r="C23" s="16" t="s">
        <v>20</v>
      </c>
      <c r="D23" s="17">
        <v>13028996.261153873</v>
      </c>
      <c r="E23" s="17">
        <v>24672508.519556522</v>
      </c>
      <c r="F23" s="17">
        <v>20902737.73992157</v>
      </c>
      <c r="G23" s="17">
        <v>14497902.612120152</v>
      </c>
      <c r="H23" s="17">
        <v>8838194.61297822</v>
      </c>
      <c r="I23" s="17">
        <v>18678353.190315723</v>
      </c>
      <c r="J23" s="17">
        <v>11569104.416561514</v>
      </c>
      <c r="K23" s="17">
        <v>20401036.266370773</v>
      </c>
      <c r="L23" s="17">
        <v>18629250.747930728</v>
      </c>
      <c r="M23" s="17">
        <v>13682964.337388039</v>
      </c>
      <c r="N23" s="17">
        <v>18840674.547280788</v>
      </c>
      <c r="O23" s="17">
        <v>20597710.223510742</v>
      </c>
      <c r="P23" s="17">
        <f t="shared" si="0"/>
        <v>204339433.47508866</v>
      </c>
    </row>
    <row r="24" spans="2:18" x14ac:dyDescent="0.2">
      <c r="B24" s="15"/>
      <c r="C24" s="16" t="s">
        <v>21</v>
      </c>
      <c r="D24" s="17">
        <v>14573178.730841637</v>
      </c>
      <c r="E24" s="17">
        <v>21606695.597797215</v>
      </c>
      <c r="F24" s="17">
        <v>12436225.962658882</v>
      </c>
      <c r="G24" s="17">
        <v>9410043.2421503067</v>
      </c>
      <c r="H24" s="17">
        <v>17431258.341606915</v>
      </c>
      <c r="I24" s="17">
        <v>11911003.161022186</v>
      </c>
      <c r="J24" s="17">
        <v>15506556.560104921</v>
      </c>
      <c r="K24" s="17">
        <v>19223365.965565681</v>
      </c>
      <c r="L24" s="17">
        <v>16283012.910889983</v>
      </c>
      <c r="M24" s="17">
        <v>21041243.94190079</v>
      </c>
      <c r="N24" s="17">
        <v>10977475.006284952</v>
      </c>
      <c r="O24" s="17">
        <v>14286551.714626312</v>
      </c>
      <c r="P24" s="17">
        <f t="shared" si="0"/>
        <v>184686611.13544977</v>
      </c>
    </row>
    <row r="25" spans="2:18" x14ac:dyDescent="0.2">
      <c r="B25" s="15"/>
      <c r="C25" s="16" t="s">
        <v>23</v>
      </c>
      <c r="D25" s="17">
        <v>19985945.208071329</v>
      </c>
      <c r="E25" s="17">
        <v>26386558.453125</v>
      </c>
      <c r="F25" s="17">
        <v>17586070.350498676</v>
      </c>
      <c r="G25" s="17">
        <v>18236755.451530516</v>
      </c>
      <c r="H25" s="17">
        <v>20300050.484924316</v>
      </c>
      <c r="I25" s="17">
        <v>14643160.428688526</v>
      </c>
      <c r="J25" s="17">
        <v>19220546.583713531</v>
      </c>
      <c r="K25" s="17">
        <v>7633053.785604775</v>
      </c>
      <c r="L25" s="17">
        <v>14629322.443237424</v>
      </c>
      <c r="M25" s="17">
        <v>16467097.694323301</v>
      </c>
      <c r="N25" s="17">
        <v>21014138.804910064</v>
      </c>
      <c r="O25" s="17">
        <v>13191823.262823284</v>
      </c>
      <c r="P25" s="17">
        <f t="shared" si="0"/>
        <v>209294522.95145074</v>
      </c>
    </row>
    <row r="26" spans="2:18" ht="15" x14ac:dyDescent="0.25">
      <c r="B26" s="12" t="s">
        <v>27</v>
      </c>
      <c r="C26" s="13"/>
      <c r="D26" s="14">
        <v>4710847.0431795903</v>
      </c>
      <c r="E26" s="14">
        <v>5117809.6192417722</v>
      </c>
      <c r="F26" s="14">
        <v>4216653.5799983954</v>
      </c>
      <c r="G26" s="14">
        <v>3453405.9257834405</v>
      </c>
      <c r="H26" s="14">
        <v>4297201.9033687226</v>
      </c>
      <c r="I26" s="14">
        <v>4182535.4675244838</v>
      </c>
      <c r="J26" s="14">
        <v>4093678.548696931</v>
      </c>
      <c r="K26" s="14">
        <v>4477763.4072875977</v>
      </c>
      <c r="L26" s="14">
        <v>4808681.0268206475</v>
      </c>
      <c r="M26" s="14">
        <v>3776149.7722756173</v>
      </c>
      <c r="N26" s="14">
        <v>4978424.4377441406</v>
      </c>
      <c r="O26" s="14">
        <v>4392200.3757019043</v>
      </c>
      <c r="P26" s="14">
        <f t="shared" si="0"/>
        <v>52505351.107623242</v>
      </c>
    </row>
    <row r="27" spans="2:18" x14ac:dyDescent="0.2">
      <c r="B27" s="15"/>
      <c r="C27" s="16" t="s">
        <v>20</v>
      </c>
      <c r="D27" s="17">
        <v>4710847.0431795903</v>
      </c>
      <c r="E27" s="17">
        <v>5117809.6192417722</v>
      </c>
      <c r="F27" s="17">
        <v>4216653.5799983954</v>
      </c>
      <c r="G27" s="17">
        <v>3453405.9257834405</v>
      </c>
      <c r="H27" s="17">
        <v>4297201.9033687226</v>
      </c>
      <c r="I27" s="17">
        <v>4182535.4675244838</v>
      </c>
      <c r="J27" s="17">
        <v>4093678.548696931</v>
      </c>
      <c r="K27" s="17">
        <v>4477763.4072875977</v>
      </c>
      <c r="L27" s="17">
        <v>4808681.0268206475</v>
      </c>
      <c r="M27" s="17">
        <v>3776149.7722756173</v>
      </c>
      <c r="N27" s="17">
        <v>4978424.4377441406</v>
      </c>
      <c r="O27" s="17">
        <v>4392200.3757019043</v>
      </c>
      <c r="P27" s="17">
        <f t="shared" si="0"/>
        <v>52505351.107623242</v>
      </c>
      <c r="R27" s="18"/>
    </row>
    <row r="28" spans="2:18" ht="15" x14ac:dyDescent="0.25">
      <c r="B28" s="19" t="s">
        <v>28</v>
      </c>
      <c r="C28" s="20"/>
      <c r="D28" s="11">
        <v>6882.7157974243164</v>
      </c>
      <c r="E28" s="11">
        <v>38126.038367599249</v>
      </c>
      <c r="F28" s="11">
        <v>87283.748056072858</v>
      </c>
      <c r="G28" s="11">
        <v>24722.069266319275</v>
      </c>
      <c r="H28" s="11">
        <v>100989.32579803467</v>
      </c>
      <c r="I28" s="11">
        <v>84883.284379959106</v>
      </c>
      <c r="J28" s="11">
        <v>457060.72324371338</v>
      </c>
      <c r="K28" s="11">
        <v>587244.0957222929</v>
      </c>
      <c r="L28" s="11">
        <v>66059.953032457503</v>
      </c>
      <c r="M28" s="11">
        <v>13635.06894159317</v>
      </c>
      <c r="N28" s="11">
        <v>490626.57478666306</v>
      </c>
      <c r="O28" s="11">
        <v>1707.6840209960938</v>
      </c>
      <c r="P28" s="11">
        <f t="shared" si="0"/>
        <v>1959221.2814131256</v>
      </c>
    </row>
    <row r="29" spans="2:18" ht="15" x14ac:dyDescent="0.25">
      <c r="B29" s="12" t="s">
        <v>29</v>
      </c>
      <c r="C29" s="13"/>
      <c r="D29" s="14">
        <v>0</v>
      </c>
      <c r="E29" s="14">
        <v>38126.038367599249</v>
      </c>
      <c r="F29" s="14">
        <v>73285.687719006208</v>
      </c>
      <c r="G29" s="14">
        <v>6360.8254995346069</v>
      </c>
      <c r="H29" s="14">
        <v>33702.818284034729</v>
      </c>
      <c r="I29" s="14">
        <v>45146.682893753052</v>
      </c>
      <c r="J29" s="14">
        <v>194914.01211166382</v>
      </c>
      <c r="K29" s="14">
        <v>270261.42828103091</v>
      </c>
      <c r="L29" s="14">
        <v>655.70556923153345</v>
      </c>
      <c r="M29" s="14">
        <v>13635.06894159317</v>
      </c>
      <c r="N29" s="14">
        <v>39418.593207836151</v>
      </c>
      <c r="O29" s="14">
        <v>1707.6840209960938</v>
      </c>
      <c r="P29" s="14">
        <f t="shared" si="0"/>
        <v>717214.54489627958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f t="shared" si="0"/>
        <v>0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0</v>
      </c>
    </row>
    <row r="33" spans="2:16" x14ac:dyDescent="0.2">
      <c r="B33" s="15"/>
      <c r="C33" s="16" t="s">
        <v>33</v>
      </c>
      <c r="D33" s="17">
        <v>0</v>
      </c>
      <c r="E33" s="17">
        <v>33138.88737487793</v>
      </c>
      <c r="F33" s="17">
        <v>0</v>
      </c>
      <c r="G33" s="17">
        <v>0</v>
      </c>
      <c r="H33" s="17">
        <v>12471.333417892456</v>
      </c>
      <c r="I33" s="17">
        <v>1568.9107131958008</v>
      </c>
      <c r="J33" s="17">
        <v>102611.60194015503</v>
      </c>
      <c r="K33" s="17">
        <v>127961.49028582871</v>
      </c>
      <c r="L33" s="17">
        <v>0</v>
      </c>
      <c r="M33" s="17">
        <v>8212.7872290611267</v>
      </c>
      <c r="N33" s="17">
        <v>0</v>
      </c>
      <c r="O33" s="17">
        <v>1707.6840209960938</v>
      </c>
      <c r="P33" s="17">
        <f t="shared" si="0"/>
        <v>287672.69498200715</v>
      </c>
    </row>
    <row r="34" spans="2:16" x14ac:dyDescent="0.2">
      <c r="B34" s="15"/>
      <c r="C34" s="16" t="s">
        <v>34</v>
      </c>
      <c r="D34" s="17">
        <v>0</v>
      </c>
      <c r="E34" s="17">
        <v>3970.9314340054989</v>
      </c>
      <c r="F34" s="17">
        <v>45238.921243369579</v>
      </c>
      <c r="G34" s="17">
        <v>3195.9340505599976</v>
      </c>
      <c r="H34" s="17">
        <v>7322.0869932174683</v>
      </c>
      <c r="I34" s="17">
        <v>26751.619583129883</v>
      </c>
      <c r="J34" s="17">
        <v>54410.468879699707</v>
      </c>
      <c r="K34" s="17">
        <v>65028.876636830086</v>
      </c>
      <c r="L34" s="17">
        <v>655.70556923153345</v>
      </c>
      <c r="M34" s="17">
        <v>0</v>
      </c>
      <c r="N34" s="17">
        <v>10314.191284179688</v>
      </c>
      <c r="O34" s="17">
        <v>0</v>
      </c>
      <c r="P34" s="17">
        <f t="shared" si="0"/>
        <v>216888.73567422346</v>
      </c>
    </row>
    <row r="35" spans="2:16" x14ac:dyDescent="0.2">
      <c r="B35" s="15"/>
      <c r="C35" s="16" t="s">
        <v>35</v>
      </c>
      <c r="D35" s="17">
        <v>0</v>
      </c>
      <c r="E35" s="17">
        <v>1016.2195587158203</v>
      </c>
      <c r="F35" s="17">
        <v>28046.766475636628</v>
      </c>
      <c r="G35" s="17">
        <v>3164.8914489746094</v>
      </c>
      <c r="H35" s="17">
        <v>13909.397872924805</v>
      </c>
      <c r="I35" s="17">
        <v>16826.152597427368</v>
      </c>
      <c r="J35" s="17">
        <v>37891.941291809082</v>
      </c>
      <c r="K35" s="17">
        <v>77271.061358372099</v>
      </c>
      <c r="L35" s="17">
        <v>0</v>
      </c>
      <c r="M35" s="17">
        <v>5422.2817125320435</v>
      </c>
      <c r="N35" s="17">
        <v>29104.401923656464</v>
      </c>
      <c r="O35" s="17">
        <v>0</v>
      </c>
      <c r="P35" s="17">
        <f t="shared" si="0"/>
        <v>212653.11424004892</v>
      </c>
    </row>
    <row r="36" spans="2:16" ht="15" x14ac:dyDescent="0.25">
      <c r="B36" s="12" t="s">
        <v>36</v>
      </c>
      <c r="C36" s="13"/>
      <c r="D36" s="14">
        <v>6882.7157974243164</v>
      </c>
      <c r="E36" s="14">
        <v>0</v>
      </c>
      <c r="F36" s="14">
        <v>13998.06033706665</v>
      </c>
      <c r="G36" s="14">
        <v>18361.243766784668</v>
      </c>
      <c r="H36" s="14">
        <v>67286.507513999939</v>
      </c>
      <c r="I36" s="14">
        <v>39736.601486206055</v>
      </c>
      <c r="J36" s="14">
        <v>262146.71113204956</v>
      </c>
      <c r="K36" s="14">
        <v>316982.66744126193</v>
      </c>
      <c r="L36" s="14">
        <v>65404.247463225969</v>
      </c>
      <c r="M36" s="14">
        <v>0</v>
      </c>
      <c r="N36" s="14">
        <v>451207.9815788269</v>
      </c>
      <c r="O36" s="14">
        <v>0</v>
      </c>
      <c r="P36" s="14">
        <f t="shared" si="0"/>
        <v>1242006.7365168459</v>
      </c>
    </row>
    <row r="37" spans="2:16" x14ac:dyDescent="0.2">
      <c r="B37" s="15"/>
      <c r="C37" s="16" t="s">
        <v>37</v>
      </c>
      <c r="D37" s="17">
        <v>0</v>
      </c>
      <c r="E37" s="17">
        <v>0</v>
      </c>
      <c r="F37" s="17">
        <v>5634.0293159484863</v>
      </c>
      <c r="G37" s="17">
        <v>18361.243766784668</v>
      </c>
      <c r="H37" s="17">
        <v>16483.285049438477</v>
      </c>
      <c r="I37" s="17">
        <v>19226.319580078125</v>
      </c>
      <c r="J37" s="17">
        <v>88038.535642623901</v>
      </c>
      <c r="K37" s="17">
        <v>80395.180543854833</v>
      </c>
      <c r="L37" s="17">
        <v>29276.025077819824</v>
      </c>
      <c r="M37" s="17">
        <v>0</v>
      </c>
      <c r="N37" s="17">
        <v>116673.81484603882</v>
      </c>
      <c r="O37" s="17">
        <v>0</v>
      </c>
      <c r="P37" s="17">
        <f t="shared" si="0"/>
        <v>374088.43382258713</v>
      </c>
    </row>
    <row r="38" spans="2:16" x14ac:dyDescent="0.2">
      <c r="B38" s="15"/>
      <c r="C38" s="16" t="s">
        <v>38</v>
      </c>
      <c r="D38" s="17">
        <v>3137.4748229980469</v>
      </c>
      <c r="E38" s="17">
        <v>0</v>
      </c>
      <c r="F38" s="17">
        <v>5726.530101776123</v>
      </c>
      <c r="G38" s="17">
        <v>0</v>
      </c>
      <c r="H38" s="17">
        <v>36408.300365447998</v>
      </c>
      <c r="I38" s="17">
        <v>2367.6313171386719</v>
      </c>
      <c r="J38" s="17">
        <v>88638.967334747314</v>
      </c>
      <c r="K38" s="17">
        <v>120064.91026895866</v>
      </c>
      <c r="L38" s="17">
        <v>20392.260780334473</v>
      </c>
      <c r="M38" s="17">
        <v>0</v>
      </c>
      <c r="N38" s="17">
        <v>89230.163787841797</v>
      </c>
      <c r="O38" s="17">
        <v>0</v>
      </c>
      <c r="P38" s="17">
        <f t="shared" si="0"/>
        <v>365966.23877924308</v>
      </c>
    </row>
    <row r="39" spans="2:16" x14ac:dyDescent="0.2">
      <c r="B39" s="15"/>
      <c r="C39" s="16" t="s">
        <v>39</v>
      </c>
      <c r="D39" s="17">
        <v>3745.2409744262695</v>
      </c>
      <c r="E39" s="17">
        <v>0</v>
      </c>
      <c r="F39" s="17">
        <v>2637.500919342041</v>
      </c>
      <c r="G39" s="17">
        <v>0</v>
      </c>
      <c r="H39" s="17">
        <v>14394.922099113464</v>
      </c>
      <c r="I39" s="17">
        <v>18142.650588989258</v>
      </c>
      <c r="J39" s="17">
        <v>85469.208154678345</v>
      </c>
      <c r="K39" s="17">
        <v>116522.57662844844</v>
      </c>
      <c r="L39" s="17">
        <v>15735.961605071672</v>
      </c>
      <c r="M39" s="17">
        <v>0</v>
      </c>
      <c r="N39" s="17">
        <v>245304.00294494629</v>
      </c>
      <c r="O39" s="17">
        <v>0</v>
      </c>
      <c r="P39" s="17">
        <f t="shared" si="0"/>
        <v>501952.06391501578</v>
      </c>
    </row>
    <row r="40" spans="2:16" ht="15" x14ac:dyDescent="0.25">
      <c r="B40" s="12" t="s">
        <v>40</v>
      </c>
      <c r="C40" s="13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f t="shared" si="0"/>
        <v>0</v>
      </c>
    </row>
    <row r="41" spans="2:16" x14ac:dyDescent="0.2">
      <c r="B41" s="15"/>
      <c r="C41" s="16" t="s">
        <v>41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f t="shared" si="0"/>
        <v>0</v>
      </c>
    </row>
    <row r="42" spans="2:16" x14ac:dyDescent="0.2">
      <c r="B42" s="15"/>
      <c r="C42" s="16" t="s">
        <v>42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f t="shared" si="0"/>
        <v>0</v>
      </c>
    </row>
    <row r="43" spans="2:16" ht="15" x14ac:dyDescent="0.25">
      <c r="B43" s="19" t="s">
        <v>43</v>
      </c>
      <c r="C43" s="20"/>
      <c r="D43" s="11">
        <v>65127511.153063864</v>
      </c>
      <c r="E43" s="11">
        <v>90826078.079660967</v>
      </c>
      <c r="F43" s="11">
        <v>67472428.133974269</v>
      </c>
      <c r="G43" s="11">
        <v>56219132.261904441</v>
      </c>
      <c r="H43" s="11">
        <v>63423640.857866801</v>
      </c>
      <c r="I43" s="11">
        <v>61379288.459552236</v>
      </c>
      <c r="J43" s="11">
        <v>63045356.980520472</v>
      </c>
      <c r="K43" s="11">
        <v>64856396.006190792</v>
      </c>
      <c r="L43" s="11">
        <v>67446096.409001976</v>
      </c>
      <c r="M43" s="11">
        <v>67984733.867581978</v>
      </c>
      <c r="N43" s="11">
        <v>69109023.695155188</v>
      </c>
      <c r="O43" s="11">
        <v>65105989.57298702</v>
      </c>
      <c r="P43" s="11">
        <f t="shared" si="0"/>
        <v>801995675.47745991</v>
      </c>
    </row>
  </sheetData>
  <printOptions horizontalCentered="1"/>
  <pageMargins left="0.59055118110236227" right="0.59055118110236227" top="0.98425196850393704" bottom="1" header="0" footer="0"/>
  <pageSetup paperSize="12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EA25-FE3B-4750-9322-1DDC7AF2B8DF}">
  <sheetPr>
    <pageSetUpPr fitToPage="1"/>
  </sheetPr>
  <dimension ref="A1:R43"/>
  <sheetViews>
    <sheetView zoomScale="70" zoomScaleNormal="70" workbookViewId="0">
      <pane xSplit="3" ySplit="9" topLeftCell="D10" activePane="bottomRight" state="frozen"/>
      <selection pane="topRight" activeCell="J45" sqref="J45"/>
      <selection pane="bottomLeft" activeCell="J45" sqref="J45"/>
      <selection pane="bottomRight" activeCell="D22" sqref="D22:O22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5" width="20.7109375" style="1" customWidth="1"/>
    <col min="16" max="16" width="25.14062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57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52841394.967043176</v>
      </c>
      <c r="E7" s="11">
        <v>48462240.117791206</v>
      </c>
      <c r="F7" s="11">
        <v>125430428.49613097</v>
      </c>
      <c r="G7" s="11">
        <v>100307359.81540555</v>
      </c>
      <c r="H7" s="11">
        <v>67392531.596284002</v>
      </c>
      <c r="I7" s="11">
        <v>66566643.8492864</v>
      </c>
      <c r="J7" s="11">
        <v>71820854.616497785</v>
      </c>
      <c r="K7" s="11">
        <v>75024564.84419176</v>
      </c>
      <c r="L7" s="11">
        <v>68178473.814152092</v>
      </c>
      <c r="M7" s="11">
        <v>71145529.17543374</v>
      </c>
      <c r="N7" s="11">
        <v>68182476.745971709</v>
      </c>
      <c r="O7" s="11">
        <v>69350289.970301419</v>
      </c>
      <c r="P7" s="11">
        <f t="shared" ref="P7:P43" si="0">SUM(D7:O7)</f>
        <v>884702788.00848985</v>
      </c>
    </row>
    <row r="8" spans="1:16" ht="15" x14ac:dyDescent="0.25">
      <c r="B8" s="12" t="s">
        <v>19</v>
      </c>
      <c r="C8" s="13"/>
      <c r="D8" s="14">
        <v>926974.95404577255</v>
      </c>
      <c r="E8" s="14">
        <v>461407.11146468215</v>
      </c>
      <c r="F8" s="14">
        <v>828950.46134578413</v>
      </c>
      <c r="G8" s="14">
        <v>1171740.0253601074</v>
      </c>
      <c r="H8" s="14">
        <v>1116330.5110563338</v>
      </c>
      <c r="I8" s="14">
        <v>1041090.3302083015</v>
      </c>
      <c r="J8" s="14">
        <v>1186256.5118484497</v>
      </c>
      <c r="K8" s="14">
        <v>1200153.9245510101</v>
      </c>
      <c r="L8" s="14">
        <v>1105623.0203217976</v>
      </c>
      <c r="M8" s="14">
        <v>1144318.103322506</v>
      </c>
      <c r="N8" s="14">
        <v>1085338.2751868013</v>
      </c>
      <c r="O8" s="14">
        <v>1127000.0595328808</v>
      </c>
      <c r="P8" s="14">
        <f t="shared" si="0"/>
        <v>12395183.288244428</v>
      </c>
    </row>
    <row r="9" spans="1:16" x14ac:dyDescent="0.2">
      <c r="B9" s="15"/>
      <c r="C9" s="16" t="s">
        <v>20</v>
      </c>
      <c r="D9" s="17">
        <v>463734.95702552795</v>
      </c>
      <c r="E9" s="17">
        <v>240257.34415227469</v>
      </c>
      <c r="F9" s="17">
        <v>429061.10447812825</v>
      </c>
      <c r="G9" s="17">
        <v>586121.13539123535</v>
      </c>
      <c r="H9" s="17">
        <v>555098.29181718826</v>
      </c>
      <c r="I9" s="17">
        <v>509179.0593290329</v>
      </c>
      <c r="J9" s="17">
        <v>590847.46511077881</v>
      </c>
      <c r="K9" s="17">
        <v>599302.11573028564</v>
      </c>
      <c r="L9" s="17">
        <v>548806.29877514765</v>
      </c>
      <c r="M9" s="17">
        <v>572733.46132469177</v>
      </c>
      <c r="N9" s="17">
        <v>532362.03131175041</v>
      </c>
      <c r="O9" s="17">
        <v>565055.47861170769</v>
      </c>
      <c r="P9" s="17">
        <f t="shared" si="0"/>
        <v>6192558.7430577492</v>
      </c>
    </row>
    <row r="10" spans="1:16" x14ac:dyDescent="0.2">
      <c r="B10" s="15"/>
      <c r="C10" s="16" t="s">
        <v>21</v>
      </c>
      <c r="D10" s="17">
        <v>463239.9970202446</v>
      </c>
      <c r="E10" s="17">
        <v>221149.76731240749</v>
      </c>
      <c r="F10" s="17">
        <v>399889.35686765588</v>
      </c>
      <c r="G10" s="17">
        <v>585618.88996887207</v>
      </c>
      <c r="H10" s="17">
        <v>561232.21923914552</v>
      </c>
      <c r="I10" s="17">
        <v>531911.27087926865</v>
      </c>
      <c r="J10" s="17">
        <v>595409.0467376709</v>
      </c>
      <c r="K10" s="17">
        <v>600851.80882072449</v>
      </c>
      <c r="L10" s="17">
        <v>556816.72154664993</v>
      </c>
      <c r="M10" s="17">
        <v>571584.64199781418</v>
      </c>
      <c r="N10" s="17">
        <v>552976.24387505092</v>
      </c>
      <c r="O10" s="17">
        <v>561944.5809211731</v>
      </c>
      <c r="P10" s="17">
        <f t="shared" si="0"/>
        <v>6202624.5451866779</v>
      </c>
    </row>
    <row r="11" spans="1:16" ht="15" x14ac:dyDescent="0.25">
      <c r="B11" s="12" t="s">
        <v>22</v>
      </c>
      <c r="C11" s="13"/>
      <c r="D11" s="14">
        <v>402870.26293692598</v>
      </c>
      <c r="E11" s="14">
        <v>208305.15888170851</v>
      </c>
      <c r="F11" s="14">
        <v>349377.98729529651</v>
      </c>
      <c r="G11" s="14">
        <v>384882.66591119766</v>
      </c>
      <c r="H11" s="14">
        <v>399463.22554445267</v>
      </c>
      <c r="I11" s="14">
        <v>398199.7900333954</v>
      </c>
      <c r="J11" s="14">
        <v>425595.72734451294</v>
      </c>
      <c r="K11" s="14">
        <v>412965.71056716575</v>
      </c>
      <c r="L11" s="14">
        <v>391015.80588637292</v>
      </c>
      <c r="M11" s="14">
        <v>412732.37714993302</v>
      </c>
      <c r="N11" s="14">
        <v>292596.51954185282</v>
      </c>
      <c r="O11" s="14">
        <v>404879.08196288516</v>
      </c>
      <c r="P11" s="14">
        <f t="shared" si="0"/>
        <v>4482884.3130556988</v>
      </c>
    </row>
    <row r="12" spans="1:16" x14ac:dyDescent="0.2">
      <c r="B12" s="15"/>
      <c r="C12" s="16" t="s">
        <v>20</v>
      </c>
      <c r="D12" s="17">
        <v>130894.93409666712</v>
      </c>
      <c r="E12" s="17">
        <v>49723.091575854196</v>
      </c>
      <c r="F12" s="17">
        <v>119446.83435111551</v>
      </c>
      <c r="G12" s="17">
        <v>132921.54180526733</v>
      </c>
      <c r="H12" s="17">
        <v>137050.26687383652</v>
      </c>
      <c r="I12" s="17">
        <v>138028.22530586738</v>
      </c>
      <c r="J12" s="17">
        <v>147957.42321014404</v>
      </c>
      <c r="K12" s="17">
        <v>140763.31547927856</v>
      </c>
      <c r="L12" s="17">
        <v>131151.84125684202</v>
      </c>
      <c r="M12" s="17">
        <v>139403.01789665222</v>
      </c>
      <c r="N12" s="17">
        <v>133728.08719348907</v>
      </c>
      <c r="O12" s="17">
        <v>139260.29052287509</v>
      </c>
      <c r="P12" s="17">
        <f t="shared" si="0"/>
        <v>1540328.869567889</v>
      </c>
    </row>
    <row r="13" spans="1:16" x14ac:dyDescent="0.2">
      <c r="B13" s="15"/>
      <c r="C13" s="16" t="s">
        <v>21</v>
      </c>
      <c r="D13" s="17">
        <v>126188.73824531671</v>
      </c>
      <c r="E13" s="17">
        <v>78112.19411259031</v>
      </c>
      <c r="F13" s="17">
        <v>107947.81589851144</v>
      </c>
      <c r="G13" s="17">
        <v>113694.94224739075</v>
      </c>
      <c r="H13" s="17">
        <v>116709.772960186</v>
      </c>
      <c r="I13" s="17">
        <v>115254.97471616272</v>
      </c>
      <c r="J13" s="17">
        <v>124042.70401382446</v>
      </c>
      <c r="K13" s="17">
        <v>123661.82847747946</v>
      </c>
      <c r="L13" s="17">
        <v>118447.4206622839</v>
      </c>
      <c r="M13" s="17">
        <v>123295.21292217878</v>
      </c>
      <c r="N13" s="17">
        <v>120810.94680023193</v>
      </c>
      <c r="O13" s="17">
        <v>123409.46871471405</v>
      </c>
      <c r="P13" s="17">
        <f t="shared" si="0"/>
        <v>1391576.0197708705</v>
      </c>
    </row>
    <row r="14" spans="1:16" x14ac:dyDescent="0.2">
      <c r="B14" s="15"/>
      <c r="C14" s="16" t="s">
        <v>23</v>
      </c>
      <c r="D14" s="17">
        <v>145786.59059494216</v>
      </c>
      <c r="E14" s="17">
        <v>80469.873193264008</v>
      </c>
      <c r="F14" s="17">
        <v>121983.33704566956</v>
      </c>
      <c r="G14" s="17">
        <v>138266.18185853958</v>
      </c>
      <c r="H14" s="17">
        <v>145703.18571043015</v>
      </c>
      <c r="I14" s="17">
        <v>144916.5900113653</v>
      </c>
      <c r="J14" s="17">
        <v>153595.60012054443</v>
      </c>
      <c r="K14" s="17">
        <v>148540.56661040772</v>
      </c>
      <c r="L14" s="17">
        <v>141416.54396724701</v>
      </c>
      <c r="M14" s="17">
        <v>150034.14633110201</v>
      </c>
      <c r="N14" s="17">
        <v>38057.485548131823</v>
      </c>
      <c r="O14" s="17">
        <v>142209.32272529602</v>
      </c>
      <c r="P14" s="17">
        <f t="shared" si="0"/>
        <v>1550979.4237169398</v>
      </c>
    </row>
    <row r="15" spans="1:16" ht="15" x14ac:dyDescent="0.25">
      <c r="B15" s="12" t="s">
        <v>24</v>
      </c>
      <c r="C15" s="13"/>
      <c r="D15" s="14">
        <v>2802690.1195259094</v>
      </c>
      <c r="E15" s="14">
        <v>1599671.5765838604</v>
      </c>
      <c r="F15" s="14">
        <v>2343285.3220167309</v>
      </c>
      <c r="G15" s="14">
        <v>3186261.717338562</v>
      </c>
      <c r="H15" s="14">
        <v>3320841.8933486938</v>
      </c>
      <c r="I15" s="14">
        <v>2971254.9195591062</v>
      </c>
      <c r="J15" s="14">
        <v>3459302.4301147461</v>
      </c>
      <c r="K15" s="14">
        <v>3396782.7389217615</v>
      </c>
      <c r="L15" s="14">
        <v>3239104.6255743504</v>
      </c>
      <c r="M15" s="14">
        <v>3402559.4845657349</v>
      </c>
      <c r="N15" s="14">
        <v>3278713.2661345005</v>
      </c>
      <c r="O15" s="14">
        <v>3409234.7961959839</v>
      </c>
      <c r="P15" s="14">
        <f t="shared" si="0"/>
        <v>36409702.889879942</v>
      </c>
    </row>
    <row r="16" spans="1:16" x14ac:dyDescent="0.2">
      <c r="B16" s="15"/>
      <c r="C16" s="16" t="s">
        <v>20</v>
      </c>
      <c r="D16" s="17">
        <v>1418416.6797370911</v>
      </c>
      <c r="E16" s="17">
        <v>923868.10505580716</v>
      </c>
      <c r="F16" s="17">
        <v>1394046.4416870624</v>
      </c>
      <c r="G16" s="17">
        <v>1611323.2836761475</v>
      </c>
      <c r="H16" s="17">
        <v>1629011.2440032959</v>
      </c>
      <c r="I16" s="17">
        <v>1497675.2415176481</v>
      </c>
      <c r="J16" s="17">
        <v>1728647.6422729492</v>
      </c>
      <c r="K16" s="17">
        <v>1695861.6938472986</v>
      </c>
      <c r="L16" s="17">
        <v>1618036.671957016</v>
      </c>
      <c r="M16" s="17">
        <v>1691609.5100479126</v>
      </c>
      <c r="N16" s="17">
        <v>1636635.4318723679</v>
      </c>
      <c r="O16" s="17">
        <v>1703776.4443893433</v>
      </c>
      <c r="P16" s="17">
        <f t="shared" si="0"/>
        <v>18548908.390063941</v>
      </c>
    </row>
    <row r="17" spans="2:18" x14ac:dyDescent="0.2">
      <c r="B17" s="15"/>
      <c r="C17" s="16" t="s">
        <v>21</v>
      </c>
      <c r="D17" s="17">
        <v>1384273.4397888184</v>
      </c>
      <c r="E17" s="17">
        <v>675803.47152805328</v>
      </c>
      <c r="F17" s="17">
        <v>949238.88032966852</v>
      </c>
      <c r="G17" s="17">
        <v>1574938.4336624146</v>
      </c>
      <c r="H17" s="17">
        <v>1691830.6493453979</v>
      </c>
      <c r="I17" s="17">
        <v>1473579.6780414581</v>
      </c>
      <c r="J17" s="17">
        <v>1730654.7878417969</v>
      </c>
      <c r="K17" s="17">
        <v>1700921.0450744629</v>
      </c>
      <c r="L17" s="17">
        <v>1621067.9536173344</v>
      </c>
      <c r="M17" s="17">
        <v>1710949.9745178223</v>
      </c>
      <c r="N17" s="17">
        <v>1642077.8342621326</v>
      </c>
      <c r="O17" s="17">
        <v>1705458.3518066406</v>
      </c>
      <c r="P17" s="17">
        <f t="shared" si="0"/>
        <v>17860794.499816</v>
      </c>
    </row>
    <row r="18" spans="2:18" ht="15" x14ac:dyDescent="0.25">
      <c r="B18" s="12" t="s">
        <v>25</v>
      </c>
      <c r="C18" s="13"/>
      <c r="D18" s="14">
        <v>5668958.3052101424</v>
      </c>
      <c r="E18" s="14">
        <v>4589558.762572838</v>
      </c>
      <c r="F18" s="14">
        <v>10368599.402813436</v>
      </c>
      <c r="G18" s="14">
        <v>9478330.3183154576</v>
      </c>
      <c r="H18" s="14">
        <v>7684071.7533622775</v>
      </c>
      <c r="I18" s="14">
        <v>7876124.0154026477</v>
      </c>
      <c r="J18" s="14">
        <v>8639929.5436766874</v>
      </c>
      <c r="K18" s="14">
        <v>9217096.9540214539</v>
      </c>
      <c r="L18" s="14">
        <v>8732804.9782139957</v>
      </c>
      <c r="M18" s="14">
        <v>9208287.9194034562</v>
      </c>
      <c r="N18" s="14">
        <v>8386307.3084238218</v>
      </c>
      <c r="O18" s="14">
        <v>4831890.6822398901</v>
      </c>
      <c r="P18" s="14">
        <f t="shared" si="0"/>
        <v>94681959.943656117</v>
      </c>
    </row>
    <row r="19" spans="2:18" x14ac:dyDescent="0.2">
      <c r="B19" s="15"/>
      <c r="C19" s="16" t="s">
        <v>20</v>
      </c>
      <c r="D19" s="17">
        <v>1319058.2376885978</v>
      </c>
      <c r="E19" s="17">
        <v>2173287.2462891741</v>
      </c>
      <c r="F19" s="17">
        <v>3434396.7805164112</v>
      </c>
      <c r="G19" s="17">
        <v>2950444.8481375789</v>
      </c>
      <c r="H19" s="17">
        <v>2098264.1312618256</v>
      </c>
      <c r="I19" s="17">
        <v>2602179.7799341665</v>
      </c>
      <c r="J19" s="17">
        <v>2867984.857709242</v>
      </c>
      <c r="K19" s="17">
        <v>3054538.8935890198</v>
      </c>
      <c r="L19" s="17">
        <v>2871344.3544929475</v>
      </c>
      <c r="M19" s="17">
        <v>3093104.1641363534</v>
      </c>
      <c r="N19" s="17">
        <v>2311407.7116428167</v>
      </c>
      <c r="O19" s="17">
        <v>594983.84887125657</v>
      </c>
      <c r="P19" s="17">
        <f t="shared" si="0"/>
        <v>29370994.854269389</v>
      </c>
    </row>
    <row r="20" spans="2:18" x14ac:dyDescent="0.2">
      <c r="B20" s="15"/>
      <c r="C20" s="16" t="s">
        <v>21</v>
      </c>
      <c r="D20" s="17">
        <v>2104557.9123692773</v>
      </c>
      <c r="E20" s="17">
        <v>1563615.3967677862</v>
      </c>
      <c r="F20" s="17">
        <v>3502857.809647806</v>
      </c>
      <c r="G20" s="17">
        <v>3265453.7944295639</v>
      </c>
      <c r="H20" s="17">
        <v>2828046.3077374548</v>
      </c>
      <c r="I20" s="17">
        <v>2663098.4702474475</v>
      </c>
      <c r="J20" s="17">
        <v>2902659.7577486038</v>
      </c>
      <c r="K20" s="17">
        <v>3089784.1932525635</v>
      </c>
      <c r="L20" s="17">
        <v>2932704.7449727808</v>
      </c>
      <c r="M20" s="17">
        <v>3051858.1135020866</v>
      </c>
      <c r="N20" s="17">
        <v>3042858.6911931066</v>
      </c>
      <c r="O20" s="17">
        <v>2135960.2100462136</v>
      </c>
      <c r="P20" s="17">
        <f t="shared" si="0"/>
        <v>33083455.40191469</v>
      </c>
    </row>
    <row r="21" spans="2:18" x14ac:dyDescent="0.2">
      <c r="B21" s="15"/>
      <c r="C21" s="16" t="s">
        <v>23</v>
      </c>
      <c r="D21" s="17">
        <v>2245342.1551522678</v>
      </c>
      <c r="E21" s="17">
        <v>852656.11951587768</v>
      </c>
      <c r="F21" s="17">
        <v>3431344.8126492198</v>
      </c>
      <c r="G21" s="17">
        <v>3262431.6757483147</v>
      </c>
      <c r="H21" s="17">
        <v>2757761.3143629977</v>
      </c>
      <c r="I21" s="17">
        <v>2610845.7652210342</v>
      </c>
      <c r="J21" s="17">
        <v>2869284.9282188416</v>
      </c>
      <c r="K21" s="17">
        <v>3072773.8671798706</v>
      </c>
      <c r="L21" s="17">
        <v>2928755.8787482679</v>
      </c>
      <c r="M21" s="17">
        <v>3063325.6417650175</v>
      </c>
      <c r="N21" s="17">
        <v>3032040.9055878986</v>
      </c>
      <c r="O21" s="17">
        <v>2100946.6233224198</v>
      </c>
      <c r="P21" s="17">
        <f t="shared" si="0"/>
        <v>32227509.687472031</v>
      </c>
    </row>
    <row r="22" spans="2:18" ht="15" x14ac:dyDescent="0.25">
      <c r="B22" s="12" t="s">
        <v>26</v>
      </c>
      <c r="C22" s="13"/>
      <c r="D22" s="14">
        <v>39618482.833230391</v>
      </c>
      <c r="E22" s="14">
        <v>39102116.138388753</v>
      </c>
      <c r="F22" s="14">
        <v>105491260.78385663</v>
      </c>
      <c r="G22" s="14">
        <v>80526830.714843988</v>
      </c>
      <c r="H22" s="14">
        <v>50251077.63166441</v>
      </c>
      <c r="I22" s="14">
        <v>49541405.805029929</v>
      </c>
      <c r="J22" s="14">
        <v>52971106.137058914</v>
      </c>
      <c r="K22" s="14">
        <v>56533411.631859481</v>
      </c>
      <c r="L22" s="14">
        <v>54709925.384155571</v>
      </c>
      <c r="M22" s="14">
        <v>56977631.290992111</v>
      </c>
      <c r="N22" s="14">
        <v>55139521.376684733</v>
      </c>
      <c r="O22" s="14">
        <v>56533691.402328491</v>
      </c>
      <c r="P22" s="14">
        <f t="shared" si="0"/>
        <v>697396461.13009346</v>
      </c>
    </row>
    <row r="23" spans="2:18" x14ac:dyDescent="0.2">
      <c r="B23" s="15"/>
      <c r="C23" s="16" t="s">
        <v>20</v>
      </c>
      <c r="D23" s="17">
        <v>17841637.166756868</v>
      </c>
      <c r="E23" s="17">
        <v>18422870.203989029</v>
      </c>
      <c r="F23" s="17">
        <v>35255311.744140625</v>
      </c>
      <c r="G23" s="17">
        <v>29004465.556512356</v>
      </c>
      <c r="H23" s="17">
        <v>15752750.26727128</v>
      </c>
      <c r="I23" s="17">
        <v>17971990.385597229</v>
      </c>
      <c r="J23" s="17">
        <v>19401520.997730732</v>
      </c>
      <c r="K23" s="17">
        <v>23382968.346500397</v>
      </c>
      <c r="L23" s="17">
        <v>13475379.592140824</v>
      </c>
      <c r="M23" s="17">
        <v>15820669.881896496</v>
      </c>
      <c r="N23" s="17">
        <v>24974563.21839752</v>
      </c>
      <c r="O23" s="17">
        <v>20007008.798824787</v>
      </c>
      <c r="P23" s="17">
        <f t="shared" si="0"/>
        <v>251311136.15975815</v>
      </c>
    </row>
    <row r="24" spans="2:18" x14ac:dyDescent="0.2">
      <c r="B24" s="15"/>
      <c r="C24" s="16" t="s">
        <v>21</v>
      </c>
      <c r="D24" s="17">
        <v>8568709.013206616</v>
      </c>
      <c r="E24" s="17">
        <v>9851014.6719055176</v>
      </c>
      <c r="F24" s="17">
        <v>35033676.549926758</v>
      </c>
      <c r="G24" s="17">
        <v>23147594.844671965</v>
      </c>
      <c r="H24" s="17">
        <v>16961983.300759453</v>
      </c>
      <c r="I24" s="17">
        <v>16714583.619103432</v>
      </c>
      <c r="J24" s="17">
        <v>14546000.35223037</v>
      </c>
      <c r="K24" s="17">
        <v>16982367.158165812</v>
      </c>
      <c r="L24" s="17">
        <v>18924828.508100182</v>
      </c>
      <c r="M24" s="17">
        <v>23671169.262486309</v>
      </c>
      <c r="N24" s="17">
        <v>7873198.2255479544</v>
      </c>
      <c r="O24" s="17">
        <v>22962143.788848877</v>
      </c>
      <c r="P24" s="17">
        <f t="shared" si="0"/>
        <v>215237269.29495323</v>
      </c>
    </row>
    <row r="25" spans="2:18" x14ac:dyDescent="0.2">
      <c r="B25" s="15"/>
      <c r="C25" s="16" t="s">
        <v>23</v>
      </c>
      <c r="D25" s="17">
        <v>13208136.653266907</v>
      </c>
      <c r="E25" s="17">
        <v>10828231.262494206</v>
      </c>
      <c r="F25" s="17">
        <v>35202272.489789248</v>
      </c>
      <c r="G25" s="17">
        <v>28374770.313659668</v>
      </c>
      <c r="H25" s="17">
        <v>17536344.06363368</v>
      </c>
      <c r="I25" s="17">
        <v>14854831.800329268</v>
      </c>
      <c r="J25" s="17">
        <v>19023584.787097812</v>
      </c>
      <c r="K25" s="17">
        <v>16168076.127193272</v>
      </c>
      <c r="L25" s="17">
        <v>22309717.283914566</v>
      </c>
      <c r="M25" s="17">
        <v>17485792.146609306</v>
      </c>
      <c r="N25" s="17">
        <v>22291759.932739258</v>
      </c>
      <c r="O25" s="17">
        <v>13564538.814654827</v>
      </c>
      <c r="P25" s="17">
        <f t="shared" si="0"/>
        <v>230848055.67538202</v>
      </c>
    </row>
    <row r="26" spans="2:18" ht="15" x14ac:dyDescent="0.25">
      <c r="B26" s="12" t="s">
        <v>27</v>
      </c>
      <c r="C26" s="13"/>
      <c r="D26" s="14">
        <v>3421418.4920940399</v>
      </c>
      <c r="E26" s="14">
        <v>2501181.369899367</v>
      </c>
      <c r="F26" s="14">
        <v>6048954.5388031006</v>
      </c>
      <c r="G26" s="14">
        <v>5559314.3736362457</v>
      </c>
      <c r="H26" s="14">
        <v>4620746.581307834</v>
      </c>
      <c r="I26" s="14">
        <v>4738568.9890530156</v>
      </c>
      <c r="J26" s="14">
        <v>5138664.2664544713</v>
      </c>
      <c r="K26" s="14">
        <v>4264153.884270886</v>
      </c>
      <c r="L26" s="14">
        <v>0</v>
      </c>
      <c r="M26" s="14">
        <v>0</v>
      </c>
      <c r="N26" s="14">
        <v>0</v>
      </c>
      <c r="O26" s="14">
        <v>3043593.9480412891</v>
      </c>
      <c r="P26" s="14">
        <f t="shared" si="0"/>
        <v>39336596.443560243</v>
      </c>
    </row>
    <row r="27" spans="2:18" x14ac:dyDescent="0.2">
      <c r="B27" s="15"/>
      <c r="C27" s="16" t="s">
        <v>20</v>
      </c>
      <c r="D27" s="17">
        <v>3421418.4920940399</v>
      </c>
      <c r="E27" s="17">
        <v>2501181.369899367</v>
      </c>
      <c r="F27" s="17">
        <v>6048954.5388031006</v>
      </c>
      <c r="G27" s="17">
        <v>5559314.3736362457</v>
      </c>
      <c r="H27" s="17">
        <v>4620746.581307834</v>
      </c>
      <c r="I27" s="17">
        <v>4738568.9890530156</v>
      </c>
      <c r="J27" s="17">
        <v>5138664.2664544713</v>
      </c>
      <c r="K27" s="17">
        <v>4264153.884270886</v>
      </c>
      <c r="L27" s="17">
        <v>0</v>
      </c>
      <c r="M27" s="17">
        <v>0</v>
      </c>
      <c r="N27" s="17">
        <v>0</v>
      </c>
      <c r="O27" s="17">
        <v>3043593.9480412891</v>
      </c>
      <c r="P27" s="17">
        <f t="shared" si="0"/>
        <v>39336596.443560243</v>
      </c>
      <c r="R27" s="18"/>
    </row>
    <row r="28" spans="2:18" ht="15" x14ac:dyDescent="0.25">
      <c r="B28" s="19" t="s">
        <v>28</v>
      </c>
      <c r="C28" s="20"/>
      <c r="D28" s="11">
        <v>35130.200664520264</v>
      </c>
      <c r="E28" s="11">
        <v>59090.877063522581</v>
      </c>
      <c r="F28" s="11">
        <v>38062.149368286133</v>
      </c>
      <c r="G28" s="11">
        <v>53205.307704292238</v>
      </c>
      <c r="H28" s="11">
        <v>16660.364700317383</v>
      </c>
      <c r="I28" s="11">
        <v>67907.766894047672</v>
      </c>
      <c r="J28" s="11">
        <v>76586.324864864349</v>
      </c>
      <c r="K28" s="11">
        <v>22778.220776081085</v>
      </c>
      <c r="L28" s="11">
        <v>111454.62552642822</v>
      </c>
      <c r="M28" s="11">
        <v>60963.864105701447</v>
      </c>
      <c r="N28" s="11">
        <v>20306.738502502441</v>
      </c>
      <c r="O28" s="11">
        <v>85216.46280670166</v>
      </c>
      <c r="P28" s="11">
        <f t="shared" si="0"/>
        <v>647362.90297726542</v>
      </c>
    </row>
    <row r="29" spans="2:18" ht="15" x14ac:dyDescent="0.25">
      <c r="B29" s="12" t="s">
        <v>29</v>
      </c>
      <c r="C29" s="13"/>
      <c r="D29" s="14">
        <v>10345.421070098877</v>
      </c>
      <c r="E29" s="14">
        <v>14864.288920044899</v>
      </c>
      <c r="F29" s="14">
        <v>38062.149368286133</v>
      </c>
      <c r="G29" s="14">
        <v>27024.448607765138</v>
      </c>
      <c r="H29" s="14">
        <v>16660.364700317383</v>
      </c>
      <c r="I29" s="14">
        <v>34539.371302311833</v>
      </c>
      <c r="J29" s="14">
        <v>14925.2216796875</v>
      </c>
      <c r="K29" s="14">
        <v>15538.585400104523</v>
      </c>
      <c r="L29" s="14">
        <v>29915.137702941895</v>
      </c>
      <c r="M29" s="14">
        <v>31134.083964347839</v>
      </c>
      <c r="N29" s="14">
        <v>0</v>
      </c>
      <c r="O29" s="14">
        <v>65633.306915283203</v>
      </c>
      <c r="P29" s="14">
        <f t="shared" si="0"/>
        <v>298642.37963118922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f t="shared" si="0"/>
        <v>0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f t="shared" si="0"/>
        <v>0</v>
      </c>
    </row>
    <row r="33" spans="2:16" x14ac:dyDescent="0.2">
      <c r="B33" s="15"/>
      <c r="C33" s="16" t="s">
        <v>33</v>
      </c>
      <c r="D33" s="17">
        <v>0</v>
      </c>
      <c r="E33" s="17">
        <v>3356.7107238769531</v>
      </c>
      <c r="F33" s="17">
        <v>27310.176452636719</v>
      </c>
      <c r="G33" s="17">
        <v>2233.7345581054688</v>
      </c>
      <c r="H33" s="17">
        <v>1820.708251953125</v>
      </c>
      <c r="I33" s="17">
        <v>27936.585601806641</v>
      </c>
      <c r="J33" s="17">
        <v>0</v>
      </c>
      <c r="K33" s="17">
        <v>0</v>
      </c>
      <c r="L33" s="17">
        <v>29915.137702941895</v>
      </c>
      <c r="M33" s="17">
        <v>10262.991961479187</v>
      </c>
      <c r="N33" s="17">
        <v>0</v>
      </c>
      <c r="O33" s="17">
        <v>31312.357604980469</v>
      </c>
      <c r="P33" s="17">
        <f t="shared" si="0"/>
        <v>134148.40285778046</v>
      </c>
    </row>
    <row r="34" spans="2:16" x14ac:dyDescent="0.2">
      <c r="B34" s="15"/>
      <c r="C34" s="16" t="s">
        <v>34</v>
      </c>
      <c r="D34" s="17">
        <v>2407.182014465332</v>
      </c>
      <c r="E34" s="17">
        <v>11507.578196167946</v>
      </c>
      <c r="F34" s="17">
        <v>0</v>
      </c>
      <c r="G34" s="17">
        <v>6529.615421295166</v>
      </c>
      <c r="H34" s="17">
        <v>14839.656448364258</v>
      </c>
      <c r="I34" s="17">
        <v>3209.4371118581621</v>
      </c>
      <c r="J34" s="17">
        <v>14925.2216796875</v>
      </c>
      <c r="K34" s="17">
        <v>13946.024067401886</v>
      </c>
      <c r="L34" s="17">
        <v>0</v>
      </c>
      <c r="M34" s="17">
        <v>9407.9919700622559</v>
      </c>
      <c r="N34" s="17">
        <v>0</v>
      </c>
      <c r="O34" s="17">
        <v>20030.082138061523</v>
      </c>
      <c r="P34" s="17">
        <f t="shared" si="0"/>
        <v>96802.789047364029</v>
      </c>
    </row>
    <row r="35" spans="2:16" x14ac:dyDescent="0.2">
      <c r="B35" s="15"/>
      <c r="C35" s="16" t="s">
        <v>35</v>
      </c>
      <c r="D35" s="17">
        <v>7938.2390556335449</v>
      </c>
      <c r="E35" s="17">
        <v>0</v>
      </c>
      <c r="F35" s="17">
        <v>10751.972915649414</v>
      </c>
      <c r="G35" s="17">
        <v>18261.098628364503</v>
      </c>
      <c r="H35" s="17">
        <v>0</v>
      </c>
      <c r="I35" s="17">
        <v>3393.3485886470298</v>
      </c>
      <c r="J35" s="17">
        <v>0</v>
      </c>
      <c r="K35" s="17">
        <v>1592.5613327026367</v>
      </c>
      <c r="L35" s="17">
        <v>0</v>
      </c>
      <c r="M35" s="17">
        <v>11463.100032806396</v>
      </c>
      <c r="N35" s="17">
        <v>0</v>
      </c>
      <c r="O35" s="17">
        <v>14290.867172241211</v>
      </c>
      <c r="P35" s="17">
        <f t="shared" si="0"/>
        <v>67691.187726044736</v>
      </c>
    </row>
    <row r="36" spans="2:16" ht="15" x14ac:dyDescent="0.25">
      <c r="B36" s="12" t="s">
        <v>36</v>
      </c>
      <c r="C36" s="13"/>
      <c r="D36" s="14">
        <v>24784.779594421387</v>
      </c>
      <c r="E36" s="14">
        <v>44226.588143477682</v>
      </c>
      <c r="F36" s="14">
        <v>0</v>
      </c>
      <c r="G36" s="14">
        <v>26180.8590965271</v>
      </c>
      <c r="H36" s="14">
        <v>0</v>
      </c>
      <c r="I36" s="14">
        <v>33368.39559173584</v>
      </c>
      <c r="J36" s="14">
        <v>61661.103185176849</v>
      </c>
      <c r="K36" s="14">
        <v>7239.6353759765625</v>
      </c>
      <c r="L36" s="14">
        <v>81539.487823486328</v>
      </c>
      <c r="M36" s="14">
        <v>29829.780141353607</v>
      </c>
      <c r="N36" s="14">
        <v>20306.738502502441</v>
      </c>
      <c r="O36" s="14">
        <v>19583.155891418457</v>
      </c>
      <c r="P36" s="14">
        <f t="shared" si="0"/>
        <v>348720.52334607625</v>
      </c>
    </row>
    <row r="37" spans="2:16" x14ac:dyDescent="0.2">
      <c r="B37" s="15"/>
      <c r="C37" s="16" t="s">
        <v>37</v>
      </c>
      <c r="D37" s="17">
        <v>11988.429016113281</v>
      </c>
      <c r="E37" s="17">
        <v>14869.827055489644</v>
      </c>
      <c r="F37" s="17">
        <v>0</v>
      </c>
      <c r="G37" s="17">
        <v>9012.7334136962891</v>
      </c>
      <c r="H37" s="17">
        <v>0</v>
      </c>
      <c r="I37" s="17">
        <v>11743.651527404785</v>
      </c>
      <c r="J37" s="17">
        <v>13927.684898376465</v>
      </c>
      <c r="K37" s="17">
        <v>0</v>
      </c>
      <c r="L37" s="17">
        <v>23550.007953643799</v>
      </c>
      <c r="M37" s="17">
        <v>8314.8702597618103</v>
      </c>
      <c r="N37" s="17">
        <v>20306.738502502441</v>
      </c>
      <c r="O37" s="17">
        <v>0</v>
      </c>
      <c r="P37" s="17">
        <f t="shared" si="0"/>
        <v>113713.94262698852</v>
      </c>
    </row>
    <row r="38" spans="2:16" x14ac:dyDescent="0.2">
      <c r="B38" s="15"/>
      <c r="C38" s="16" t="s">
        <v>38</v>
      </c>
      <c r="D38" s="17">
        <v>7277.2169723510742</v>
      </c>
      <c r="E38" s="17">
        <v>14761.094065282959</v>
      </c>
      <c r="F38" s="17">
        <v>0</v>
      </c>
      <c r="G38" s="17">
        <v>10620.002819061279</v>
      </c>
      <c r="H38" s="17">
        <v>0</v>
      </c>
      <c r="I38" s="17">
        <v>10620.690368652344</v>
      </c>
      <c r="J38" s="17">
        <v>34398.795059204102</v>
      </c>
      <c r="K38" s="17">
        <v>0</v>
      </c>
      <c r="L38" s="17">
        <v>41796.970539093018</v>
      </c>
      <c r="M38" s="17">
        <v>8695.1559143066406</v>
      </c>
      <c r="N38" s="17">
        <v>0</v>
      </c>
      <c r="O38" s="17">
        <v>0</v>
      </c>
      <c r="P38" s="17">
        <f t="shared" si="0"/>
        <v>128169.92573795142</v>
      </c>
    </row>
    <row r="39" spans="2:16" x14ac:dyDescent="0.2">
      <c r="B39" s="15"/>
      <c r="C39" s="16" t="s">
        <v>39</v>
      </c>
      <c r="D39" s="17">
        <v>5519.1336059570313</v>
      </c>
      <c r="E39" s="17">
        <v>14595.667022705078</v>
      </c>
      <c r="F39" s="17">
        <v>0</v>
      </c>
      <c r="G39" s="17">
        <v>6548.1228637695313</v>
      </c>
      <c r="H39" s="17">
        <v>0</v>
      </c>
      <c r="I39" s="17">
        <v>11004.053695678711</v>
      </c>
      <c r="J39" s="17">
        <v>13334.623227596283</v>
      </c>
      <c r="K39" s="17">
        <v>7239.6353759765625</v>
      </c>
      <c r="L39" s="17">
        <v>16192.509330749512</v>
      </c>
      <c r="M39" s="17">
        <v>12819.753967285156</v>
      </c>
      <c r="N39" s="17">
        <v>0</v>
      </c>
      <c r="O39" s="17">
        <v>19583.155891418457</v>
      </c>
      <c r="P39" s="17">
        <f t="shared" si="0"/>
        <v>106836.65498113632</v>
      </c>
    </row>
    <row r="40" spans="2:16" ht="15" x14ac:dyDescent="0.25">
      <c r="B40" s="12" t="s">
        <v>40</v>
      </c>
      <c r="C40" s="13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f t="shared" si="0"/>
        <v>0</v>
      </c>
    </row>
    <row r="41" spans="2:16" x14ac:dyDescent="0.2">
      <c r="B41" s="15"/>
      <c r="C41" s="16" t="s">
        <v>41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f t="shared" si="0"/>
        <v>0</v>
      </c>
    </row>
    <row r="42" spans="2:16" x14ac:dyDescent="0.2">
      <c r="B42" s="15"/>
      <c r="C42" s="16" t="s">
        <v>42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f t="shared" si="0"/>
        <v>0</v>
      </c>
    </row>
    <row r="43" spans="2:16" ht="15" x14ac:dyDescent="0.25">
      <c r="B43" s="19" t="s">
        <v>43</v>
      </c>
      <c r="C43" s="20"/>
      <c r="D43" s="11">
        <v>52876525.167707697</v>
      </c>
      <c r="E43" s="11">
        <v>48521330.994854733</v>
      </c>
      <c r="F43" s="11">
        <v>125468490.64549926</v>
      </c>
      <c r="G43" s="11">
        <v>100360565.12310985</v>
      </c>
      <c r="H43" s="11">
        <v>67409191.960984319</v>
      </c>
      <c r="I43" s="11">
        <v>66634551.61618045</v>
      </c>
      <c r="J43" s="11">
        <v>71897440.941362649</v>
      </c>
      <c r="K43" s="11">
        <v>75047343.064967841</v>
      </c>
      <c r="L43" s="11">
        <v>68289928.43967852</v>
      </c>
      <c r="M43" s="11">
        <v>71206493.039539441</v>
      </c>
      <c r="N43" s="11">
        <v>68202783.484474212</v>
      </c>
      <c r="O43" s="11">
        <v>69435506.433108121</v>
      </c>
      <c r="P43" s="11">
        <f t="shared" si="0"/>
        <v>885350150.91146708</v>
      </c>
    </row>
  </sheetData>
  <printOptions horizontalCentered="1"/>
  <pageMargins left="0.59055118110236227" right="0.59055118110236227" top="0.98425196850393704" bottom="1" header="0" footer="0"/>
  <pageSetup scale="42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7F61-6A0F-4393-A26A-E765EE402118}">
  <sheetPr>
    <pageSetUpPr fitToPage="1"/>
  </sheetPr>
  <dimension ref="A1:R45"/>
  <sheetViews>
    <sheetView tabSelected="1" zoomScale="70" zoomScaleNormal="70" workbookViewId="0">
      <pane xSplit="3" ySplit="9" topLeftCell="D10" activePane="bottomRight" state="frozen"/>
      <selection pane="topRight" activeCell="J45" sqref="J45"/>
      <selection pane="bottomLeft" activeCell="J45" sqref="J45"/>
      <selection pane="bottomRight" activeCell="J48" sqref="J48"/>
    </sheetView>
  </sheetViews>
  <sheetFormatPr baseColWidth="10" defaultColWidth="11.42578125" defaultRowHeight="14.25" x14ac:dyDescent="0.2"/>
  <cols>
    <col min="1" max="1" width="9.7109375" style="1" customWidth="1"/>
    <col min="2" max="2" width="3.28515625" style="1" customWidth="1"/>
    <col min="3" max="3" width="20.7109375" style="1" bestFit="1" customWidth="1"/>
    <col min="4" max="15" width="20.7109375" style="1" customWidth="1"/>
    <col min="16" max="16" width="25.140625" style="1" customWidth="1"/>
    <col min="17" max="17" width="11.42578125" style="1"/>
    <col min="18" max="18" width="12" style="1" bestFit="1" customWidth="1"/>
    <col min="19" max="16384" width="11.42578125" style="1"/>
  </cols>
  <sheetData>
    <row r="1" spans="1:16" x14ac:dyDescent="0.2">
      <c r="A1" s="1" t="s">
        <v>0</v>
      </c>
    </row>
    <row r="2" spans="1:16" ht="15.75" x14ac:dyDescent="0.25">
      <c r="B2" s="2" t="s">
        <v>58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x14ac:dyDescent="0.25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x14ac:dyDescent="0.25">
      <c r="B5" s="6" t="s">
        <v>3</v>
      </c>
      <c r="C5" s="6"/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</row>
    <row r="6" spans="1:16" ht="15" x14ac:dyDescent="0.25">
      <c r="B6" s="7"/>
      <c r="C6" s="8"/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15" x14ac:dyDescent="0.25">
      <c r="B7" s="9" t="s">
        <v>18</v>
      </c>
      <c r="C7" s="10"/>
      <c r="D7" s="11">
        <v>62636766.069076024</v>
      </c>
      <c r="E7" s="11">
        <v>79349593.14558658</v>
      </c>
      <c r="F7" s="11">
        <v>117976195.35805157</v>
      </c>
      <c r="G7" s="11">
        <v>107032100.19203821</v>
      </c>
      <c r="H7" s="11">
        <v>69180174.080950424</v>
      </c>
      <c r="I7" s="11">
        <v>68135010.231016427</v>
      </c>
      <c r="J7" s="11">
        <v>69523859.858195037</v>
      </c>
      <c r="K7" s="11">
        <v>71714070.399842486</v>
      </c>
      <c r="L7" s="11">
        <v>72195330.525175914</v>
      </c>
      <c r="M7" s="11">
        <v>72984249.165584087</v>
      </c>
      <c r="N7" s="11">
        <v>70417114.670916691</v>
      </c>
      <c r="O7" s="11"/>
      <c r="P7" s="11">
        <f t="shared" ref="P7:P43" si="0">SUM(D7:O7)</f>
        <v>861144463.69643354</v>
      </c>
    </row>
    <row r="8" spans="1:16" ht="15" x14ac:dyDescent="0.25">
      <c r="B8" s="12" t="s">
        <v>19</v>
      </c>
      <c r="C8" s="13"/>
      <c r="D8" s="14">
        <v>1071480.1257123947</v>
      </c>
      <c r="E8" s="14">
        <v>641483.5434314789</v>
      </c>
      <c r="F8" s="14">
        <v>1070944.1155992746</v>
      </c>
      <c r="G8" s="14">
        <v>1112831.7803524989</v>
      </c>
      <c r="H8" s="14">
        <v>1111455.2526048422</v>
      </c>
      <c r="I8" s="14">
        <v>1179116.3690490723</v>
      </c>
      <c r="J8" s="14">
        <v>1227395.2107833361</v>
      </c>
      <c r="K8" s="14">
        <v>1234016.0851449966</v>
      </c>
      <c r="L8" s="14">
        <v>1098952.6686256987</v>
      </c>
      <c r="M8" s="14">
        <v>1196432.9496154785</v>
      </c>
      <c r="N8" s="14">
        <v>1109514.0981475115</v>
      </c>
      <c r="O8" s="14"/>
      <c r="P8" s="14">
        <f t="shared" si="0"/>
        <v>12053622.199066585</v>
      </c>
    </row>
    <row r="9" spans="1:16" x14ac:dyDescent="0.2">
      <c r="B9" s="15"/>
      <c r="C9" s="16" t="s">
        <v>20</v>
      </c>
      <c r="D9" s="17">
        <v>534884.24293518066</v>
      </c>
      <c r="E9" s="17">
        <v>311557.73150753137</v>
      </c>
      <c r="F9" s="17">
        <v>532787.45394766331</v>
      </c>
      <c r="G9" s="17">
        <v>556675.27823963331</v>
      </c>
      <c r="H9" s="17">
        <v>556882.51705932617</v>
      </c>
      <c r="I9" s="17">
        <v>590274.50988769531</v>
      </c>
      <c r="J9" s="17">
        <v>611476.54829249135</v>
      </c>
      <c r="K9" s="17">
        <v>620719.56495666504</v>
      </c>
      <c r="L9" s="17">
        <v>548986.88812186755</v>
      </c>
      <c r="M9" s="17">
        <v>600760.20429992676</v>
      </c>
      <c r="N9" s="17">
        <v>561237.21524143219</v>
      </c>
      <c r="O9" s="17"/>
      <c r="P9" s="17">
        <f t="shared" si="0"/>
        <v>6026242.1544894129</v>
      </c>
    </row>
    <row r="10" spans="1:16" x14ac:dyDescent="0.2">
      <c r="B10" s="15"/>
      <c r="C10" s="16" t="s">
        <v>21</v>
      </c>
      <c r="D10" s="17">
        <v>536595.88277721405</v>
      </c>
      <c r="E10" s="17">
        <v>329925.81192394753</v>
      </c>
      <c r="F10" s="17">
        <v>538156.66165161133</v>
      </c>
      <c r="G10" s="17">
        <v>556156.50211286545</v>
      </c>
      <c r="H10" s="17">
        <v>554572.73554551601</v>
      </c>
      <c r="I10" s="17">
        <v>588841.85916137695</v>
      </c>
      <c r="J10" s="17">
        <v>615918.66249084473</v>
      </c>
      <c r="K10" s="17">
        <v>613296.5201883316</v>
      </c>
      <c r="L10" s="17">
        <v>549965.78050383111</v>
      </c>
      <c r="M10" s="17">
        <v>595672.74531555176</v>
      </c>
      <c r="N10" s="17">
        <v>548276.88290607929</v>
      </c>
      <c r="O10" s="17"/>
      <c r="P10" s="17">
        <f t="shared" si="0"/>
        <v>6027380.0445771692</v>
      </c>
    </row>
    <row r="11" spans="1:16" ht="15" x14ac:dyDescent="0.25">
      <c r="B11" s="12" t="s">
        <v>22</v>
      </c>
      <c r="C11" s="13"/>
      <c r="D11" s="14">
        <v>404074.46083474159</v>
      </c>
      <c r="E11" s="14">
        <v>240093.58940844596</v>
      </c>
      <c r="F11" s="14">
        <v>307685.1254018356</v>
      </c>
      <c r="G11" s="14">
        <v>289892.99666596029</v>
      </c>
      <c r="H11" s="14">
        <v>401218.18551334739</v>
      </c>
      <c r="I11" s="14">
        <v>392731.66775226465</v>
      </c>
      <c r="J11" s="14">
        <v>412363.09768211917</v>
      </c>
      <c r="K11" s="14">
        <v>415959.92740681639</v>
      </c>
      <c r="L11" s="14">
        <v>397441.16822347045</v>
      </c>
      <c r="M11" s="14">
        <v>414965.36869551829</v>
      </c>
      <c r="N11" s="14">
        <v>397447.56723966834</v>
      </c>
      <c r="O11" s="14"/>
      <c r="P11" s="14">
        <f t="shared" si="0"/>
        <v>4073873.154824188</v>
      </c>
    </row>
    <row r="12" spans="1:16" x14ac:dyDescent="0.2">
      <c r="B12" s="15"/>
      <c r="C12" s="16" t="s">
        <v>20</v>
      </c>
      <c r="D12" s="17">
        <v>141615.64778614044</v>
      </c>
      <c r="E12" s="17">
        <v>94888.72036256791</v>
      </c>
      <c r="F12" s="17">
        <v>139611.00143982447</v>
      </c>
      <c r="G12" s="17">
        <v>130029.55862191319</v>
      </c>
      <c r="H12" s="17">
        <v>145575.21377849579</v>
      </c>
      <c r="I12" s="17">
        <v>143096.91361045837</v>
      </c>
      <c r="J12" s="17">
        <v>148355.41205407042</v>
      </c>
      <c r="K12" s="17">
        <v>149030.33989265436</v>
      </c>
      <c r="L12" s="17">
        <v>141719.16956850886</v>
      </c>
      <c r="M12" s="17">
        <v>147885.4983885496</v>
      </c>
      <c r="N12" s="17">
        <v>140073.96978982911</v>
      </c>
      <c r="O12" s="17"/>
      <c r="P12" s="17">
        <f t="shared" si="0"/>
        <v>1521881.4452930125</v>
      </c>
    </row>
    <row r="13" spans="1:16" x14ac:dyDescent="0.2">
      <c r="B13" s="15"/>
      <c r="C13" s="16" t="s">
        <v>21</v>
      </c>
      <c r="D13" s="17">
        <v>121620.29046750069</v>
      </c>
      <c r="E13" s="17">
        <v>51211.064045130021</v>
      </c>
      <c r="F13" s="17">
        <v>30576.490169850618</v>
      </c>
      <c r="G13" s="17">
        <v>42185.618650821045</v>
      </c>
      <c r="H13" s="17">
        <v>113972.79972359538</v>
      </c>
      <c r="I13" s="17">
        <v>110306.27785256255</v>
      </c>
      <c r="J13" s="17">
        <v>118215.78760433197</v>
      </c>
      <c r="K13" s="17">
        <v>118591.69285583496</v>
      </c>
      <c r="L13" s="17">
        <v>114084.44489097595</v>
      </c>
      <c r="M13" s="17">
        <v>119218.06626319885</v>
      </c>
      <c r="N13" s="17">
        <v>114538.96296507135</v>
      </c>
      <c r="O13" s="17"/>
      <c r="P13" s="17">
        <f t="shared" si="0"/>
        <v>1054521.4954888735</v>
      </c>
    </row>
    <row r="14" spans="1:16" x14ac:dyDescent="0.2">
      <c r="B14" s="15"/>
      <c r="C14" s="16" t="s">
        <v>23</v>
      </c>
      <c r="D14" s="17">
        <v>140838.52258110046</v>
      </c>
      <c r="E14" s="17">
        <v>93993.80500074802</v>
      </c>
      <c r="F14" s="17">
        <v>137497.63379216049</v>
      </c>
      <c r="G14" s="17">
        <v>117677.81939322603</v>
      </c>
      <c r="H14" s="17">
        <v>141670.17201125622</v>
      </c>
      <c r="I14" s="17">
        <v>139328.47628924376</v>
      </c>
      <c r="J14" s="17">
        <v>145791.89802371681</v>
      </c>
      <c r="K14" s="17">
        <v>148337.8946583271</v>
      </c>
      <c r="L14" s="17">
        <v>141637.55376398563</v>
      </c>
      <c r="M14" s="17">
        <v>147861.80404376984</v>
      </c>
      <c r="N14" s="17">
        <v>142834.63448476791</v>
      </c>
      <c r="O14" s="17"/>
      <c r="P14" s="17">
        <f t="shared" si="0"/>
        <v>1497470.2140423022</v>
      </c>
    </row>
    <row r="15" spans="1:16" ht="15" x14ac:dyDescent="0.25">
      <c r="B15" s="12" t="s">
        <v>24</v>
      </c>
      <c r="C15" s="13"/>
      <c r="D15" s="14">
        <v>3247143.6416816711</v>
      </c>
      <c r="E15" s="14">
        <v>1937082.4618477523</v>
      </c>
      <c r="F15" s="14">
        <v>3152951.0521995425</v>
      </c>
      <c r="G15" s="14">
        <v>3217727.685951829</v>
      </c>
      <c r="H15" s="14">
        <v>3250223.1558488607</v>
      </c>
      <c r="I15" s="14">
        <v>3316919.8746948242</v>
      </c>
      <c r="J15" s="14">
        <v>3342757.7209835052</v>
      </c>
      <c r="K15" s="14">
        <v>3460353.8351020813</v>
      </c>
      <c r="L15" s="14">
        <v>3253466.792140007</v>
      </c>
      <c r="M15" s="14">
        <v>3469143.8617248535</v>
      </c>
      <c r="N15" s="14">
        <v>3236668.688128233</v>
      </c>
      <c r="O15" s="14"/>
      <c r="P15" s="14">
        <f t="shared" si="0"/>
        <v>34884438.77030316</v>
      </c>
    </row>
    <row r="16" spans="1:16" x14ac:dyDescent="0.2">
      <c r="B16" s="15"/>
      <c r="C16" s="16" t="s">
        <v>20</v>
      </c>
      <c r="D16" s="17">
        <v>1558068.809513092</v>
      </c>
      <c r="E16" s="17">
        <v>987833.00345656276</v>
      </c>
      <c r="F16" s="17">
        <v>1503473.8184773922</v>
      </c>
      <c r="G16" s="17">
        <v>1581858.9092903137</v>
      </c>
      <c r="H16" s="17">
        <v>1580266.9909499884</v>
      </c>
      <c r="I16" s="17">
        <v>1646152.3006591797</v>
      </c>
      <c r="J16" s="17">
        <v>1632136.694311142</v>
      </c>
      <c r="K16" s="17">
        <v>1717936.6319274902</v>
      </c>
      <c r="L16" s="17">
        <v>1618220.0227704048</v>
      </c>
      <c r="M16" s="17">
        <v>1728801.6098937988</v>
      </c>
      <c r="N16" s="17">
        <v>1609058.4181182384</v>
      </c>
      <c r="O16" s="17"/>
      <c r="P16" s="17">
        <f t="shared" si="0"/>
        <v>17163807.209367603</v>
      </c>
    </row>
    <row r="17" spans="2:18" x14ac:dyDescent="0.2">
      <c r="B17" s="15"/>
      <c r="C17" s="16" t="s">
        <v>21</v>
      </c>
      <c r="D17" s="17">
        <v>1689074.8321685791</v>
      </c>
      <c r="E17" s="17">
        <v>949249.45839118958</v>
      </c>
      <c r="F17" s="17">
        <v>1649477.2337221503</v>
      </c>
      <c r="G17" s="17">
        <v>1635868.7766615152</v>
      </c>
      <c r="H17" s="17">
        <v>1669956.1648988724</v>
      </c>
      <c r="I17" s="17">
        <v>1670767.5740356445</v>
      </c>
      <c r="J17" s="17">
        <v>1710621.0266723633</v>
      </c>
      <c r="K17" s="17">
        <v>1742417.2031745911</v>
      </c>
      <c r="L17" s="17">
        <v>1635246.7693696022</v>
      </c>
      <c r="M17" s="17">
        <v>1740342.2518310547</v>
      </c>
      <c r="N17" s="17">
        <v>1627610.2700099945</v>
      </c>
      <c r="O17" s="17"/>
      <c r="P17" s="17">
        <f t="shared" si="0"/>
        <v>17720631.560935557</v>
      </c>
    </row>
    <row r="18" spans="2:18" ht="15" x14ac:dyDescent="0.25">
      <c r="B18" s="12" t="s">
        <v>25</v>
      </c>
      <c r="C18" s="13"/>
      <c r="D18" s="14">
        <v>4544381.8629291877</v>
      </c>
      <c r="E18" s="14">
        <v>268005.53014386806</v>
      </c>
      <c r="F18" s="14">
        <v>4915627.3986550812</v>
      </c>
      <c r="G18" s="14">
        <v>7198528.3932912182</v>
      </c>
      <c r="H18" s="14">
        <v>8175105.960348187</v>
      </c>
      <c r="I18" s="14">
        <v>8617993.8681294024</v>
      </c>
      <c r="J18" s="14">
        <v>8899995.8844158351</v>
      </c>
      <c r="K18" s="14">
        <v>9125214.2678133287</v>
      </c>
      <c r="L18" s="14">
        <v>9020468.8339353465</v>
      </c>
      <c r="M18" s="14">
        <v>9029901.3549556565</v>
      </c>
      <c r="N18" s="14">
        <v>8811321.2131629735</v>
      </c>
      <c r="O18" s="14"/>
      <c r="P18" s="14">
        <f t="shared" si="0"/>
        <v>78606544.567780092</v>
      </c>
    </row>
    <row r="19" spans="2:18" x14ac:dyDescent="0.2">
      <c r="B19" s="15"/>
      <c r="C19" s="16" t="s">
        <v>20</v>
      </c>
      <c r="D19" s="17">
        <v>1802021.0255344738</v>
      </c>
      <c r="E19" s="17">
        <v>27144.640475626955</v>
      </c>
      <c r="F19" s="17">
        <v>2086222.7091840047</v>
      </c>
      <c r="G19" s="17">
        <v>3515008.9850533698</v>
      </c>
      <c r="H19" s="17">
        <v>2695984.5196192083</v>
      </c>
      <c r="I19" s="17">
        <v>2867827.080729425</v>
      </c>
      <c r="J19" s="17">
        <v>2956062.2585598156</v>
      </c>
      <c r="K19" s="17">
        <v>3037218.8685852648</v>
      </c>
      <c r="L19" s="17">
        <v>2970826.248979304</v>
      </c>
      <c r="M19" s="17">
        <v>3021153.0222167969</v>
      </c>
      <c r="N19" s="17">
        <v>2956350.9666564316</v>
      </c>
      <c r="O19" s="17"/>
      <c r="P19" s="17">
        <f t="shared" si="0"/>
        <v>27935820.325593721</v>
      </c>
    </row>
    <row r="20" spans="2:18" x14ac:dyDescent="0.2">
      <c r="B20" s="15"/>
      <c r="C20" s="16" t="s">
        <v>21</v>
      </c>
      <c r="D20" s="17">
        <v>509466.46813201904</v>
      </c>
      <c r="E20" s="17">
        <v>0</v>
      </c>
      <c r="F20" s="17">
        <v>972733.53398769174</v>
      </c>
      <c r="G20" s="17">
        <v>3538131.9051174261</v>
      </c>
      <c r="H20" s="17">
        <v>2725974.2980544884</v>
      </c>
      <c r="I20" s="17">
        <v>2870170.7141806781</v>
      </c>
      <c r="J20" s="17">
        <v>2985137.6547546387</v>
      </c>
      <c r="K20" s="17">
        <v>3036708.3218965204</v>
      </c>
      <c r="L20" s="17">
        <v>3039839.4274548222</v>
      </c>
      <c r="M20" s="17">
        <v>2978403.2934932541</v>
      </c>
      <c r="N20" s="17">
        <v>2937403.3951028232</v>
      </c>
      <c r="O20" s="17"/>
      <c r="P20" s="17">
        <f t="shared" si="0"/>
        <v>25593969.01217436</v>
      </c>
    </row>
    <row r="21" spans="2:18" x14ac:dyDescent="0.2">
      <c r="B21" s="15"/>
      <c r="C21" s="16" t="s">
        <v>23</v>
      </c>
      <c r="D21" s="17">
        <v>2232894.3692626953</v>
      </c>
      <c r="E21" s="17">
        <v>240860.88966824114</v>
      </c>
      <c r="F21" s="17">
        <v>1856671.1554833846</v>
      </c>
      <c r="G21" s="17">
        <v>145387.50312042236</v>
      </c>
      <c r="H21" s="17">
        <v>2753147.1426744908</v>
      </c>
      <c r="I21" s="17">
        <v>2879996.0732192993</v>
      </c>
      <c r="J21" s="17">
        <v>2958795.9711013809</v>
      </c>
      <c r="K21" s="17">
        <v>3051287.077331543</v>
      </c>
      <c r="L21" s="17">
        <v>3009803.1575012207</v>
      </c>
      <c r="M21" s="17">
        <v>3030345.0392456055</v>
      </c>
      <c r="N21" s="17">
        <v>2917566.8514037183</v>
      </c>
      <c r="O21" s="17"/>
      <c r="P21" s="17">
        <f t="shared" si="0"/>
        <v>25076755.230012</v>
      </c>
    </row>
    <row r="22" spans="2:18" ht="15" x14ac:dyDescent="0.25">
      <c r="B22" s="12" t="s">
        <v>26</v>
      </c>
      <c r="C22" s="13"/>
      <c r="D22" s="14">
        <v>48993449.982387543</v>
      </c>
      <c r="E22" s="14">
        <v>73638445.548386097</v>
      </c>
      <c r="F22" s="14">
        <v>103348244.50420433</v>
      </c>
      <c r="G22" s="14">
        <v>89778412.216391891</v>
      </c>
      <c r="H22" s="14">
        <v>55201793.487043872</v>
      </c>
      <c r="I22" s="14">
        <v>54628248.451390862</v>
      </c>
      <c r="J22" s="14">
        <v>55641347.944330245</v>
      </c>
      <c r="K22" s="14">
        <v>57478526.284375265</v>
      </c>
      <c r="L22" s="14">
        <v>58425001.062251389</v>
      </c>
      <c r="M22" s="14">
        <v>58873805.630592585</v>
      </c>
      <c r="N22" s="14">
        <v>56862163.104238302</v>
      </c>
      <c r="O22" s="14"/>
      <c r="P22" s="14">
        <f t="shared" si="0"/>
        <v>712869438.21559238</v>
      </c>
    </row>
    <row r="23" spans="2:18" x14ac:dyDescent="0.2">
      <c r="B23" s="15"/>
      <c r="C23" s="16" t="s">
        <v>20</v>
      </c>
      <c r="D23" s="17">
        <v>20840171.096370697</v>
      </c>
      <c r="E23" s="17">
        <v>27218107.428998947</v>
      </c>
      <c r="F23" s="17">
        <v>34591053.588543773</v>
      </c>
      <c r="G23" s="17">
        <v>31179914.250212431</v>
      </c>
      <c r="H23" s="17">
        <v>18900081.610992908</v>
      </c>
      <c r="I23" s="17">
        <v>23741040.729949951</v>
      </c>
      <c r="J23" s="17">
        <v>23424402.499759845</v>
      </c>
      <c r="K23" s="17">
        <v>23977917.076972485</v>
      </c>
      <c r="L23" s="17">
        <v>24807412.994614005</v>
      </c>
      <c r="M23" s="17">
        <v>26283474.384122372</v>
      </c>
      <c r="N23" s="17">
        <v>24305349.817080498</v>
      </c>
      <c r="O23" s="17"/>
      <c r="P23" s="17">
        <f t="shared" si="0"/>
        <v>279268925.47761792</v>
      </c>
    </row>
    <row r="24" spans="2:18" x14ac:dyDescent="0.2">
      <c r="B24" s="15"/>
      <c r="C24" s="16" t="s">
        <v>21</v>
      </c>
      <c r="D24" s="17">
        <v>20313064.050889969</v>
      </c>
      <c r="E24" s="17">
        <v>20885217.039085865</v>
      </c>
      <c r="F24" s="17">
        <v>34696074.654077768</v>
      </c>
      <c r="G24" s="17">
        <v>31222243.86315918</v>
      </c>
      <c r="H24" s="17">
        <v>14368396.732023254</v>
      </c>
      <c r="I24" s="17">
        <v>7115386.9058750868</v>
      </c>
      <c r="J24" s="17">
        <v>12297710.97604022</v>
      </c>
      <c r="K24" s="17">
        <v>13622715.672826368</v>
      </c>
      <c r="L24" s="17">
        <v>8523785.5745534301</v>
      </c>
      <c r="M24" s="17">
        <v>6067117.3354136944</v>
      </c>
      <c r="N24" s="17">
        <v>9872258.0764034092</v>
      </c>
      <c r="O24" s="17"/>
      <c r="P24" s="17">
        <f t="shared" si="0"/>
        <v>178983970.88034827</v>
      </c>
    </row>
    <row r="25" spans="2:18" x14ac:dyDescent="0.2">
      <c r="B25" s="15"/>
      <c r="C25" s="16" t="s">
        <v>23</v>
      </c>
      <c r="D25" s="17">
        <v>7840214.8351268768</v>
      </c>
      <c r="E25" s="17">
        <v>25535121.080301285</v>
      </c>
      <c r="F25" s="17">
        <v>34061116.261582792</v>
      </c>
      <c r="G25" s="17">
        <v>27376254.103020273</v>
      </c>
      <c r="H25" s="17">
        <v>21933315.14402771</v>
      </c>
      <c r="I25" s="17">
        <v>23771820.815565825</v>
      </c>
      <c r="J25" s="17">
        <v>19919234.468530178</v>
      </c>
      <c r="K25" s="17">
        <v>19877893.534576416</v>
      </c>
      <c r="L25" s="17">
        <v>25093802.493083954</v>
      </c>
      <c r="M25" s="17">
        <v>26523213.911056519</v>
      </c>
      <c r="N25" s="17">
        <v>22684555.210754395</v>
      </c>
      <c r="O25" s="17"/>
      <c r="P25" s="17">
        <f t="shared" si="0"/>
        <v>254616541.85762623</v>
      </c>
    </row>
    <row r="26" spans="2:18" ht="15" x14ac:dyDescent="0.25">
      <c r="B26" s="12" t="s">
        <v>27</v>
      </c>
      <c r="C26" s="13"/>
      <c r="D26" s="14">
        <v>4376235.9955304833</v>
      </c>
      <c r="E26" s="14">
        <v>2624482.4723689412</v>
      </c>
      <c r="F26" s="14">
        <v>5180743.1619914994</v>
      </c>
      <c r="G26" s="14">
        <v>5434707.1193848215</v>
      </c>
      <c r="H26" s="14">
        <v>1040378.0395913124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/>
      <c r="P26" s="14">
        <f t="shared" si="0"/>
        <v>18656546.788867056</v>
      </c>
    </row>
    <row r="27" spans="2:18" x14ac:dyDescent="0.2">
      <c r="B27" s="15"/>
      <c r="C27" s="16" t="s">
        <v>20</v>
      </c>
      <c r="D27" s="17">
        <v>4376235.9955304833</v>
      </c>
      <c r="E27" s="17">
        <v>2624482.4723689412</v>
      </c>
      <c r="F27" s="17">
        <v>5180743.1619914994</v>
      </c>
      <c r="G27" s="17">
        <v>5434707.1193848215</v>
      </c>
      <c r="H27" s="17">
        <v>1040378.0395913124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/>
      <c r="P27" s="17">
        <f t="shared" si="0"/>
        <v>18656546.788867056</v>
      </c>
      <c r="R27" s="18"/>
    </row>
    <row r="28" spans="2:18" ht="15" x14ac:dyDescent="0.25">
      <c r="B28" s="19" t="s">
        <v>28</v>
      </c>
      <c r="C28" s="20"/>
      <c r="D28" s="11">
        <v>21934.811414718628</v>
      </c>
      <c r="E28" s="11">
        <v>82856.244901180267</v>
      </c>
      <c r="F28" s="11">
        <v>86595.364361763</v>
      </c>
      <c r="G28" s="11">
        <v>32036.662517547607</v>
      </c>
      <c r="H28" s="11">
        <v>106647.08724975586</v>
      </c>
      <c r="I28" s="11">
        <v>38709.4115094468</v>
      </c>
      <c r="J28" s="11">
        <v>36848.42297877853</v>
      </c>
      <c r="K28" s="11">
        <v>29518.735145062208</v>
      </c>
      <c r="L28" s="11">
        <v>393785.53781294823</v>
      </c>
      <c r="M28" s="11">
        <v>0</v>
      </c>
      <c r="N28" s="11">
        <v>18541.163642883301</v>
      </c>
      <c r="O28" s="11"/>
      <c r="P28" s="11">
        <f t="shared" si="0"/>
        <v>847473.4415340845</v>
      </c>
    </row>
    <row r="29" spans="2:18" ht="15" x14ac:dyDescent="0.25">
      <c r="B29" s="12" t="s">
        <v>29</v>
      </c>
      <c r="C29" s="13"/>
      <c r="D29" s="14">
        <v>21934.811414718628</v>
      </c>
      <c r="E29" s="14">
        <v>19131.363072872162</v>
      </c>
      <c r="F29" s="14">
        <v>0</v>
      </c>
      <c r="G29" s="14">
        <v>32036.662517547607</v>
      </c>
      <c r="H29" s="14">
        <v>63170.408103942871</v>
      </c>
      <c r="I29" s="14">
        <v>18835.031382493675</v>
      </c>
      <c r="J29" s="14">
        <v>8620.5345020852401</v>
      </c>
      <c r="K29" s="14">
        <v>8793.3216330707073</v>
      </c>
      <c r="L29" s="14">
        <v>182995.33120250702</v>
      </c>
      <c r="M29" s="14">
        <v>0</v>
      </c>
      <c r="N29" s="14">
        <v>0</v>
      </c>
      <c r="O29" s="14"/>
      <c r="P29" s="14">
        <f t="shared" si="0"/>
        <v>355517.46382923791</v>
      </c>
    </row>
    <row r="30" spans="2:18" x14ac:dyDescent="0.2">
      <c r="B30" s="15"/>
      <c r="C30" s="16" t="s">
        <v>30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/>
      <c r="P30" s="17">
        <f t="shared" si="0"/>
        <v>0</v>
      </c>
    </row>
    <row r="31" spans="2:18" x14ac:dyDescent="0.2">
      <c r="B31" s="15"/>
      <c r="C31" s="16" t="s">
        <v>31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/>
      <c r="P31" s="17">
        <f t="shared" si="0"/>
        <v>0</v>
      </c>
    </row>
    <row r="32" spans="2:18" x14ac:dyDescent="0.2">
      <c r="B32" s="15"/>
      <c r="C32" s="16" t="s">
        <v>32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/>
      <c r="P32" s="17">
        <f t="shared" si="0"/>
        <v>0</v>
      </c>
    </row>
    <row r="33" spans="2:16" x14ac:dyDescent="0.2">
      <c r="B33" s="15"/>
      <c r="C33" s="16" t="s">
        <v>33</v>
      </c>
      <c r="D33" s="17">
        <v>5389.5011291503906</v>
      </c>
      <c r="E33" s="17">
        <v>0</v>
      </c>
      <c r="F33" s="17">
        <v>0</v>
      </c>
      <c r="G33" s="17">
        <v>0</v>
      </c>
      <c r="H33" s="17">
        <v>42227.03108215332</v>
      </c>
      <c r="I33" s="17">
        <v>0</v>
      </c>
      <c r="J33" s="17">
        <v>8620.5345020852401</v>
      </c>
      <c r="K33" s="17">
        <v>0</v>
      </c>
      <c r="L33" s="17">
        <v>105930.0935459137</v>
      </c>
      <c r="M33" s="17">
        <v>0</v>
      </c>
      <c r="N33" s="17">
        <v>0</v>
      </c>
      <c r="O33" s="17"/>
      <c r="P33" s="17">
        <f t="shared" si="0"/>
        <v>162167.16025930265</v>
      </c>
    </row>
    <row r="34" spans="2:16" x14ac:dyDescent="0.2">
      <c r="B34" s="15"/>
      <c r="C34" s="16" t="s">
        <v>34</v>
      </c>
      <c r="D34" s="17">
        <v>4206.9675731658936</v>
      </c>
      <c r="E34" s="17">
        <v>18704.574269771576</v>
      </c>
      <c r="F34" s="17">
        <v>0</v>
      </c>
      <c r="G34" s="17">
        <v>16057.962729454041</v>
      </c>
      <c r="H34" s="17">
        <v>11543.345808029175</v>
      </c>
      <c r="I34" s="17">
        <v>15742.584778480232</v>
      </c>
      <c r="J34" s="17">
        <v>0</v>
      </c>
      <c r="K34" s="17">
        <v>1704.4990289211273</v>
      </c>
      <c r="L34" s="17">
        <v>42253.415661811829</v>
      </c>
      <c r="M34" s="17">
        <v>0</v>
      </c>
      <c r="N34" s="17">
        <v>0</v>
      </c>
      <c r="O34" s="17"/>
      <c r="P34" s="17">
        <f t="shared" si="0"/>
        <v>110213.34984963387</v>
      </c>
    </row>
    <row r="35" spans="2:16" x14ac:dyDescent="0.2">
      <c r="B35" s="15"/>
      <c r="C35" s="16" t="s">
        <v>35</v>
      </c>
      <c r="D35" s="17">
        <v>12338.342712402344</v>
      </c>
      <c r="E35" s="17">
        <v>426.78880310058594</v>
      </c>
      <c r="F35" s="17">
        <v>0</v>
      </c>
      <c r="G35" s="17">
        <v>15978.699788093567</v>
      </c>
      <c r="H35" s="17">
        <v>9400.031213760376</v>
      </c>
      <c r="I35" s="17">
        <v>3092.446604013443</v>
      </c>
      <c r="J35" s="17">
        <v>0</v>
      </c>
      <c r="K35" s="17">
        <v>7088.82260414958</v>
      </c>
      <c r="L35" s="17">
        <v>34811.821994781494</v>
      </c>
      <c r="M35" s="17">
        <v>0</v>
      </c>
      <c r="N35" s="17">
        <v>0</v>
      </c>
      <c r="O35" s="17"/>
      <c r="P35" s="17">
        <f t="shared" si="0"/>
        <v>83136.95372030139</v>
      </c>
    </row>
    <row r="36" spans="2:16" ht="15" x14ac:dyDescent="0.25">
      <c r="B36" s="12" t="s">
        <v>36</v>
      </c>
      <c r="C36" s="13"/>
      <c r="D36" s="14">
        <v>0</v>
      </c>
      <c r="E36" s="14">
        <v>63724.881828308105</v>
      </c>
      <c r="F36" s="14">
        <v>86595.364361763</v>
      </c>
      <c r="G36" s="14">
        <v>0</v>
      </c>
      <c r="H36" s="14">
        <v>43476.679145812988</v>
      </c>
      <c r="I36" s="14">
        <v>19874.380126953125</v>
      </c>
      <c r="J36" s="14">
        <v>28227.88847669329</v>
      </c>
      <c r="K36" s="14">
        <v>20725.413511991501</v>
      </c>
      <c r="L36" s="14">
        <v>210790.20661044121</v>
      </c>
      <c r="M36" s="14">
        <v>0</v>
      </c>
      <c r="N36" s="14">
        <v>18541.163642883301</v>
      </c>
      <c r="O36" s="14"/>
      <c r="P36" s="14">
        <f t="shared" si="0"/>
        <v>491955.97770484653</v>
      </c>
    </row>
    <row r="37" spans="2:16" x14ac:dyDescent="0.2">
      <c r="B37" s="15"/>
      <c r="C37" s="16" t="s">
        <v>37</v>
      </c>
      <c r="D37" s="17">
        <v>0</v>
      </c>
      <c r="E37" s="17">
        <v>23329.222747802734</v>
      </c>
      <c r="F37" s="17">
        <v>24860.522265434265</v>
      </c>
      <c r="G37" s="17">
        <v>0</v>
      </c>
      <c r="H37" s="17">
        <v>7031.4671325683594</v>
      </c>
      <c r="I37" s="17">
        <v>19874.380126953125</v>
      </c>
      <c r="J37" s="17">
        <v>14311.033833535606</v>
      </c>
      <c r="K37" s="17">
        <v>0</v>
      </c>
      <c r="L37" s="17">
        <v>69113.927485227585</v>
      </c>
      <c r="M37" s="17">
        <v>0</v>
      </c>
      <c r="N37" s="17">
        <v>6112.4884490966797</v>
      </c>
      <c r="O37" s="17"/>
      <c r="P37" s="17">
        <f t="shared" si="0"/>
        <v>164633.04204061837</v>
      </c>
    </row>
    <row r="38" spans="2:16" x14ac:dyDescent="0.2">
      <c r="B38" s="15"/>
      <c r="C38" s="16" t="s">
        <v>38</v>
      </c>
      <c r="D38" s="17">
        <v>0</v>
      </c>
      <c r="E38" s="17">
        <v>17554.217979431152</v>
      </c>
      <c r="F38" s="17">
        <v>35444.167770385742</v>
      </c>
      <c r="G38" s="17">
        <v>0</v>
      </c>
      <c r="H38" s="17">
        <v>28270.918006896973</v>
      </c>
      <c r="I38" s="17">
        <v>0</v>
      </c>
      <c r="J38" s="17">
        <v>13916.854643157683</v>
      </c>
      <c r="K38" s="17">
        <v>0</v>
      </c>
      <c r="L38" s="17">
        <v>75998.52209854126</v>
      </c>
      <c r="M38" s="17">
        <v>0</v>
      </c>
      <c r="N38" s="17">
        <v>6014.549674987793</v>
      </c>
      <c r="O38" s="17"/>
      <c r="P38" s="17">
        <f t="shared" si="0"/>
        <v>177199.2301734006</v>
      </c>
    </row>
    <row r="39" spans="2:16" x14ac:dyDescent="0.2">
      <c r="B39" s="15"/>
      <c r="C39" s="16" t="s">
        <v>39</v>
      </c>
      <c r="D39" s="17">
        <v>0</v>
      </c>
      <c r="E39" s="17">
        <v>22841.441101074219</v>
      </c>
      <c r="F39" s="17">
        <v>26290.674325942993</v>
      </c>
      <c r="G39" s="17">
        <v>0</v>
      </c>
      <c r="H39" s="17">
        <v>8174.2940063476563</v>
      </c>
      <c r="I39" s="17">
        <v>0</v>
      </c>
      <c r="J39" s="17">
        <v>0</v>
      </c>
      <c r="K39" s="17">
        <v>20725.413511991501</v>
      </c>
      <c r="L39" s="17">
        <v>65677.757026672363</v>
      </c>
      <c r="M39" s="17">
        <v>0</v>
      </c>
      <c r="N39" s="17">
        <v>6414.1255187988281</v>
      </c>
      <c r="O39" s="17"/>
      <c r="P39" s="17">
        <f t="shared" si="0"/>
        <v>150123.70549082756</v>
      </c>
    </row>
    <row r="40" spans="2:16" ht="15" x14ac:dyDescent="0.25">
      <c r="B40" s="12" t="s">
        <v>40</v>
      </c>
      <c r="C40" s="13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/>
      <c r="P40" s="17">
        <f t="shared" si="0"/>
        <v>0</v>
      </c>
    </row>
    <row r="41" spans="2:16" x14ac:dyDescent="0.2">
      <c r="B41" s="15"/>
      <c r="C41" s="16" t="s">
        <v>41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/>
      <c r="P41" s="17">
        <f t="shared" si="0"/>
        <v>0</v>
      </c>
    </row>
    <row r="42" spans="2:16" x14ac:dyDescent="0.2">
      <c r="B42" s="15"/>
      <c r="C42" s="16" t="s">
        <v>42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/>
      <c r="P42" s="17">
        <f t="shared" si="0"/>
        <v>0</v>
      </c>
    </row>
    <row r="43" spans="2:16" ht="15" x14ac:dyDescent="0.25">
      <c r="B43" s="19" t="s">
        <v>43</v>
      </c>
      <c r="C43" s="20"/>
      <c r="D43" s="11">
        <v>62658700.880490743</v>
      </c>
      <c r="E43" s="11">
        <v>79432449.39048776</v>
      </c>
      <c r="F43" s="11">
        <v>118062790.72241333</v>
      </c>
      <c r="G43" s="11">
        <v>107064136.85455576</v>
      </c>
      <c r="H43" s="11">
        <v>69286821.16820018</v>
      </c>
      <c r="I43" s="11">
        <v>68173719.642525882</v>
      </c>
      <c r="J43" s="11">
        <v>69560708.281173825</v>
      </c>
      <c r="K43" s="11">
        <v>71743589.134987548</v>
      </c>
      <c r="L43" s="11">
        <v>72589116.062988862</v>
      </c>
      <c r="M43" s="11">
        <v>72984249.165584087</v>
      </c>
      <c r="N43" s="11">
        <v>70435655.834559575</v>
      </c>
      <c r="O43" s="11"/>
      <c r="P43" s="11">
        <f t="shared" si="0"/>
        <v>861991937.13796759</v>
      </c>
    </row>
    <row r="45" spans="2:16" x14ac:dyDescent="0.2">
      <c r="C45" s="1" t="s">
        <v>59</v>
      </c>
    </row>
  </sheetData>
  <printOptions horizontalCentered="1"/>
  <pageMargins left="0.59055118110236227" right="0.59055118110236227" top="0.98425196850393704" bottom="1" header="0" footer="0"/>
  <pageSetup paperSize="9" scale="4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D98C-0121-4CC9-A637-BDA46B8AADB9}">
  <dimension ref="B2:E19"/>
  <sheetViews>
    <sheetView workbookViewId="0">
      <selection activeCell="C6" sqref="C6"/>
    </sheetView>
  </sheetViews>
  <sheetFormatPr baseColWidth="10" defaultColWidth="11.42578125" defaultRowHeight="12.75" x14ac:dyDescent="0.2"/>
  <cols>
    <col min="3" max="5" width="14.85546875" bestFit="1" customWidth="1"/>
  </cols>
  <sheetData>
    <row r="2" spans="2:5" ht="15" x14ac:dyDescent="0.25">
      <c r="B2" s="36" t="s">
        <v>60</v>
      </c>
      <c r="C2" s="36"/>
      <c r="D2" s="36"/>
      <c r="E2" s="36"/>
    </row>
    <row r="3" spans="2:5" ht="15" x14ac:dyDescent="0.25">
      <c r="B3" s="36" t="s">
        <v>61</v>
      </c>
      <c r="C3" s="36"/>
      <c r="D3" s="36"/>
      <c r="E3" s="36"/>
    </row>
    <row r="4" spans="2:5" ht="13.5" thickBot="1" x14ac:dyDescent="0.25"/>
    <row r="5" spans="2:5" ht="15.75" thickBot="1" x14ac:dyDescent="0.3">
      <c r="B5" s="21" t="s">
        <v>62</v>
      </c>
      <c r="C5" s="28">
        <v>2023</v>
      </c>
      <c r="D5" s="22">
        <v>2024</v>
      </c>
      <c r="E5" s="22">
        <v>2025</v>
      </c>
    </row>
    <row r="6" spans="2:5" x14ac:dyDescent="0.2">
      <c r="B6" s="25" t="s">
        <v>63</v>
      </c>
      <c r="C6" s="29">
        <v>47588.120200066835</v>
      </c>
      <c r="D6" s="34">
        <v>39618.482833230388</v>
      </c>
      <c r="E6" s="31">
        <v>48993.449982387545</v>
      </c>
    </row>
    <row r="7" spans="2:5" x14ac:dyDescent="0.2">
      <c r="B7" s="26" t="s">
        <v>64</v>
      </c>
      <c r="C7" s="29">
        <v>72665.762570478735</v>
      </c>
      <c r="D7" s="29">
        <v>39102.116138388752</v>
      </c>
      <c r="E7" s="32">
        <v>73638.445548386095</v>
      </c>
    </row>
    <row r="8" spans="2:5" x14ac:dyDescent="0.2">
      <c r="B8" s="26" t="s">
        <v>65</v>
      </c>
      <c r="C8" s="29">
        <v>50925.034053079129</v>
      </c>
      <c r="D8" s="29">
        <v>105491.26078385663</v>
      </c>
      <c r="E8" s="32">
        <v>103348.24450420434</v>
      </c>
    </row>
    <row r="9" spans="2:5" x14ac:dyDescent="0.2">
      <c r="B9" s="26" t="s">
        <v>66</v>
      </c>
      <c r="C9" s="29">
        <v>42144.701305800976</v>
      </c>
      <c r="D9" s="29">
        <v>80526.830714843993</v>
      </c>
      <c r="E9" s="32">
        <v>89778.412216391895</v>
      </c>
    </row>
    <row r="10" spans="2:5" x14ac:dyDescent="0.2">
      <c r="B10" s="26" t="s">
        <v>67</v>
      </c>
      <c r="C10" s="29">
        <v>46569.503439509448</v>
      </c>
      <c r="D10" s="29">
        <v>50251.077631664411</v>
      </c>
      <c r="E10" s="32">
        <v>55201.793487043869</v>
      </c>
    </row>
    <row r="11" spans="2:5" x14ac:dyDescent="0.2">
      <c r="B11" s="26" t="s">
        <v>68</v>
      </c>
      <c r="C11" s="29">
        <v>45232.516780026439</v>
      </c>
      <c r="D11" s="29">
        <v>49541.405805029928</v>
      </c>
      <c r="E11" s="32">
        <v>54628.248451390864</v>
      </c>
    </row>
    <row r="12" spans="2:5" x14ac:dyDescent="0.2">
      <c r="B12" s="26" t="s">
        <v>69</v>
      </c>
      <c r="C12" s="29">
        <v>46296.207560379968</v>
      </c>
      <c r="D12" s="29">
        <v>52971.106137058916</v>
      </c>
      <c r="E12" s="32">
        <v>55641.347944330242</v>
      </c>
    </row>
    <row r="13" spans="2:5" x14ac:dyDescent="0.2">
      <c r="B13" s="26" t="s">
        <v>70</v>
      </c>
      <c r="C13" s="29">
        <v>47257.456017541226</v>
      </c>
      <c r="D13" s="29">
        <v>56533.411631859482</v>
      </c>
      <c r="E13" s="32">
        <v>57478.526284375264</v>
      </c>
    </row>
    <row r="14" spans="2:5" x14ac:dyDescent="0.2">
      <c r="B14" s="26" t="s">
        <v>71</v>
      </c>
      <c r="C14" s="29">
        <v>49541.586102058136</v>
      </c>
      <c r="D14" s="29">
        <v>54709.925384155569</v>
      </c>
      <c r="E14" s="32">
        <v>58425.001062251387</v>
      </c>
    </row>
    <row r="15" spans="2:5" x14ac:dyDescent="0.2">
      <c r="B15" s="26" t="s">
        <v>72</v>
      </c>
      <c r="C15" s="29">
        <v>51191.305973612129</v>
      </c>
      <c r="D15" s="29">
        <v>56977.631290992111</v>
      </c>
      <c r="E15" s="32">
        <v>58873.805630592586</v>
      </c>
    </row>
    <row r="16" spans="2:5" x14ac:dyDescent="0.2">
      <c r="B16" s="26" t="s">
        <v>73</v>
      </c>
      <c r="C16" s="29">
        <v>50832.288358475802</v>
      </c>
      <c r="D16" s="29">
        <v>55139.52137668473</v>
      </c>
      <c r="E16" s="32">
        <v>56862.163104238301</v>
      </c>
    </row>
    <row r="17" spans="2:5" ht="13.5" thickBot="1" x14ac:dyDescent="0.25">
      <c r="B17" s="27" t="s">
        <v>74</v>
      </c>
      <c r="C17" s="30">
        <v>48076.08520096034</v>
      </c>
      <c r="D17" s="30">
        <v>56533.691402328492</v>
      </c>
      <c r="E17" s="33">
        <v>0</v>
      </c>
    </row>
    <row r="18" spans="2:5" ht="15.75" thickBot="1" x14ac:dyDescent="0.3">
      <c r="B18" s="24" t="s">
        <v>75</v>
      </c>
      <c r="C18" s="23">
        <f>SUM(C6:C17)</f>
        <v>598320.56756198918</v>
      </c>
      <c r="D18" s="23">
        <f t="shared" ref="D18:E18" si="0">SUM(D6:D17)</f>
        <v>697396.46113009355</v>
      </c>
      <c r="E18" s="23">
        <f t="shared" si="0"/>
        <v>712869.43821559253</v>
      </c>
    </row>
    <row r="19" spans="2:5" x14ac:dyDescent="0.2">
      <c r="B19" s="35" t="s">
        <v>76</v>
      </c>
    </row>
  </sheetData>
  <mergeCells count="2">
    <mergeCell ref="B2:E2"/>
    <mergeCell ref="B3:E3"/>
  </mergeCells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0FE0-35E5-4FF1-895A-DBD428045999}">
  <dimension ref="A1"/>
  <sheetViews>
    <sheetView workbookViewId="0">
      <selection activeCell="H18" sqref="H18"/>
    </sheetView>
  </sheetViews>
  <sheetFormatPr baseColWidth="10" defaultColWidth="11.42578125"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3" ma:contentTypeDescription="Crear nuevo documento." ma:contentTypeScope="" ma:versionID="99efb9468651881684270c49dd6333c5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07f85e2e67e721cb1ca4acffd9bbff69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B0D95B-9965-4411-B766-475A814433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43CEC8-5C87-4C92-A67B-3C49D0735276}">
  <ds:schemaRefs>
    <ds:schemaRef ds:uri="http://schemas.microsoft.com/office/2006/metadata/properties"/>
    <ds:schemaRef ds:uri="http://schemas.microsoft.com/office/infopath/2007/PartnerControls"/>
    <ds:schemaRef ds:uri="4ab32d87-09b1-4a9c-8cc2-36c6131e9d32"/>
    <ds:schemaRef ds:uri="0d5568c9-b756-47b3-80d4-db4c7d91fd95"/>
  </ds:schemaRefs>
</ds:datastoreItem>
</file>

<file path=customXml/itemProps3.xml><?xml version="1.0" encoding="utf-8"?>
<ds:datastoreItem xmlns:ds="http://schemas.openxmlformats.org/officeDocument/2006/customXml" ds:itemID="{6D908369-D0F5-499D-85BB-33097EEFD1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b32d87-09b1-4a9c-8cc2-36c6131e9d32"/>
    <ds:schemaRef ds:uri="0d5568c9-b756-47b3-80d4-db4c7d91fd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16</vt:i4>
      </vt:variant>
    </vt:vector>
  </HeadingPairs>
  <TitlesOfParts>
    <vt:vector size="34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POR CENTRAL</vt:lpstr>
      <vt:lpstr>RESUMEN</vt:lpstr>
      <vt:lpstr>'2010'!Área_de_impresión</vt:lpstr>
      <vt:lpstr>'2011'!Área_de_impresión</vt:lpstr>
      <vt:lpstr>'2012'!Área_de_impresión</vt:lpstr>
      <vt:lpstr>'2013'!Área_de_impresión</vt:lpstr>
      <vt:lpstr>'2014'!Área_de_impresión</vt:lpstr>
      <vt:lpstr>'2015'!Área_de_impresión</vt:lpstr>
      <vt:lpstr>'2016'!Área_de_impresión</vt:lpstr>
      <vt:lpstr>'2017'!Área_de_impresión</vt:lpstr>
      <vt:lpstr>'2018'!Área_de_impresión</vt:lpstr>
      <vt:lpstr>'2019'!Área_de_impresión</vt:lpstr>
      <vt:lpstr>'2020'!Área_de_impresión</vt:lpstr>
      <vt:lpstr>'2021'!Área_de_impresión</vt:lpstr>
      <vt:lpstr>'2022'!Área_de_impresión</vt:lpstr>
      <vt:lpstr>'2023'!Área_de_impresión</vt:lpstr>
      <vt:lpstr>'2024'!Área_de_impresión</vt:lpstr>
      <vt:lpstr>'2025'!Área_de_impresión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Nestor Cuba</dc:creator>
  <cp:keywords/>
  <dc:description/>
  <cp:lastModifiedBy>Rommel Paredes Banda</cp:lastModifiedBy>
  <cp:revision/>
  <dcterms:created xsi:type="dcterms:W3CDTF">2020-10-16T20:19:30Z</dcterms:created>
  <dcterms:modified xsi:type="dcterms:W3CDTF">2025-12-19T21:33:13Z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  <property fmtid="{D5CDD505-2E9C-101B-9397-08002B2CF9AE}" pid="3" name="MediaServiceImageTags">
    <vt:lpwstr/>
  </property>
</Properties>
</file>